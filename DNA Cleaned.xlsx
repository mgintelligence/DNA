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Users\ganes\OneDrive\Desktop\AI\Drug\DNA\"/>
    </mc:Choice>
  </mc:AlternateContent>
  <xr:revisionPtr revIDLastSave="0" documentId="13_ncr:1_{777531E6-931C-4D3D-86A6-606F376081D2}" xr6:coauthVersionLast="47" xr6:coauthVersionMax="47" xr10:uidLastSave="{00000000-0000-0000-0000-000000000000}"/>
  <bookViews>
    <workbookView xWindow="-108" yWindow="-108" windowWidth="23256" windowHeight="12456" xr2:uid="{ABBE9DF3-6DA7-410C-862C-B7A36CEE1128}"/>
  </bookViews>
  <sheets>
    <sheet name="Sheet5" sheetId="6" r:id="rId1"/>
    <sheet name="DNA Both Target" sheetId="3" r:id="rId2"/>
    <sheet name="Classification" sheetId="4" r:id="rId3"/>
    <sheet name="DNA" sheetId="2" r:id="rId4"/>
  </sheets>
  <definedNames>
    <definedName name="_xlnm._FilterDatabase" localSheetId="2" hidden="1">Classification!$A$1:$A$922</definedName>
    <definedName name="_xlnm._FilterDatabase" localSheetId="1" hidden="1">'DNA Both Target'!$A$1:$A$763</definedName>
    <definedName name="ExternalData_1" localSheetId="3" hidden="1">DNA!$A$1:$AW$951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 i="4" l="1"/>
  <c r="E2" i="4"/>
  <c r="E3" i="4"/>
  <c r="M2" i="2"/>
  <c r="N2" i="2" s="1"/>
  <c r="D3" i="4"/>
  <c r="N673" i="2"/>
  <c r="N722" i="2"/>
  <c r="N787" i="2"/>
  <c r="M18" i="2"/>
  <c r="N18" i="2" s="1"/>
  <c r="M951" i="2"/>
  <c r="N951" i="2" s="1"/>
  <c r="M950" i="2"/>
  <c r="N950" i="2" s="1"/>
  <c r="M949" i="2"/>
  <c r="N949" i="2" s="1"/>
  <c r="M946" i="2"/>
  <c r="N946" i="2" s="1"/>
  <c r="M945" i="2"/>
  <c r="N945" i="2" s="1"/>
  <c r="M944" i="2"/>
  <c r="N944" i="2" s="1"/>
  <c r="M942" i="2"/>
  <c r="N942" i="2" s="1"/>
  <c r="M941" i="2"/>
  <c r="N941" i="2" s="1"/>
  <c r="M940" i="2"/>
  <c r="N940" i="2" s="1"/>
  <c r="M939" i="2"/>
  <c r="N939" i="2" s="1"/>
  <c r="M938" i="2"/>
  <c r="N938" i="2" s="1"/>
  <c r="M937" i="2"/>
  <c r="N937" i="2" s="1"/>
  <c r="M936" i="2"/>
  <c r="N936" i="2" s="1"/>
  <c r="M935" i="2"/>
  <c r="N935" i="2" s="1"/>
  <c r="M934" i="2"/>
  <c r="N934" i="2" s="1"/>
  <c r="M933" i="2"/>
  <c r="N933" i="2" s="1"/>
  <c r="M932" i="2"/>
  <c r="N932" i="2" s="1"/>
  <c r="M931" i="2"/>
  <c r="N931" i="2" s="1"/>
  <c r="M930" i="2"/>
  <c r="N930" i="2" s="1"/>
  <c r="M929" i="2"/>
  <c r="N929" i="2" s="1"/>
  <c r="M928" i="2"/>
  <c r="N928" i="2" s="1"/>
  <c r="M927" i="2"/>
  <c r="N927" i="2" s="1"/>
  <c r="M926" i="2"/>
  <c r="N926" i="2" s="1"/>
  <c r="M925" i="2"/>
  <c r="N925" i="2" s="1"/>
  <c r="M924" i="2"/>
  <c r="N924" i="2" s="1"/>
  <c r="M923" i="2"/>
  <c r="N923" i="2" s="1"/>
  <c r="M922" i="2"/>
  <c r="N922" i="2" s="1"/>
  <c r="M921" i="2"/>
  <c r="N921" i="2" s="1"/>
  <c r="M920" i="2"/>
  <c r="N920" i="2" s="1"/>
  <c r="M919" i="2"/>
  <c r="N919" i="2" s="1"/>
  <c r="M918" i="2"/>
  <c r="N918" i="2" s="1"/>
  <c r="M917" i="2"/>
  <c r="N917" i="2" s="1"/>
  <c r="M916" i="2"/>
  <c r="N916" i="2" s="1"/>
  <c r="M915" i="2"/>
  <c r="N915" i="2" s="1"/>
  <c r="M914" i="2"/>
  <c r="N914" i="2" s="1"/>
  <c r="M909" i="2"/>
  <c r="N909" i="2" s="1"/>
  <c r="M908" i="2"/>
  <c r="N908" i="2" s="1"/>
  <c r="M907" i="2"/>
  <c r="N907" i="2" s="1"/>
  <c r="M906" i="2"/>
  <c r="N906" i="2" s="1"/>
  <c r="M903" i="2"/>
  <c r="N903" i="2" s="1"/>
  <c r="M902" i="2"/>
  <c r="N902" i="2" s="1"/>
  <c r="M901" i="2"/>
  <c r="N901" i="2" s="1"/>
  <c r="M900" i="2"/>
  <c r="N900" i="2" s="1"/>
  <c r="M899" i="2"/>
  <c r="N899" i="2" s="1"/>
  <c r="M898" i="2"/>
  <c r="N898" i="2" s="1"/>
  <c r="M897" i="2"/>
  <c r="N897" i="2" s="1"/>
  <c r="M896" i="2"/>
  <c r="N896" i="2" s="1"/>
  <c r="M895" i="2"/>
  <c r="N895" i="2" s="1"/>
  <c r="M894" i="2"/>
  <c r="N894" i="2" s="1"/>
  <c r="M893" i="2"/>
  <c r="N893" i="2" s="1"/>
  <c r="M892" i="2"/>
  <c r="N892" i="2" s="1"/>
  <c r="M891" i="2"/>
  <c r="N891" i="2" s="1"/>
  <c r="M890" i="2"/>
  <c r="N890" i="2" s="1"/>
  <c r="M889" i="2"/>
  <c r="N889" i="2" s="1"/>
  <c r="M888" i="2"/>
  <c r="N888" i="2" s="1"/>
  <c r="M887" i="2"/>
  <c r="N887" i="2" s="1"/>
  <c r="M885" i="2"/>
  <c r="N885" i="2" s="1"/>
  <c r="M884" i="2"/>
  <c r="N884" i="2" s="1"/>
  <c r="M883" i="2"/>
  <c r="N883" i="2" s="1"/>
  <c r="M882" i="2"/>
  <c r="N882" i="2" s="1"/>
  <c r="M881" i="2"/>
  <c r="N881" i="2" s="1"/>
  <c r="M880" i="2"/>
  <c r="N880" i="2" s="1"/>
  <c r="M879" i="2"/>
  <c r="N879" i="2" s="1"/>
  <c r="M877" i="2"/>
  <c r="N877" i="2" s="1"/>
  <c r="M876" i="2"/>
  <c r="N876" i="2" s="1"/>
  <c r="M875" i="2"/>
  <c r="N875" i="2" s="1"/>
  <c r="M874" i="2"/>
  <c r="N874" i="2" s="1"/>
  <c r="M873" i="2"/>
  <c r="N873" i="2" s="1"/>
  <c r="M872" i="2"/>
  <c r="N872" i="2" s="1"/>
  <c r="M871" i="2"/>
  <c r="N871" i="2" s="1"/>
  <c r="M870" i="2"/>
  <c r="N870" i="2" s="1"/>
  <c r="M869" i="2"/>
  <c r="N869" i="2" s="1"/>
  <c r="M868" i="2"/>
  <c r="N868" i="2" s="1"/>
  <c r="M867" i="2"/>
  <c r="N867" i="2" s="1"/>
  <c r="M865" i="2"/>
  <c r="N865" i="2" s="1"/>
  <c r="M864" i="2"/>
  <c r="N864" i="2" s="1"/>
  <c r="M863" i="2"/>
  <c r="N863" i="2" s="1"/>
  <c r="M862" i="2"/>
  <c r="N862" i="2" s="1"/>
  <c r="M861" i="2"/>
  <c r="N861" i="2" s="1"/>
  <c r="M860" i="2"/>
  <c r="N860" i="2" s="1"/>
  <c r="M859" i="2"/>
  <c r="N859" i="2" s="1"/>
  <c r="M858" i="2"/>
  <c r="N858" i="2" s="1"/>
  <c r="M857" i="2"/>
  <c r="N857" i="2" s="1"/>
  <c r="M855" i="2"/>
  <c r="N855" i="2" s="1"/>
  <c r="M854" i="2"/>
  <c r="N854" i="2" s="1"/>
  <c r="M853" i="2"/>
  <c r="N853" i="2" s="1"/>
  <c r="M852" i="2"/>
  <c r="N852" i="2" s="1"/>
  <c r="M851" i="2"/>
  <c r="N851" i="2" s="1"/>
  <c r="M850" i="2"/>
  <c r="N850" i="2" s="1"/>
  <c r="M849" i="2"/>
  <c r="N849" i="2" s="1"/>
  <c r="M848" i="2"/>
  <c r="N848" i="2" s="1"/>
  <c r="M847" i="2"/>
  <c r="N847" i="2" s="1"/>
  <c r="M846" i="2"/>
  <c r="N846" i="2" s="1"/>
  <c r="M845" i="2"/>
  <c r="N845" i="2" s="1"/>
  <c r="M844" i="2"/>
  <c r="N844" i="2" s="1"/>
  <c r="M843" i="2"/>
  <c r="N843" i="2" s="1"/>
  <c r="M842" i="2"/>
  <c r="N842" i="2" s="1"/>
  <c r="M841" i="2"/>
  <c r="N841" i="2" s="1"/>
  <c r="M840" i="2"/>
  <c r="N840" i="2" s="1"/>
  <c r="M839" i="2"/>
  <c r="N839" i="2" s="1"/>
  <c r="M838" i="2"/>
  <c r="N838" i="2" s="1"/>
  <c r="M837" i="2"/>
  <c r="N837" i="2" s="1"/>
  <c r="M836" i="2"/>
  <c r="N836" i="2" s="1"/>
  <c r="M835" i="2"/>
  <c r="N835" i="2" s="1"/>
  <c r="M832" i="2"/>
  <c r="N832" i="2" s="1"/>
  <c r="M831" i="2"/>
  <c r="N831" i="2" s="1"/>
  <c r="M830" i="2"/>
  <c r="N830" i="2" s="1"/>
  <c r="M829" i="2"/>
  <c r="N829" i="2" s="1"/>
  <c r="M828" i="2"/>
  <c r="N828" i="2" s="1"/>
  <c r="M827" i="2"/>
  <c r="N827" i="2" s="1"/>
  <c r="M826" i="2"/>
  <c r="N826" i="2" s="1"/>
  <c r="M825" i="2"/>
  <c r="N825" i="2" s="1"/>
  <c r="M824" i="2"/>
  <c r="N824" i="2" s="1"/>
  <c r="M823" i="2"/>
  <c r="N823" i="2" s="1"/>
  <c r="M822" i="2"/>
  <c r="N822" i="2" s="1"/>
  <c r="M821" i="2"/>
  <c r="N821" i="2" s="1"/>
  <c r="M820" i="2"/>
  <c r="N820" i="2" s="1"/>
  <c r="M819" i="2"/>
  <c r="N819" i="2" s="1"/>
  <c r="M818" i="2"/>
  <c r="N818" i="2" s="1"/>
  <c r="M817" i="2"/>
  <c r="N817" i="2" s="1"/>
  <c r="M816" i="2"/>
  <c r="N816" i="2" s="1"/>
  <c r="M815" i="2"/>
  <c r="N815" i="2" s="1"/>
  <c r="M814" i="2"/>
  <c r="N814" i="2" s="1"/>
  <c r="M813" i="2"/>
  <c r="N813" i="2" s="1"/>
  <c r="M812" i="2"/>
  <c r="N812" i="2" s="1"/>
  <c r="M811" i="2"/>
  <c r="N811" i="2" s="1"/>
  <c r="M810" i="2"/>
  <c r="N810" i="2" s="1"/>
  <c r="M809" i="2"/>
  <c r="N809" i="2" s="1"/>
  <c r="M808" i="2"/>
  <c r="N808" i="2" s="1"/>
  <c r="M807" i="2"/>
  <c r="N807" i="2" s="1"/>
  <c r="M806" i="2"/>
  <c r="N806" i="2" s="1"/>
  <c r="M805" i="2"/>
  <c r="N805" i="2" s="1"/>
  <c r="M804" i="2"/>
  <c r="N804" i="2" s="1"/>
  <c r="M803" i="2"/>
  <c r="N803" i="2" s="1"/>
  <c r="M802" i="2"/>
  <c r="N802" i="2" s="1"/>
  <c r="M801" i="2"/>
  <c r="N801" i="2" s="1"/>
  <c r="M800" i="2"/>
  <c r="N800" i="2" s="1"/>
  <c r="M799" i="2"/>
  <c r="N799" i="2" s="1"/>
  <c r="M798" i="2"/>
  <c r="N798" i="2" s="1"/>
  <c r="M797" i="2"/>
  <c r="N797" i="2" s="1"/>
  <c r="M796" i="2"/>
  <c r="N796" i="2" s="1"/>
  <c r="M795" i="2"/>
  <c r="N795" i="2" s="1"/>
  <c r="M794" i="2"/>
  <c r="N794" i="2" s="1"/>
  <c r="M793" i="2"/>
  <c r="N793" i="2" s="1"/>
  <c r="M792" i="2"/>
  <c r="N792" i="2" s="1"/>
  <c r="M791" i="2"/>
  <c r="N791" i="2" s="1"/>
  <c r="M790" i="2"/>
  <c r="N790" i="2" s="1"/>
  <c r="M789" i="2"/>
  <c r="N789" i="2" s="1"/>
  <c r="M788" i="2"/>
  <c r="N788" i="2" s="1"/>
  <c r="M787" i="2"/>
  <c r="M786" i="2"/>
  <c r="N786" i="2" s="1"/>
  <c r="M785" i="2"/>
  <c r="N785" i="2" s="1"/>
  <c r="M784" i="2"/>
  <c r="N784" i="2" s="1"/>
  <c r="M783" i="2"/>
  <c r="N783" i="2" s="1"/>
  <c r="M782" i="2"/>
  <c r="N782" i="2" s="1"/>
  <c r="M781" i="2"/>
  <c r="N781" i="2" s="1"/>
  <c r="M780" i="2"/>
  <c r="N780" i="2" s="1"/>
  <c r="M779" i="2"/>
  <c r="N779" i="2" s="1"/>
  <c r="M778" i="2"/>
  <c r="N778" i="2" s="1"/>
  <c r="M777" i="2"/>
  <c r="N777" i="2" s="1"/>
  <c r="M776" i="2"/>
  <c r="N776" i="2" s="1"/>
  <c r="M775" i="2"/>
  <c r="N775" i="2" s="1"/>
  <c r="M774" i="2"/>
  <c r="N774" i="2" s="1"/>
  <c r="M773" i="2"/>
  <c r="N773" i="2" s="1"/>
  <c r="M772" i="2"/>
  <c r="N772" i="2" s="1"/>
  <c r="M771" i="2"/>
  <c r="N771" i="2" s="1"/>
  <c r="M770" i="2"/>
  <c r="N770" i="2" s="1"/>
  <c r="M769" i="2"/>
  <c r="N769" i="2" s="1"/>
  <c r="M768" i="2"/>
  <c r="N768" i="2" s="1"/>
  <c r="M767" i="2"/>
  <c r="N767" i="2" s="1"/>
  <c r="M766" i="2"/>
  <c r="N766" i="2" s="1"/>
  <c r="M765" i="2"/>
  <c r="N765" i="2" s="1"/>
  <c r="M764" i="2"/>
  <c r="N764" i="2" s="1"/>
  <c r="M763" i="2"/>
  <c r="N763" i="2" s="1"/>
  <c r="M762" i="2"/>
  <c r="N762" i="2" s="1"/>
  <c r="M761" i="2"/>
  <c r="N761" i="2" s="1"/>
  <c r="M760" i="2"/>
  <c r="N760" i="2" s="1"/>
  <c r="M759" i="2"/>
  <c r="N759" i="2" s="1"/>
  <c r="M758" i="2"/>
  <c r="N758" i="2" s="1"/>
  <c r="M757" i="2"/>
  <c r="N757" i="2" s="1"/>
  <c r="M756" i="2"/>
  <c r="N756" i="2" s="1"/>
  <c r="M755" i="2"/>
  <c r="N755" i="2" s="1"/>
  <c r="M754" i="2"/>
  <c r="N754" i="2" s="1"/>
  <c r="M753" i="2"/>
  <c r="N753" i="2" s="1"/>
  <c r="M752" i="2"/>
  <c r="N752" i="2" s="1"/>
  <c r="M751" i="2"/>
  <c r="N751" i="2" s="1"/>
  <c r="M750" i="2"/>
  <c r="N750" i="2" s="1"/>
  <c r="M749" i="2"/>
  <c r="N749" i="2" s="1"/>
  <c r="M748" i="2"/>
  <c r="N748" i="2" s="1"/>
  <c r="M747" i="2"/>
  <c r="N747" i="2" s="1"/>
  <c r="M746" i="2"/>
  <c r="N746" i="2" s="1"/>
  <c r="M745" i="2"/>
  <c r="N745" i="2" s="1"/>
  <c r="M744" i="2"/>
  <c r="N744" i="2" s="1"/>
  <c r="M743" i="2"/>
  <c r="N743" i="2" s="1"/>
  <c r="M742" i="2"/>
  <c r="N742" i="2" s="1"/>
  <c r="M741" i="2"/>
  <c r="N741" i="2" s="1"/>
  <c r="M740" i="2"/>
  <c r="N740" i="2" s="1"/>
  <c r="M739" i="2"/>
  <c r="N739" i="2" s="1"/>
  <c r="M738" i="2"/>
  <c r="N738" i="2" s="1"/>
  <c r="M737" i="2"/>
  <c r="N737" i="2" s="1"/>
  <c r="M736" i="2"/>
  <c r="N736" i="2" s="1"/>
  <c r="M735" i="2"/>
  <c r="N735" i="2" s="1"/>
  <c r="M734" i="2"/>
  <c r="N734" i="2" s="1"/>
  <c r="M733" i="2"/>
  <c r="N733" i="2" s="1"/>
  <c r="M732" i="2"/>
  <c r="N732" i="2" s="1"/>
  <c r="M731" i="2"/>
  <c r="N731" i="2" s="1"/>
  <c r="M730" i="2"/>
  <c r="N730" i="2" s="1"/>
  <c r="M729" i="2"/>
  <c r="N729" i="2" s="1"/>
  <c r="M728" i="2"/>
  <c r="N728" i="2" s="1"/>
  <c r="M727" i="2"/>
  <c r="N727" i="2" s="1"/>
  <c r="M726" i="2"/>
  <c r="N726" i="2" s="1"/>
  <c r="M725" i="2"/>
  <c r="N725" i="2" s="1"/>
  <c r="M724" i="2"/>
  <c r="N724" i="2" s="1"/>
  <c r="M723" i="2"/>
  <c r="N723" i="2" s="1"/>
  <c r="M722" i="2"/>
  <c r="M721" i="2"/>
  <c r="N721" i="2" s="1"/>
  <c r="M720" i="2"/>
  <c r="N720" i="2" s="1"/>
  <c r="M719" i="2"/>
  <c r="N719" i="2" s="1"/>
  <c r="M718" i="2"/>
  <c r="N718" i="2" s="1"/>
  <c r="M717" i="2"/>
  <c r="N717" i="2" s="1"/>
  <c r="M715" i="2"/>
  <c r="N715" i="2" s="1"/>
  <c r="M714" i="2"/>
  <c r="N714" i="2" s="1"/>
  <c r="M713" i="2"/>
  <c r="N713" i="2" s="1"/>
  <c r="M712" i="2"/>
  <c r="N712" i="2" s="1"/>
  <c r="M711" i="2"/>
  <c r="N711" i="2" s="1"/>
  <c r="M710" i="2"/>
  <c r="N710" i="2" s="1"/>
  <c r="M709" i="2"/>
  <c r="N709" i="2" s="1"/>
  <c r="M708" i="2"/>
  <c r="N708" i="2" s="1"/>
  <c r="M707" i="2"/>
  <c r="N707" i="2" s="1"/>
  <c r="M706" i="2"/>
  <c r="N706" i="2" s="1"/>
  <c r="M705" i="2"/>
  <c r="N705" i="2" s="1"/>
  <c r="M704" i="2"/>
  <c r="N704" i="2" s="1"/>
  <c r="M703" i="2"/>
  <c r="N703" i="2" s="1"/>
  <c r="M702" i="2"/>
  <c r="N702" i="2" s="1"/>
  <c r="M701" i="2"/>
  <c r="N701" i="2" s="1"/>
  <c r="M700" i="2"/>
  <c r="N700" i="2" s="1"/>
  <c r="M699" i="2"/>
  <c r="N699" i="2" s="1"/>
  <c r="M698" i="2"/>
  <c r="N698" i="2" s="1"/>
  <c r="M697" i="2"/>
  <c r="N697" i="2" s="1"/>
  <c r="M696" i="2"/>
  <c r="N696" i="2" s="1"/>
  <c r="M695" i="2"/>
  <c r="N695" i="2" s="1"/>
  <c r="M694" i="2"/>
  <c r="N694" i="2" s="1"/>
  <c r="M693" i="2"/>
  <c r="N693" i="2" s="1"/>
  <c r="M692" i="2"/>
  <c r="N692" i="2" s="1"/>
  <c r="M691" i="2"/>
  <c r="N691" i="2" s="1"/>
  <c r="M690" i="2"/>
  <c r="N690" i="2" s="1"/>
  <c r="M689" i="2"/>
  <c r="N689" i="2" s="1"/>
  <c r="M688" i="2"/>
  <c r="N688" i="2" s="1"/>
  <c r="M687" i="2"/>
  <c r="N687" i="2" s="1"/>
  <c r="M686" i="2"/>
  <c r="N686" i="2" s="1"/>
  <c r="M685" i="2"/>
  <c r="N685" i="2" s="1"/>
  <c r="M684" i="2"/>
  <c r="N684" i="2" s="1"/>
  <c r="M683" i="2"/>
  <c r="N683" i="2" s="1"/>
  <c r="M682" i="2"/>
  <c r="N682" i="2" s="1"/>
  <c r="M681" i="2"/>
  <c r="N681" i="2" s="1"/>
  <c r="M680" i="2"/>
  <c r="N680" i="2" s="1"/>
  <c r="M679" i="2"/>
  <c r="N679" i="2" s="1"/>
  <c r="M678" i="2"/>
  <c r="N678" i="2" s="1"/>
  <c r="M677" i="2"/>
  <c r="N677" i="2" s="1"/>
  <c r="M676" i="2"/>
  <c r="N676" i="2" s="1"/>
  <c r="M675" i="2"/>
  <c r="N675" i="2" s="1"/>
  <c r="M674" i="2"/>
  <c r="N674" i="2" s="1"/>
  <c r="M673" i="2"/>
  <c r="M672" i="2"/>
  <c r="N672" i="2" s="1"/>
  <c r="M671" i="2"/>
  <c r="N671" i="2" s="1"/>
  <c r="M670" i="2"/>
  <c r="N670" i="2" s="1"/>
  <c r="M669" i="2"/>
  <c r="N669" i="2" s="1"/>
  <c r="M668" i="2"/>
  <c r="N668" i="2" s="1"/>
  <c r="M667" i="2"/>
  <c r="N667" i="2" s="1"/>
  <c r="M666" i="2"/>
  <c r="N666" i="2" s="1"/>
  <c r="M665" i="2"/>
  <c r="N665" i="2" s="1"/>
  <c r="M664" i="2"/>
  <c r="N664" i="2" s="1"/>
  <c r="M663" i="2"/>
  <c r="N663" i="2" s="1"/>
  <c r="M662" i="2"/>
  <c r="N662" i="2" s="1"/>
  <c r="M661" i="2"/>
  <c r="N661" i="2" s="1"/>
  <c r="M660" i="2"/>
  <c r="N660" i="2" s="1"/>
  <c r="M659" i="2"/>
  <c r="N659" i="2" s="1"/>
  <c r="M657" i="2"/>
  <c r="N657" i="2" s="1"/>
  <c r="M656" i="2"/>
  <c r="N656" i="2" s="1"/>
  <c r="M655" i="2"/>
  <c r="N655" i="2" s="1"/>
  <c r="M654" i="2"/>
  <c r="N654" i="2" s="1"/>
  <c r="M653" i="2"/>
  <c r="N653" i="2" s="1"/>
  <c r="M652" i="2"/>
  <c r="N652" i="2" s="1"/>
  <c r="M651" i="2"/>
  <c r="N651" i="2" s="1"/>
  <c r="M650" i="2"/>
  <c r="N650" i="2" s="1"/>
  <c r="M649" i="2"/>
  <c r="N649" i="2" s="1"/>
  <c r="M648" i="2"/>
  <c r="N648" i="2" s="1"/>
  <c r="M647" i="2"/>
  <c r="N647" i="2" s="1"/>
  <c r="M646" i="2"/>
  <c r="N646" i="2" s="1"/>
  <c r="M645" i="2"/>
  <c r="N645" i="2" s="1"/>
  <c r="M644" i="2"/>
  <c r="N644" i="2" s="1"/>
  <c r="M643" i="2"/>
  <c r="N643" i="2" s="1"/>
  <c r="M642" i="2"/>
  <c r="N642" i="2" s="1"/>
  <c r="M641" i="2"/>
  <c r="N641" i="2" s="1"/>
  <c r="M640" i="2"/>
  <c r="N640" i="2" s="1"/>
  <c r="M639" i="2"/>
  <c r="N639" i="2" s="1"/>
  <c r="M638" i="2"/>
  <c r="N638" i="2" s="1"/>
  <c r="M637" i="2"/>
  <c r="N637" i="2" s="1"/>
  <c r="M636" i="2"/>
  <c r="N636" i="2" s="1"/>
  <c r="M635" i="2"/>
  <c r="N635" i="2" s="1"/>
  <c r="M634" i="2"/>
  <c r="N634" i="2" s="1"/>
  <c r="M633" i="2"/>
  <c r="N633" i="2" s="1"/>
  <c r="M632" i="2"/>
  <c r="N632" i="2" s="1"/>
  <c r="M631" i="2"/>
  <c r="N631" i="2" s="1"/>
  <c r="M630" i="2"/>
  <c r="N630" i="2" s="1"/>
  <c r="M629" i="2"/>
  <c r="N629" i="2" s="1"/>
  <c r="M628" i="2"/>
  <c r="N628" i="2" s="1"/>
  <c r="M627" i="2"/>
  <c r="N627" i="2" s="1"/>
  <c r="M626" i="2"/>
  <c r="N626" i="2" s="1"/>
  <c r="M625" i="2"/>
  <c r="N625" i="2" s="1"/>
  <c r="M624" i="2"/>
  <c r="N624" i="2" s="1"/>
  <c r="M623" i="2"/>
  <c r="N623" i="2" s="1"/>
  <c r="M622" i="2"/>
  <c r="N622" i="2" s="1"/>
  <c r="M621" i="2"/>
  <c r="N621" i="2" s="1"/>
  <c r="M620" i="2"/>
  <c r="N620" i="2" s="1"/>
  <c r="M619" i="2"/>
  <c r="N619" i="2" s="1"/>
  <c r="M618" i="2"/>
  <c r="N618" i="2" s="1"/>
  <c r="M617" i="2"/>
  <c r="N617" i="2" s="1"/>
  <c r="M616" i="2"/>
  <c r="N616" i="2" s="1"/>
  <c r="M615" i="2"/>
  <c r="N615" i="2" s="1"/>
  <c r="M614" i="2"/>
  <c r="N614" i="2" s="1"/>
  <c r="M613" i="2"/>
  <c r="N613" i="2" s="1"/>
  <c r="M612" i="2"/>
  <c r="N612" i="2" s="1"/>
  <c r="M611" i="2"/>
  <c r="N611" i="2" s="1"/>
  <c r="M610" i="2"/>
  <c r="N610" i="2" s="1"/>
  <c r="M608" i="2"/>
  <c r="N608" i="2" s="1"/>
  <c r="M607" i="2"/>
  <c r="N607" i="2" s="1"/>
  <c r="M606" i="2"/>
  <c r="N606" i="2" s="1"/>
  <c r="M605" i="2"/>
  <c r="N605" i="2" s="1"/>
  <c r="M604" i="2"/>
  <c r="N604" i="2" s="1"/>
  <c r="M603" i="2"/>
  <c r="N603" i="2" s="1"/>
  <c r="M602" i="2"/>
  <c r="N602" i="2" s="1"/>
  <c r="M601" i="2"/>
  <c r="N601" i="2" s="1"/>
  <c r="M600" i="2"/>
  <c r="N600" i="2" s="1"/>
  <c r="M599" i="2"/>
  <c r="N599" i="2" s="1"/>
  <c r="M598" i="2"/>
  <c r="N598" i="2" s="1"/>
  <c r="M597" i="2"/>
  <c r="N597" i="2" s="1"/>
  <c r="M596" i="2"/>
  <c r="N596" i="2" s="1"/>
  <c r="M595" i="2"/>
  <c r="N595" i="2" s="1"/>
  <c r="M594" i="2"/>
  <c r="N594" i="2" s="1"/>
  <c r="M593" i="2"/>
  <c r="N593" i="2" s="1"/>
  <c r="M591" i="2"/>
  <c r="N591" i="2" s="1"/>
  <c r="M588" i="2"/>
  <c r="N588" i="2" s="1"/>
  <c r="M586" i="2"/>
  <c r="N586" i="2" s="1"/>
  <c r="M585" i="2"/>
  <c r="N585" i="2" s="1"/>
  <c r="M584" i="2"/>
  <c r="N584" i="2" s="1"/>
  <c r="M583" i="2"/>
  <c r="N583" i="2" s="1"/>
  <c r="M582" i="2"/>
  <c r="N582" i="2" s="1"/>
  <c r="M581" i="2"/>
  <c r="N581" i="2" s="1"/>
  <c r="M580" i="2"/>
  <c r="N580" i="2" s="1"/>
  <c r="M578" i="2"/>
  <c r="N578" i="2" s="1"/>
  <c r="M577" i="2"/>
  <c r="N577" i="2" s="1"/>
  <c r="M576" i="2"/>
  <c r="N576" i="2" s="1"/>
  <c r="M575" i="2"/>
  <c r="N575" i="2" s="1"/>
  <c r="M574" i="2"/>
  <c r="N574" i="2" s="1"/>
  <c r="M573" i="2"/>
  <c r="N573" i="2" s="1"/>
  <c r="M572" i="2"/>
  <c r="N572" i="2" s="1"/>
  <c r="M571" i="2"/>
  <c r="N571" i="2" s="1"/>
  <c r="M570" i="2"/>
  <c r="N570" i="2" s="1"/>
  <c r="M569" i="2"/>
  <c r="N569" i="2" s="1"/>
  <c r="M568" i="2"/>
  <c r="N568" i="2" s="1"/>
  <c r="M567" i="2"/>
  <c r="N567" i="2" s="1"/>
  <c r="M566" i="2"/>
  <c r="N566" i="2" s="1"/>
  <c r="M565" i="2"/>
  <c r="N565" i="2" s="1"/>
  <c r="M561" i="2"/>
  <c r="N561" i="2" s="1"/>
  <c r="M559" i="2"/>
  <c r="N559" i="2" s="1"/>
  <c r="M554" i="2"/>
  <c r="N554" i="2" s="1"/>
  <c r="M553" i="2"/>
  <c r="N553" i="2" s="1"/>
  <c r="M552" i="2"/>
  <c r="N552" i="2" s="1"/>
  <c r="M550" i="2"/>
  <c r="N550" i="2" s="1"/>
  <c r="M548" i="2"/>
  <c r="N548" i="2" s="1"/>
  <c r="M547" i="2"/>
  <c r="N547" i="2" s="1"/>
  <c r="M546" i="2"/>
  <c r="N546" i="2" s="1"/>
  <c r="M545" i="2"/>
  <c r="N545" i="2" s="1"/>
  <c r="M544" i="2"/>
  <c r="N544" i="2" s="1"/>
  <c r="M543" i="2"/>
  <c r="N543" i="2" s="1"/>
  <c r="M542" i="2"/>
  <c r="N542" i="2" s="1"/>
  <c r="M541" i="2"/>
  <c r="N541" i="2" s="1"/>
  <c r="M539" i="2"/>
  <c r="N539" i="2" s="1"/>
  <c r="M538" i="2"/>
  <c r="N538" i="2" s="1"/>
  <c r="M537" i="2"/>
  <c r="N537" i="2" s="1"/>
  <c r="M536" i="2"/>
  <c r="N536" i="2" s="1"/>
  <c r="M535" i="2"/>
  <c r="N535" i="2" s="1"/>
  <c r="M534" i="2"/>
  <c r="N534" i="2" s="1"/>
  <c r="M533" i="2"/>
  <c r="N533" i="2" s="1"/>
  <c r="M531" i="2"/>
  <c r="N531" i="2" s="1"/>
  <c r="M530" i="2"/>
  <c r="N530" i="2" s="1"/>
  <c r="M529" i="2"/>
  <c r="N529" i="2" s="1"/>
  <c r="M528" i="2"/>
  <c r="N528" i="2" s="1"/>
  <c r="M527" i="2"/>
  <c r="N527" i="2" s="1"/>
  <c r="M526" i="2"/>
  <c r="N526" i="2" s="1"/>
  <c r="M525" i="2"/>
  <c r="N525" i="2" s="1"/>
  <c r="M524" i="2"/>
  <c r="N524" i="2" s="1"/>
  <c r="M523" i="2"/>
  <c r="N523" i="2" s="1"/>
  <c r="M517" i="2"/>
  <c r="N517" i="2" s="1"/>
  <c r="M516" i="2"/>
  <c r="N516" i="2" s="1"/>
  <c r="M513" i="2"/>
  <c r="N513" i="2" s="1"/>
  <c r="M511" i="2"/>
  <c r="N511" i="2" s="1"/>
  <c r="M510" i="2"/>
  <c r="N510" i="2" s="1"/>
  <c r="M509" i="2"/>
  <c r="N509" i="2" s="1"/>
  <c r="M506" i="2"/>
  <c r="N506" i="2" s="1"/>
  <c r="M505" i="2"/>
  <c r="N505" i="2" s="1"/>
  <c r="M503" i="2"/>
  <c r="N503" i="2" s="1"/>
  <c r="M502" i="2"/>
  <c r="N502" i="2" s="1"/>
  <c r="M501" i="2"/>
  <c r="N501" i="2" s="1"/>
  <c r="M500" i="2"/>
  <c r="N500" i="2" s="1"/>
  <c r="M498" i="2"/>
  <c r="N498" i="2" s="1"/>
  <c r="M497" i="2"/>
  <c r="N497" i="2" s="1"/>
  <c r="M496" i="2"/>
  <c r="N496" i="2" s="1"/>
  <c r="M495" i="2"/>
  <c r="N495" i="2" s="1"/>
  <c r="M494" i="2"/>
  <c r="N494" i="2" s="1"/>
  <c r="M493" i="2"/>
  <c r="N493" i="2" s="1"/>
  <c r="M492" i="2"/>
  <c r="N492" i="2" s="1"/>
  <c r="M491" i="2"/>
  <c r="N491" i="2" s="1"/>
  <c r="M490" i="2"/>
  <c r="N490" i="2" s="1"/>
  <c r="M489" i="2"/>
  <c r="N489" i="2" s="1"/>
  <c r="M483" i="2"/>
  <c r="N483" i="2" s="1"/>
  <c r="M482" i="2"/>
  <c r="N482" i="2" s="1"/>
  <c r="M481" i="2"/>
  <c r="N481" i="2" s="1"/>
  <c r="M480" i="2"/>
  <c r="N480" i="2" s="1"/>
  <c r="M479" i="2"/>
  <c r="N479" i="2" s="1"/>
  <c r="M478" i="2"/>
  <c r="N478" i="2" s="1"/>
  <c r="M472" i="2"/>
  <c r="N472" i="2" s="1"/>
  <c r="M469" i="2"/>
  <c r="N469" i="2" s="1"/>
  <c r="M468" i="2"/>
  <c r="N468" i="2" s="1"/>
  <c r="M465" i="2"/>
  <c r="N465" i="2" s="1"/>
  <c r="M463" i="2"/>
  <c r="N463" i="2" s="1"/>
  <c r="M462" i="2"/>
  <c r="N462" i="2" s="1"/>
  <c r="M461" i="2"/>
  <c r="N461" i="2" s="1"/>
  <c r="M449" i="2"/>
  <c r="N449" i="2" s="1"/>
  <c r="M447" i="2"/>
  <c r="N447" i="2" s="1"/>
  <c r="M444" i="2"/>
  <c r="N444" i="2" s="1"/>
  <c r="M442" i="2"/>
  <c r="N442" i="2" s="1"/>
  <c r="M441" i="2"/>
  <c r="N441" i="2" s="1"/>
  <c r="M440" i="2"/>
  <c r="N440" i="2" s="1"/>
  <c r="M439" i="2"/>
  <c r="N439" i="2" s="1"/>
  <c r="M438" i="2"/>
  <c r="N438" i="2" s="1"/>
  <c r="M437" i="2"/>
  <c r="N437" i="2" s="1"/>
  <c r="M435" i="2"/>
  <c r="N435" i="2" s="1"/>
  <c r="M428" i="2"/>
  <c r="N428" i="2" s="1"/>
  <c r="M418" i="2"/>
  <c r="N418" i="2" s="1"/>
  <c r="M416" i="2"/>
  <c r="N416" i="2" s="1"/>
  <c r="M415" i="2"/>
  <c r="N415" i="2" s="1"/>
  <c r="M411" i="2"/>
  <c r="N411" i="2" s="1"/>
  <c r="M410" i="2"/>
  <c r="N410" i="2" s="1"/>
  <c r="M409" i="2"/>
  <c r="N409" i="2" s="1"/>
  <c r="M402" i="2"/>
  <c r="N402" i="2" s="1"/>
  <c r="M400" i="2"/>
  <c r="N400" i="2" s="1"/>
  <c r="M398" i="2"/>
  <c r="N398" i="2" s="1"/>
  <c r="M396" i="2"/>
  <c r="N396" i="2" s="1"/>
  <c r="M392" i="2"/>
  <c r="N392" i="2" s="1"/>
  <c r="M391" i="2"/>
  <c r="N391" i="2" s="1"/>
  <c r="M390" i="2"/>
  <c r="N390" i="2" s="1"/>
  <c r="M389" i="2"/>
  <c r="N389" i="2" s="1"/>
  <c r="M387" i="2"/>
  <c r="N387" i="2" s="1"/>
  <c r="M386" i="2"/>
  <c r="N386" i="2" s="1"/>
  <c r="M385" i="2"/>
  <c r="N385" i="2" s="1"/>
  <c r="M384" i="2"/>
  <c r="N384" i="2" s="1"/>
  <c r="M383" i="2"/>
  <c r="N383" i="2" s="1"/>
  <c r="M382" i="2"/>
  <c r="N382" i="2" s="1"/>
  <c r="M381" i="2"/>
  <c r="N381" i="2" s="1"/>
  <c r="M378" i="2"/>
  <c r="N378" i="2" s="1"/>
  <c r="M376" i="2"/>
  <c r="N376" i="2" s="1"/>
  <c r="M375" i="2"/>
  <c r="N375" i="2" s="1"/>
  <c r="M374" i="2"/>
  <c r="N374" i="2" s="1"/>
  <c r="M373" i="2"/>
  <c r="N373" i="2" s="1"/>
  <c r="M368" i="2"/>
  <c r="N368" i="2" s="1"/>
  <c r="M367" i="2"/>
  <c r="N367" i="2" s="1"/>
  <c r="M366" i="2"/>
  <c r="N366" i="2" s="1"/>
  <c r="M365" i="2"/>
  <c r="N365" i="2" s="1"/>
  <c r="M364" i="2"/>
  <c r="N364" i="2" s="1"/>
  <c r="M362" i="2"/>
  <c r="N362" i="2" s="1"/>
  <c r="M361" i="2"/>
  <c r="N361" i="2" s="1"/>
  <c r="M360" i="2"/>
  <c r="N360" i="2" s="1"/>
  <c r="M356" i="2"/>
  <c r="N356" i="2" s="1"/>
  <c r="M355" i="2"/>
  <c r="N355" i="2" s="1"/>
  <c r="M354" i="2"/>
  <c r="N354" i="2" s="1"/>
  <c r="M353" i="2"/>
  <c r="N353" i="2" s="1"/>
  <c r="M352" i="2"/>
  <c r="N352" i="2" s="1"/>
  <c r="M351" i="2"/>
  <c r="N351" i="2" s="1"/>
  <c r="M350" i="2"/>
  <c r="N350" i="2" s="1"/>
  <c r="M349" i="2"/>
  <c r="N349" i="2" s="1"/>
  <c r="M348" i="2"/>
  <c r="N348" i="2" s="1"/>
  <c r="M347" i="2"/>
  <c r="N347" i="2" s="1"/>
  <c r="M346" i="2"/>
  <c r="N346" i="2" s="1"/>
  <c r="M345" i="2"/>
  <c r="N345" i="2" s="1"/>
  <c r="M341" i="2"/>
  <c r="N341" i="2" s="1"/>
  <c r="M339" i="2"/>
  <c r="N339" i="2" s="1"/>
  <c r="M338" i="2"/>
  <c r="N338" i="2" s="1"/>
  <c r="M336" i="2"/>
  <c r="N336" i="2" s="1"/>
  <c r="M335" i="2"/>
  <c r="N335" i="2" s="1"/>
  <c r="M332" i="2"/>
  <c r="N332" i="2" s="1"/>
  <c r="M331" i="2"/>
  <c r="N331" i="2" s="1"/>
  <c r="M328" i="2"/>
  <c r="N328" i="2" s="1"/>
  <c r="M325" i="2"/>
  <c r="N325" i="2" s="1"/>
  <c r="M324" i="2"/>
  <c r="N324" i="2" s="1"/>
  <c r="M323" i="2"/>
  <c r="N323" i="2" s="1"/>
  <c r="M322" i="2"/>
  <c r="N322" i="2" s="1"/>
  <c r="M321" i="2"/>
  <c r="N321" i="2" s="1"/>
  <c r="M320" i="2"/>
  <c r="N320" i="2" s="1"/>
  <c r="M319" i="2"/>
  <c r="N319" i="2" s="1"/>
  <c r="M316" i="2"/>
  <c r="N316" i="2" s="1"/>
  <c r="M314" i="2"/>
  <c r="N314" i="2" s="1"/>
  <c r="M311" i="2"/>
  <c r="N311" i="2" s="1"/>
  <c r="M310" i="2"/>
  <c r="N310" i="2" s="1"/>
  <c r="M309" i="2"/>
  <c r="N309" i="2" s="1"/>
  <c r="M308" i="2"/>
  <c r="N308" i="2" s="1"/>
  <c r="M307" i="2"/>
  <c r="N307" i="2" s="1"/>
  <c r="M306" i="2"/>
  <c r="N306" i="2" s="1"/>
  <c r="M304" i="2"/>
  <c r="N304" i="2" s="1"/>
  <c r="M303" i="2"/>
  <c r="N303" i="2" s="1"/>
  <c r="M302" i="2"/>
  <c r="N302" i="2" s="1"/>
  <c r="M301" i="2"/>
  <c r="N301" i="2" s="1"/>
  <c r="M298" i="2"/>
  <c r="N298" i="2" s="1"/>
  <c r="M297" i="2"/>
  <c r="N297" i="2" s="1"/>
  <c r="M293" i="2"/>
  <c r="N293" i="2" s="1"/>
  <c r="M286" i="2"/>
  <c r="N286" i="2" s="1"/>
  <c r="M285" i="2"/>
  <c r="N285" i="2" s="1"/>
  <c r="M284" i="2"/>
  <c r="N284" i="2" s="1"/>
  <c r="M283" i="2"/>
  <c r="N283" i="2" s="1"/>
  <c r="M282" i="2"/>
  <c r="N282" i="2" s="1"/>
  <c r="M281" i="2"/>
  <c r="N281" i="2" s="1"/>
  <c r="M280" i="2"/>
  <c r="N280" i="2" s="1"/>
  <c r="M279" i="2"/>
  <c r="N279" i="2" s="1"/>
  <c r="M275" i="2"/>
  <c r="N275" i="2" s="1"/>
  <c r="M271" i="2"/>
  <c r="N271" i="2" s="1"/>
  <c r="M270" i="2"/>
  <c r="N270" i="2" s="1"/>
  <c r="M269" i="2"/>
  <c r="N269" i="2" s="1"/>
  <c r="M268" i="2"/>
  <c r="N268" i="2" s="1"/>
  <c r="M263" i="2"/>
  <c r="N263" i="2" s="1"/>
  <c r="M260" i="2"/>
  <c r="N260" i="2" s="1"/>
  <c r="M259" i="2"/>
  <c r="N259" i="2" s="1"/>
  <c r="M257" i="2"/>
  <c r="N257" i="2" s="1"/>
  <c r="M252" i="2"/>
  <c r="N252" i="2" s="1"/>
  <c r="M250" i="2"/>
  <c r="N250" i="2" s="1"/>
  <c r="M249" i="2"/>
  <c r="N249" i="2" s="1"/>
  <c r="M248" i="2"/>
  <c r="N248" i="2" s="1"/>
  <c r="M247" i="2"/>
  <c r="N247" i="2" s="1"/>
  <c r="M246" i="2"/>
  <c r="N246" i="2" s="1"/>
  <c r="M245" i="2"/>
  <c r="N245" i="2" s="1"/>
  <c r="M243" i="2"/>
  <c r="N243" i="2" s="1"/>
  <c r="M242" i="2"/>
  <c r="N242" i="2" s="1"/>
  <c r="M241" i="2"/>
  <c r="N241" i="2" s="1"/>
  <c r="M240" i="2"/>
  <c r="N240" i="2" s="1"/>
  <c r="M239" i="2"/>
  <c r="N239" i="2" s="1"/>
  <c r="M238" i="2"/>
  <c r="N238" i="2" s="1"/>
  <c r="M237" i="2"/>
  <c r="N237" i="2" s="1"/>
  <c r="M236" i="2"/>
  <c r="N236" i="2" s="1"/>
  <c r="M235" i="2"/>
  <c r="N235" i="2" s="1"/>
  <c r="M234" i="2"/>
  <c r="N234" i="2" s="1"/>
  <c r="M231" i="2"/>
  <c r="N231" i="2" s="1"/>
  <c r="M230" i="2"/>
  <c r="N230" i="2" s="1"/>
  <c r="M229" i="2"/>
  <c r="N229" i="2" s="1"/>
  <c r="M228" i="2"/>
  <c r="N228" i="2" s="1"/>
  <c r="M227" i="2"/>
  <c r="N227" i="2" s="1"/>
  <c r="M226" i="2"/>
  <c r="N226" i="2" s="1"/>
  <c r="M225" i="2"/>
  <c r="N225" i="2" s="1"/>
  <c r="M224" i="2"/>
  <c r="N224" i="2" s="1"/>
  <c r="M223" i="2"/>
  <c r="N223" i="2" s="1"/>
  <c r="M220" i="2"/>
  <c r="N220" i="2" s="1"/>
  <c r="M219" i="2"/>
  <c r="N219" i="2" s="1"/>
  <c r="M217" i="2"/>
  <c r="N217" i="2" s="1"/>
  <c r="M216" i="2"/>
  <c r="N216" i="2" s="1"/>
  <c r="M215" i="2"/>
  <c r="N215" i="2" s="1"/>
  <c r="M214" i="2"/>
  <c r="N214" i="2" s="1"/>
  <c r="M213" i="2"/>
  <c r="N213" i="2" s="1"/>
  <c r="M212" i="2"/>
  <c r="N212" i="2" s="1"/>
  <c r="M211" i="2"/>
  <c r="N211" i="2" s="1"/>
  <c r="M210" i="2"/>
  <c r="N210" i="2" s="1"/>
  <c r="M209" i="2"/>
  <c r="N209" i="2" s="1"/>
  <c r="M208" i="2"/>
  <c r="N208" i="2" s="1"/>
  <c r="M207" i="2"/>
  <c r="N207" i="2" s="1"/>
  <c r="M206" i="2"/>
  <c r="N206" i="2" s="1"/>
  <c r="M204" i="2"/>
  <c r="N204" i="2" s="1"/>
  <c r="M203" i="2"/>
  <c r="N203" i="2" s="1"/>
  <c r="M202" i="2"/>
  <c r="N202" i="2" s="1"/>
  <c r="M201" i="2"/>
  <c r="N201" i="2" s="1"/>
  <c r="M200" i="2"/>
  <c r="N200" i="2" s="1"/>
  <c r="M199" i="2"/>
  <c r="N199" i="2" s="1"/>
  <c r="M198" i="2"/>
  <c r="N198" i="2" s="1"/>
  <c r="M197" i="2"/>
  <c r="N197" i="2" s="1"/>
  <c r="M196" i="2"/>
  <c r="N196" i="2" s="1"/>
  <c r="M195" i="2"/>
  <c r="N195" i="2" s="1"/>
  <c r="M194" i="2"/>
  <c r="N194" i="2" s="1"/>
  <c r="M192" i="2"/>
  <c r="N192" i="2" s="1"/>
  <c r="M191" i="2"/>
  <c r="N191" i="2" s="1"/>
  <c r="M190" i="2"/>
  <c r="N190" i="2" s="1"/>
  <c r="M189" i="2"/>
  <c r="N189" i="2" s="1"/>
  <c r="M188" i="2"/>
  <c r="N188" i="2" s="1"/>
  <c r="M187" i="2"/>
  <c r="N187" i="2" s="1"/>
  <c r="M186" i="2"/>
  <c r="N186" i="2" s="1"/>
  <c r="M185" i="2"/>
  <c r="N185" i="2" s="1"/>
  <c r="M184" i="2"/>
  <c r="N184" i="2" s="1"/>
  <c r="M183" i="2"/>
  <c r="N183" i="2" s="1"/>
  <c r="M182" i="2"/>
  <c r="N182" i="2" s="1"/>
  <c r="M179" i="2"/>
  <c r="N179" i="2" s="1"/>
  <c r="M178" i="2"/>
  <c r="N178" i="2" s="1"/>
  <c r="M176" i="2"/>
  <c r="N176" i="2" s="1"/>
  <c r="M175" i="2"/>
  <c r="N175" i="2" s="1"/>
  <c r="M174" i="2"/>
  <c r="N174" i="2" s="1"/>
  <c r="M173" i="2"/>
  <c r="N173" i="2" s="1"/>
  <c r="M172" i="2"/>
  <c r="N172" i="2" s="1"/>
  <c r="M171" i="2"/>
  <c r="N171" i="2" s="1"/>
  <c r="M170" i="2"/>
  <c r="N170" i="2" s="1"/>
  <c r="M169" i="2"/>
  <c r="N169" i="2" s="1"/>
  <c r="M168" i="2"/>
  <c r="N168" i="2" s="1"/>
  <c r="M167" i="2"/>
  <c r="N167" i="2" s="1"/>
  <c r="M166" i="2"/>
  <c r="N166" i="2" s="1"/>
  <c r="M165" i="2"/>
  <c r="N165" i="2" s="1"/>
  <c r="M164" i="2"/>
  <c r="N164" i="2" s="1"/>
  <c r="M163" i="2"/>
  <c r="N163" i="2" s="1"/>
  <c r="M162" i="2"/>
  <c r="N162" i="2" s="1"/>
  <c r="M161" i="2"/>
  <c r="N161" i="2" s="1"/>
  <c r="M160" i="2"/>
  <c r="N160" i="2" s="1"/>
  <c r="M159" i="2"/>
  <c r="N159" i="2" s="1"/>
  <c r="M152" i="2"/>
  <c r="N152" i="2" s="1"/>
  <c r="M151" i="2"/>
  <c r="N151" i="2" s="1"/>
  <c r="M150" i="2"/>
  <c r="N150" i="2" s="1"/>
  <c r="M149" i="2"/>
  <c r="N149" i="2" s="1"/>
  <c r="M148" i="2"/>
  <c r="N148" i="2" s="1"/>
  <c r="M147" i="2"/>
  <c r="N147" i="2" s="1"/>
  <c r="M146" i="2"/>
  <c r="N146" i="2" s="1"/>
  <c r="M144" i="2"/>
  <c r="N144" i="2" s="1"/>
  <c r="M143" i="2"/>
  <c r="N143" i="2" s="1"/>
  <c r="M140" i="2"/>
  <c r="N140" i="2" s="1"/>
  <c r="M139" i="2"/>
  <c r="N139" i="2" s="1"/>
  <c r="M138" i="2"/>
  <c r="N138" i="2" s="1"/>
  <c r="M137" i="2"/>
  <c r="N137" i="2" s="1"/>
  <c r="M136" i="2"/>
  <c r="N136" i="2" s="1"/>
  <c r="M135" i="2"/>
  <c r="N135" i="2" s="1"/>
  <c r="M132" i="2"/>
  <c r="N132" i="2" s="1"/>
  <c r="M131" i="2"/>
  <c r="N131" i="2" s="1"/>
  <c r="M130" i="2"/>
  <c r="N130" i="2" s="1"/>
  <c r="M129" i="2"/>
  <c r="N129" i="2" s="1"/>
  <c r="M127" i="2"/>
  <c r="N127" i="2" s="1"/>
  <c r="M125" i="2"/>
  <c r="N125" i="2" s="1"/>
  <c r="M124" i="2"/>
  <c r="N124" i="2" s="1"/>
  <c r="M123" i="2"/>
  <c r="N123" i="2" s="1"/>
  <c r="M122" i="2"/>
  <c r="N122" i="2" s="1"/>
  <c r="M121" i="2"/>
  <c r="N121" i="2" s="1"/>
  <c r="M119" i="2"/>
  <c r="N119" i="2" s="1"/>
  <c r="M118" i="2"/>
  <c r="N118" i="2" s="1"/>
  <c r="M114" i="2"/>
  <c r="N114" i="2" s="1"/>
  <c r="M113" i="2"/>
  <c r="N113" i="2" s="1"/>
  <c r="M112" i="2"/>
  <c r="N112" i="2" s="1"/>
  <c r="M111" i="2"/>
  <c r="N111" i="2" s="1"/>
  <c r="M107" i="2"/>
  <c r="N107" i="2" s="1"/>
  <c r="M106" i="2"/>
  <c r="N106" i="2" s="1"/>
  <c r="M105" i="2"/>
  <c r="N105" i="2" s="1"/>
  <c r="M104" i="2"/>
  <c r="N104" i="2" s="1"/>
  <c r="M103" i="2"/>
  <c r="N103" i="2" s="1"/>
  <c r="M102" i="2"/>
  <c r="N102" i="2" s="1"/>
  <c r="M101" i="2"/>
  <c r="N101" i="2" s="1"/>
  <c r="M100" i="2"/>
  <c r="N100" i="2" s="1"/>
  <c r="M99" i="2"/>
  <c r="N99" i="2" s="1"/>
  <c r="M98" i="2"/>
  <c r="N98" i="2" s="1"/>
  <c r="M97" i="2"/>
  <c r="N97" i="2" s="1"/>
  <c r="M96" i="2"/>
  <c r="N96" i="2" s="1"/>
  <c r="M95" i="2"/>
  <c r="N95" i="2" s="1"/>
  <c r="M94" i="2"/>
  <c r="N94" i="2" s="1"/>
  <c r="M93" i="2"/>
  <c r="N93" i="2" s="1"/>
  <c r="M92" i="2"/>
  <c r="N92" i="2" s="1"/>
  <c r="M87" i="2"/>
  <c r="N87" i="2" s="1"/>
  <c r="M86" i="2"/>
  <c r="N86" i="2" s="1"/>
  <c r="M82" i="2"/>
  <c r="N82" i="2" s="1"/>
  <c r="M72" i="2"/>
  <c r="N72" i="2" s="1"/>
  <c r="M70" i="2"/>
  <c r="N70" i="2" s="1"/>
  <c r="M69" i="2"/>
  <c r="N69" i="2" s="1"/>
  <c r="M68" i="2"/>
  <c r="N68" i="2" s="1"/>
  <c r="M67" i="2"/>
  <c r="N67" i="2" s="1"/>
  <c r="M66" i="2"/>
  <c r="N66" i="2" s="1"/>
  <c r="M65" i="2"/>
  <c r="N65" i="2" s="1"/>
  <c r="M56" i="2"/>
  <c r="N56" i="2" s="1"/>
  <c r="M54" i="2"/>
  <c r="N54" i="2" s="1"/>
  <c r="M53" i="2"/>
  <c r="N53" i="2" s="1"/>
  <c r="M52" i="2"/>
  <c r="N52" i="2" s="1"/>
  <c r="M51" i="2"/>
  <c r="N51" i="2" s="1"/>
  <c r="M50" i="2"/>
  <c r="N50" i="2" s="1"/>
  <c r="M49" i="2"/>
  <c r="N49" i="2" s="1"/>
  <c r="M48" i="2"/>
  <c r="N48" i="2" s="1"/>
  <c r="M47" i="2"/>
  <c r="N47" i="2" s="1"/>
  <c r="M46" i="2"/>
  <c r="N46" i="2" s="1"/>
  <c r="M37" i="2"/>
  <c r="N37" i="2" s="1"/>
  <c r="M36" i="2"/>
  <c r="N36" i="2" s="1"/>
  <c r="M35" i="2"/>
  <c r="N35" i="2" s="1"/>
  <c r="M34" i="2"/>
  <c r="N34" i="2" s="1"/>
  <c r="M33" i="2"/>
  <c r="N33" i="2" s="1"/>
  <c r="M32" i="2"/>
  <c r="N32" i="2" s="1"/>
  <c r="M29" i="2"/>
  <c r="N29" i="2" s="1"/>
  <c r="M20" i="2"/>
  <c r="N20" i="2" s="1"/>
  <c r="M19" i="2"/>
  <c r="N19" i="2" s="1"/>
  <c r="M17" i="2"/>
  <c r="N17" i="2" s="1"/>
  <c r="M16" i="2"/>
  <c r="N16" i="2" s="1"/>
  <c r="M13" i="2"/>
  <c r="N13" i="2" s="1"/>
  <c r="M412" i="2"/>
  <c r="N412" i="2" s="1"/>
  <c r="M948" i="2"/>
  <c r="N948" i="2" s="1"/>
  <c r="M947" i="2"/>
  <c r="N947" i="2" s="1"/>
  <c r="M943" i="2"/>
  <c r="N943" i="2" s="1"/>
  <c r="M913" i="2"/>
  <c r="N913" i="2" s="1"/>
  <c r="M912" i="2"/>
  <c r="N912" i="2" s="1"/>
  <c r="M911" i="2"/>
  <c r="N911" i="2" s="1"/>
  <c r="M910" i="2"/>
  <c r="N910" i="2" s="1"/>
  <c r="M905" i="2"/>
  <c r="N905" i="2" s="1"/>
  <c r="M904" i="2"/>
  <c r="N904" i="2" s="1"/>
  <c r="M886" i="2"/>
  <c r="N886" i="2" s="1"/>
  <c r="M878" i="2"/>
  <c r="N878" i="2" s="1"/>
  <c r="M866" i="2"/>
  <c r="N866" i="2" s="1"/>
  <c r="M856" i="2"/>
  <c r="N856" i="2" s="1"/>
  <c r="M834" i="2"/>
  <c r="N834" i="2" s="1"/>
  <c r="M833" i="2"/>
  <c r="N833" i="2" s="1"/>
  <c r="M716" i="2"/>
  <c r="N716" i="2" s="1"/>
  <c r="M658" i="2"/>
  <c r="N658" i="2" s="1"/>
  <c r="M609" i="2"/>
  <c r="N609" i="2" s="1"/>
  <c r="M592" i="2"/>
  <c r="N592" i="2" s="1"/>
  <c r="M590" i="2"/>
  <c r="N590" i="2" s="1"/>
  <c r="M589" i="2"/>
  <c r="N589" i="2" s="1"/>
  <c r="M587" i="2"/>
  <c r="N587" i="2" s="1"/>
  <c r="M579" i="2"/>
  <c r="N579" i="2" s="1"/>
  <c r="M564" i="2"/>
  <c r="N564" i="2" s="1"/>
  <c r="M563" i="2"/>
  <c r="N563" i="2" s="1"/>
  <c r="M562" i="2"/>
  <c r="N562" i="2" s="1"/>
  <c r="M560" i="2"/>
  <c r="N560" i="2" s="1"/>
  <c r="M558" i="2"/>
  <c r="N558" i="2" s="1"/>
  <c r="M557" i="2"/>
  <c r="N557" i="2" s="1"/>
  <c r="M556" i="2"/>
  <c r="N556" i="2" s="1"/>
  <c r="M555" i="2"/>
  <c r="N555" i="2" s="1"/>
  <c r="M551" i="2"/>
  <c r="N551" i="2" s="1"/>
  <c r="M549" i="2"/>
  <c r="N549" i="2" s="1"/>
  <c r="M540" i="2"/>
  <c r="N540" i="2" s="1"/>
  <c r="M532" i="2"/>
  <c r="N532" i="2" s="1"/>
  <c r="M522" i="2"/>
  <c r="N522" i="2" s="1"/>
  <c r="M521" i="2"/>
  <c r="N521" i="2" s="1"/>
  <c r="M520" i="2"/>
  <c r="N520" i="2" s="1"/>
  <c r="M519" i="2"/>
  <c r="N519" i="2" s="1"/>
  <c r="M518" i="2"/>
  <c r="N518" i="2" s="1"/>
  <c r="M515" i="2"/>
  <c r="N515" i="2" s="1"/>
  <c r="M514" i="2"/>
  <c r="N514" i="2" s="1"/>
  <c r="M512" i="2"/>
  <c r="N512" i="2" s="1"/>
  <c r="M508" i="2"/>
  <c r="N508" i="2" s="1"/>
  <c r="M507" i="2"/>
  <c r="N507" i="2" s="1"/>
  <c r="M504" i="2"/>
  <c r="N504" i="2" s="1"/>
  <c r="M499" i="2"/>
  <c r="N499" i="2" s="1"/>
  <c r="M488" i="2"/>
  <c r="N488" i="2" s="1"/>
  <c r="M487" i="2"/>
  <c r="N487" i="2" s="1"/>
  <c r="M486" i="2"/>
  <c r="N486" i="2" s="1"/>
  <c r="M485" i="2"/>
  <c r="N485" i="2" s="1"/>
  <c r="M484" i="2"/>
  <c r="N484" i="2" s="1"/>
  <c r="M477" i="2"/>
  <c r="N477" i="2" s="1"/>
  <c r="M476" i="2"/>
  <c r="N476" i="2" s="1"/>
  <c r="M475" i="2"/>
  <c r="N475" i="2" s="1"/>
  <c r="M474" i="2"/>
  <c r="N474" i="2" s="1"/>
  <c r="M473" i="2"/>
  <c r="N473" i="2" s="1"/>
  <c r="M471" i="2"/>
  <c r="N471" i="2" s="1"/>
  <c r="M470" i="2"/>
  <c r="N470" i="2" s="1"/>
  <c r="M467" i="2"/>
  <c r="N467" i="2" s="1"/>
  <c r="M466" i="2"/>
  <c r="N466" i="2" s="1"/>
  <c r="M464" i="2"/>
  <c r="N464" i="2" s="1"/>
  <c r="M460" i="2"/>
  <c r="N460" i="2" s="1"/>
  <c r="M459" i="2"/>
  <c r="N459" i="2" s="1"/>
  <c r="M458" i="2"/>
  <c r="N458" i="2" s="1"/>
  <c r="M457" i="2"/>
  <c r="N457" i="2" s="1"/>
  <c r="M456" i="2"/>
  <c r="N456" i="2" s="1"/>
  <c r="M455" i="2"/>
  <c r="N455" i="2" s="1"/>
  <c r="M454" i="2"/>
  <c r="N454" i="2" s="1"/>
  <c r="M453" i="2"/>
  <c r="N453" i="2" s="1"/>
  <c r="M452" i="2"/>
  <c r="N452" i="2" s="1"/>
  <c r="M451" i="2"/>
  <c r="N451" i="2" s="1"/>
  <c r="M450" i="2"/>
  <c r="N450" i="2" s="1"/>
  <c r="M448" i="2"/>
  <c r="N448" i="2" s="1"/>
  <c r="M446" i="2"/>
  <c r="N446" i="2" s="1"/>
  <c r="M445" i="2"/>
  <c r="N445" i="2" s="1"/>
  <c r="M443" i="2"/>
  <c r="N443" i="2" s="1"/>
  <c r="M436" i="2"/>
  <c r="N436" i="2" s="1"/>
  <c r="M434" i="2"/>
  <c r="N434" i="2" s="1"/>
  <c r="M433" i="2"/>
  <c r="N433" i="2" s="1"/>
  <c r="M432" i="2"/>
  <c r="N432" i="2" s="1"/>
  <c r="M431" i="2"/>
  <c r="N431" i="2" s="1"/>
  <c r="M430" i="2"/>
  <c r="N430" i="2" s="1"/>
  <c r="M429" i="2"/>
  <c r="N429" i="2" s="1"/>
  <c r="M427" i="2"/>
  <c r="N427" i="2" s="1"/>
  <c r="M426" i="2"/>
  <c r="N426" i="2" s="1"/>
  <c r="M425" i="2"/>
  <c r="N425" i="2" s="1"/>
  <c r="M424" i="2"/>
  <c r="N424" i="2" s="1"/>
  <c r="M423" i="2"/>
  <c r="N423" i="2" s="1"/>
  <c r="M422" i="2"/>
  <c r="N422" i="2" s="1"/>
  <c r="M421" i="2"/>
  <c r="N421" i="2" s="1"/>
  <c r="M420" i="2"/>
  <c r="N420" i="2" s="1"/>
  <c r="M419" i="2"/>
  <c r="N419" i="2" s="1"/>
  <c r="M417" i="2"/>
  <c r="N417" i="2" s="1"/>
  <c r="M414" i="2"/>
  <c r="N414" i="2" s="1"/>
  <c r="M413" i="2"/>
  <c r="N413" i="2" s="1"/>
  <c r="M408" i="2"/>
  <c r="N408" i="2" s="1"/>
  <c r="M407" i="2"/>
  <c r="N407" i="2" s="1"/>
  <c r="M406" i="2"/>
  <c r="N406" i="2" s="1"/>
  <c r="M405" i="2"/>
  <c r="N405" i="2" s="1"/>
  <c r="M404" i="2"/>
  <c r="N404" i="2" s="1"/>
  <c r="M403" i="2"/>
  <c r="N403" i="2" s="1"/>
  <c r="M401" i="2"/>
  <c r="N401" i="2" s="1"/>
  <c r="M399" i="2"/>
  <c r="N399" i="2" s="1"/>
  <c r="M397" i="2"/>
  <c r="N397" i="2" s="1"/>
  <c r="M395" i="2"/>
  <c r="N395" i="2" s="1"/>
  <c r="M394" i="2"/>
  <c r="N394" i="2" s="1"/>
  <c r="M393" i="2"/>
  <c r="N393" i="2" s="1"/>
  <c r="M388" i="2"/>
  <c r="N388" i="2" s="1"/>
  <c r="M380" i="2"/>
  <c r="N380" i="2" s="1"/>
  <c r="M379" i="2"/>
  <c r="N379" i="2" s="1"/>
  <c r="M377" i="2"/>
  <c r="N377" i="2" s="1"/>
  <c r="M372" i="2"/>
  <c r="N372" i="2" s="1"/>
  <c r="M371" i="2"/>
  <c r="N371" i="2" s="1"/>
  <c r="M370" i="2"/>
  <c r="N370" i="2" s="1"/>
  <c r="M369" i="2"/>
  <c r="N369" i="2" s="1"/>
  <c r="M363" i="2"/>
  <c r="N363" i="2" s="1"/>
  <c r="M359" i="2"/>
  <c r="N359" i="2" s="1"/>
  <c r="M358" i="2"/>
  <c r="N358" i="2" s="1"/>
  <c r="M357" i="2"/>
  <c r="N357" i="2" s="1"/>
  <c r="M344" i="2"/>
  <c r="N344" i="2" s="1"/>
  <c r="M343" i="2"/>
  <c r="N343" i="2" s="1"/>
  <c r="M342" i="2"/>
  <c r="N342" i="2" s="1"/>
  <c r="M340" i="2"/>
  <c r="N340" i="2" s="1"/>
  <c r="M337" i="2"/>
  <c r="N337" i="2" s="1"/>
  <c r="M334" i="2"/>
  <c r="N334" i="2" s="1"/>
  <c r="M333" i="2"/>
  <c r="N333" i="2" s="1"/>
  <c r="M330" i="2"/>
  <c r="N330" i="2" s="1"/>
  <c r="M329" i="2"/>
  <c r="N329" i="2" s="1"/>
  <c r="M327" i="2"/>
  <c r="N327" i="2" s="1"/>
  <c r="M326" i="2"/>
  <c r="N326" i="2" s="1"/>
  <c r="M318" i="2"/>
  <c r="N318" i="2" s="1"/>
  <c r="M317" i="2"/>
  <c r="N317" i="2" s="1"/>
  <c r="M315" i="2"/>
  <c r="N315" i="2" s="1"/>
  <c r="M313" i="2"/>
  <c r="N313" i="2" s="1"/>
  <c r="M312" i="2"/>
  <c r="N312" i="2" s="1"/>
  <c r="M305" i="2"/>
  <c r="N305" i="2" s="1"/>
  <c r="M300" i="2"/>
  <c r="N300" i="2" s="1"/>
  <c r="M299" i="2"/>
  <c r="N299" i="2" s="1"/>
  <c r="M296" i="2"/>
  <c r="N296" i="2" s="1"/>
  <c r="M295" i="2"/>
  <c r="N295" i="2" s="1"/>
  <c r="M294" i="2"/>
  <c r="N294" i="2" s="1"/>
  <c r="M292" i="2"/>
  <c r="N292" i="2" s="1"/>
  <c r="M291" i="2"/>
  <c r="N291" i="2" s="1"/>
  <c r="M290" i="2"/>
  <c r="N290" i="2" s="1"/>
  <c r="M289" i="2"/>
  <c r="N289" i="2" s="1"/>
  <c r="M288" i="2"/>
  <c r="N288" i="2" s="1"/>
  <c r="M287" i="2"/>
  <c r="N287" i="2" s="1"/>
  <c r="M278" i="2"/>
  <c r="N278" i="2" s="1"/>
  <c r="M277" i="2"/>
  <c r="N277" i="2" s="1"/>
  <c r="M276" i="2"/>
  <c r="N276" i="2" s="1"/>
  <c r="M274" i="2"/>
  <c r="N274" i="2" s="1"/>
  <c r="M273" i="2"/>
  <c r="N273" i="2" s="1"/>
  <c r="M272" i="2"/>
  <c r="N272" i="2" s="1"/>
  <c r="M267" i="2"/>
  <c r="N267" i="2" s="1"/>
  <c r="M266" i="2"/>
  <c r="N266" i="2" s="1"/>
  <c r="M265" i="2"/>
  <c r="N265" i="2" s="1"/>
  <c r="M264" i="2"/>
  <c r="N264" i="2" s="1"/>
  <c r="M262" i="2"/>
  <c r="N262" i="2" s="1"/>
  <c r="M261" i="2"/>
  <c r="N261" i="2" s="1"/>
  <c r="M258" i="2"/>
  <c r="N258" i="2" s="1"/>
  <c r="M256" i="2"/>
  <c r="N256" i="2" s="1"/>
  <c r="M255" i="2"/>
  <c r="N255" i="2" s="1"/>
  <c r="M254" i="2"/>
  <c r="N254" i="2" s="1"/>
  <c r="M253" i="2"/>
  <c r="N253" i="2" s="1"/>
  <c r="M251" i="2"/>
  <c r="N251" i="2" s="1"/>
  <c r="M244" i="2"/>
  <c r="N244" i="2" s="1"/>
  <c r="M233" i="2"/>
  <c r="N233" i="2" s="1"/>
  <c r="M232" i="2"/>
  <c r="N232" i="2" s="1"/>
  <c r="M222" i="2"/>
  <c r="N222" i="2" s="1"/>
  <c r="M221" i="2"/>
  <c r="N221" i="2" s="1"/>
  <c r="M218" i="2"/>
  <c r="N218" i="2" s="1"/>
  <c r="M205" i="2"/>
  <c r="N205" i="2" s="1"/>
  <c r="M193" i="2"/>
  <c r="N193" i="2" s="1"/>
  <c r="M181" i="2"/>
  <c r="N181" i="2" s="1"/>
  <c r="M180" i="2"/>
  <c r="N180" i="2" s="1"/>
  <c r="M177" i="2"/>
  <c r="N177" i="2" s="1"/>
  <c r="M158" i="2"/>
  <c r="N158" i="2" s="1"/>
  <c r="M157" i="2"/>
  <c r="N157" i="2" s="1"/>
  <c r="M156" i="2"/>
  <c r="N156" i="2" s="1"/>
  <c r="M155" i="2"/>
  <c r="N155" i="2" s="1"/>
  <c r="M154" i="2"/>
  <c r="N154" i="2" s="1"/>
  <c r="M153" i="2"/>
  <c r="N153" i="2" s="1"/>
  <c r="M145" i="2"/>
  <c r="N145" i="2" s="1"/>
  <c r="M142" i="2"/>
  <c r="N142" i="2" s="1"/>
  <c r="M141" i="2"/>
  <c r="N141" i="2" s="1"/>
  <c r="M134" i="2"/>
  <c r="N134" i="2" s="1"/>
  <c r="M133" i="2"/>
  <c r="N133" i="2" s="1"/>
  <c r="M128" i="2"/>
  <c r="N128" i="2" s="1"/>
  <c r="M126" i="2"/>
  <c r="N126" i="2" s="1"/>
  <c r="M120" i="2"/>
  <c r="N120" i="2" s="1"/>
  <c r="M117" i="2"/>
  <c r="N117" i="2" s="1"/>
  <c r="M116" i="2"/>
  <c r="N116" i="2" s="1"/>
  <c r="M115" i="2"/>
  <c r="N115" i="2" s="1"/>
  <c r="M110" i="2"/>
  <c r="N110" i="2" s="1"/>
  <c r="M109" i="2"/>
  <c r="N109" i="2" s="1"/>
  <c r="M108" i="2"/>
  <c r="N108" i="2" s="1"/>
  <c r="M91" i="2"/>
  <c r="N91" i="2" s="1"/>
  <c r="M90" i="2"/>
  <c r="N90" i="2" s="1"/>
  <c r="M89" i="2"/>
  <c r="N89" i="2" s="1"/>
  <c r="M88" i="2"/>
  <c r="N88" i="2" s="1"/>
  <c r="M85" i="2"/>
  <c r="N85" i="2" s="1"/>
  <c r="M84" i="2"/>
  <c r="N84" i="2" s="1"/>
  <c r="M83" i="2"/>
  <c r="N83" i="2" s="1"/>
  <c r="M81" i="2"/>
  <c r="N81" i="2" s="1"/>
  <c r="M80" i="2"/>
  <c r="N80" i="2" s="1"/>
  <c r="M79" i="2"/>
  <c r="N79" i="2" s="1"/>
  <c r="M78" i="2"/>
  <c r="N78" i="2" s="1"/>
  <c r="M77" i="2"/>
  <c r="N77" i="2" s="1"/>
  <c r="M76" i="2"/>
  <c r="N76" i="2" s="1"/>
  <c r="M75" i="2"/>
  <c r="N75" i="2" s="1"/>
  <c r="M74" i="2"/>
  <c r="N74" i="2" s="1"/>
  <c r="M73" i="2"/>
  <c r="N73" i="2" s="1"/>
  <c r="M71" i="2"/>
  <c r="N71" i="2" s="1"/>
  <c r="M64" i="2"/>
  <c r="N64" i="2" s="1"/>
  <c r="M63" i="2"/>
  <c r="N63" i="2" s="1"/>
  <c r="M62" i="2"/>
  <c r="N62" i="2" s="1"/>
  <c r="M61" i="2"/>
  <c r="N61" i="2" s="1"/>
  <c r="M60" i="2"/>
  <c r="N60" i="2" s="1"/>
  <c r="M59" i="2"/>
  <c r="N59" i="2" s="1"/>
  <c r="M58" i="2"/>
  <c r="N58" i="2" s="1"/>
  <c r="M57" i="2"/>
  <c r="N57" i="2" s="1"/>
  <c r="M55" i="2"/>
  <c r="N55" i="2" s="1"/>
  <c r="M45" i="2"/>
  <c r="N45" i="2" s="1"/>
  <c r="M44" i="2"/>
  <c r="N44" i="2" s="1"/>
  <c r="M43" i="2"/>
  <c r="N43" i="2" s="1"/>
  <c r="M42" i="2"/>
  <c r="N42" i="2" s="1"/>
  <c r="M41" i="2"/>
  <c r="N41" i="2" s="1"/>
  <c r="M40" i="2"/>
  <c r="N40" i="2" s="1"/>
  <c r="M39" i="2"/>
  <c r="N39" i="2" s="1"/>
  <c r="M38" i="2"/>
  <c r="N38" i="2" s="1"/>
  <c r="M31" i="2"/>
  <c r="N31" i="2" s="1"/>
  <c r="M30" i="2"/>
  <c r="N30" i="2" s="1"/>
  <c r="M28" i="2"/>
  <c r="N28" i="2" s="1"/>
  <c r="M27" i="2"/>
  <c r="N27" i="2" s="1"/>
  <c r="M26" i="2"/>
  <c r="N26" i="2" s="1"/>
  <c r="M25" i="2"/>
  <c r="N25" i="2" s="1"/>
  <c r="M24" i="2"/>
  <c r="N24" i="2" s="1"/>
  <c r="M23" i="2"/>
  <c r="N23" i="2" s="1"/>
  <c r="M22" i="2"/>
  <c r="N22" i="2" s="1"/>
  <c r="M21" i="2"/>
  <c r="N21" i="2" s="1"/>
  <c r="M15" i="2"/>
  <c r="N15" i="2" s="1"/>
  <c r="M14" i="2"/>
  <c r="N14" i="2" s="1"/>
  <c r="M12" i="2"/>
  <c r="N12" i="2" s="1"/>
  <c r="M11" i="2"/>
  <c r="N11" i="2" s="1"/>
  <c r="M10" i="2"/>
  <c r="N10" i="2" s="1"/>
  <c r="M9" i="2"/>
  <c r="N9" i="2" s="1"/>
  <c r="M8" i="2"/>
  <c r="N8" i="2" s="1"/>
  <c r="M7" i="2"/>
  <c r="N7" i="2" s="1"/>
  <c r="M6" i="2"/>
  <c r="N6" i="2" s="1"/>
  <c r="M5" i="2"/>
  <c r="N5" i="2" s="1"/>
  <c r="M3" i="2"/>
  <c r="N3" i="2" s="1"/>
  <c r="M4" i="2"/>
  <c r="N4"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DF4DA3B-58B7-4DC2-930C-9BF987DEF268}" keepAlive="1" name="Query - DOWNLOAD-2kLRbPnDtawQopEJ_UKtt22ud9U57gk8mqebZIeugNk=" description="Connection to the 'DOWNLOAD-2kLRbPnDtawQopEJ_UKtt22ud9U57gk8mqebZIeugNk=' query in the workbook." type="5" refreshedVersion="8" background="1" saveData="1">
    <dbPr connection="Provider=Microsoft.Mashup.OleDb.1;Data Source=$Workbook$;Location=&quot;DOWNLOAD-2kLRbPnDtawQopEJ_UKtt22ud9U57gk8mqebZIeugNk=&quot;;Extended Properties=&quot;&quot;" command="SELECT * FROM [DOWNLOAD-2kLRbPnDtawQopEJ_UKtt22ud9U57gk8mqebZIeugNk=]"/>
  </connection>
</connections>
</file>

<file path=xl/sharedStrings.xml><?xml version="1.0" encoding="utf-8"?>
<sst xmlns="http://schemas.openxmlformats.org/spreadsheetml/2006/main" count="33877" uniqueCount="2537">
  <si>
    <t>Molecule ChEMBL ID</t>
  </si>
  <si>
    <t>Molecule Name</t>
  </si>
  <si>
    <t>Molecule Max Phase</t>
  </si>
  <si>
    <t>Molecular Weight</t>
  </si>
  <si>
    <t>#RO5 Violations</t>
  </si>
  <si>
    <t>AlogP</t>
  </si>
  <si>
    <t>Compound Key</t>
  </si>
  <si>
    <t>Smiles</t>
  </si>
  <si>
    <t>Standard Type</t>
  </si>
  <si>
    <t>Standard Relation</t>
  </si>
  <si>
    <t>Standard Value</t>
  </si>
  <si>
    <t>Standard Units</t>
  </si>
  <si>
    <t>pChEMBL Value</t>
  </si>
  <si>
    <t>Data Validity Comment</t>
  </si>
  <si>
    <t>Comment</t>
  </si>
  <si>
    <t>Uo Units</t>
  </si>
  <si>
    <t>Ligand Efficiency BEI</t>
  </si>
  <si>
    <t>Ligand Efficiency LE</t>
  </si>
  <si>
    <t>Ligand Efficiency LLE</t>
  </si>
  <si>
    <t>Ligand Efficiency SEI</t>
  </si>
  <si>
    <t>Potential Duplicate</t>
  </si>
  <si>
    <t>Assay ChEMBL ID</t>
  </si>
  <si>
    <t>Assay Description</t>
  </si>
  <si>
    <t>Assay Type</t>
  </si>
  <si>
    <t>BAO Format ID</t>
  </si>
  <si>
    <t>BAO Label</t>
  </si>
  <si>
    <t>Assay Organism</t>
  </si>
  <si>
    <t>Assay Tissue ChEMBL ID</t>
  </si>
  <si>
    <t>Assay Tissue Name</t>
  </si>
  <si>
    <t>Assay Cell Type</t>
  </si>
  <si>
    <t>Assay Subcellular Fraction</t>
  </si>
  <si>
    <t>Assay Parameters</t>
  </si>
  <si>
    <t>Assay Variant Accession</t>
  </si>
  <si>
    <t>Assay Variant Mutation</t>
  </si>
  <si>
    <t>Target ChEMBL ID</t>
  </si>
  <si>
    <t>Target Name</t>
  </si>
  <si>
    <t>Target Organism</t>
  </si>
  <si>
    <t>Target Type</t>
  </si>
  <si>
    <t>Document ChEMBL ID</t>
  </si>
  <si>
    <t>Source ID</t>
  </si>
  <si>
    <t>Source Description</t>
  </si>
  <si>
    <t>Document Journal</t>
  </si>
  <si>
    <t>Document Year</t>
  </si>
  <si>
    <t>Cell ChEMBL ID</t>
  </si>
  <si>
    <t>Properties</t>
  </si>
  <si>
    <t>Action Type</t>
  </si>
  <si>
    <t>Standard Text Value</t>
  </si>
  <si>
    <t>CHEMBL359193</t>
  </si>
  <si>
    <t/>
  </si>
  <si>
    <t>None</t>
  </si>
  <si>
    <t>4e</t>
  </si>
  <si>
    <t>CCNCC1CCN(c2c(F)c(NC)c3c(=O)c(C(=O)O)cn(C4CC4)c3c2F)C1</t>
  </si>
  <si>
    <t>IC50</t>
  </si>
  <si>
    <t>'='</t>
  </si>
  <si>
    <t>ug.mL-1</t>
  </si>
  <si>
    <t>UO_0000274</t>
  </si>
  <si>
    <t>CHEMBL686626</t>
  </si>
  <si>
    <t>50% inhibitory concentration against DNA-gyrase</t>
  </si>
  <si>
    <t>B</t>
  </si>
  <si>
    <t>BAO_0000223</t>
  </si>
  <si>
    <t>protein complex format</t>
  </si>
  <si>
    <t>Escherichia coli</t>
  </si>
  <si>
    <t>CHEMBL2094139</t>
  </si>
  <si>
    <t>DNA gyrase</t>
  </si>
  <si>
    <t>PROTEIN COMPLEX</t>
  </si>
  <si>
    <t>CHEMBL1124255</t>
  </si>
  <si>
    <t>Scientific Literature</t>
  </si>
  <si>
    <t>J Med Chem</t>
  </si>
  <si>
    <t>CHEMBL6336</t>
  </si>
  <si>
    <t>8k</t>
  </si>
  <si>
    <t>Cc1cc(O)c(O)c2oc(=O)c3ccc(F)cc3c12</t>
  </si>
  <si>
    <t>'&gt;'</t>
  </si>
  <si>
    <t>Outside typical range</t>
  </si>
  <si>
    <t>CHEMBL658170</t>
  </si>
  <si>
    <t>Inhibition of DNA gyrase supercoiling in Escherichia coli.</t>
  </si>
  <si>
    <t>CHEMBL1130981</t>
  </si>
  <si>
    <t>Bioorg Med Chem Lett</t>
  </si>
  <si>
    <t>CHEMBL15314</t>
  </si>
  <si>
    <t>30B</t>
  </si>
  <si>
    <t>NCC1CCN(c2nc3c(cc2F)c(=O)c(C(=O)O)cn3C2CC2)C1</t>
  </si>
  <si>
    <t>CHEMBL875378</t>
  </si>
  <si>
    <t>Inhibition against DNA gyrase</t>
  </si>
  <si>
    <t>CHEMBL1126988</t>
  </si>
  <si>
    <t>CHEMBL35975</t>
  </si>
  <si>
    <t>4f</t>
  </si>
  <si>
    <t>CCN1CCN(c2cc(=O)oc3c(C)c(O[C@@H]4OC(C)(C)[C@H](OC)[C@@H](OC(=O)c5ccc(C)[nH]5)[C@H]4O)ccc23)CC1</t>
  </si>
  <si>
    <t>CHEMBL687256</t>
  </si>
  <si>
    <t>Inhibitory activity against Escherichia coli DNA gyrase</t>
  </si>
  <si>
    <t>CHEMBL1134088</t>
  </si>
  <si>
    <t>CHEMBL123246</t>
  </si>
  <si>
    <t>13H</t>
  </si>
  <si>
    <t>COc1c(N2CCC[C@H](N)C2)c(F)cc2c(=O)c(C(=O)O)cn(C3CC3)c12</t>
  </si>
  <si>
    <t>CHEMBL686741</t>
  </si>
  <si>
    <t>Inhibition of Quinolone resistant gyrase Supercoiling Activity in Escherichia coli</t>
  </si>
  <si>
    <t>CHEMBL1145050</t>
  </si>
  <si>
    <t>CHEMBL160415</t>
  </si>
  <si>
    <t>36</t>
  </si>
  <si>
    <t>CCN[C@H]1C[C@H]2CC[C@@H](C1)N2c1c(F)cc2c(=O)c(C(=O)O)cn(C3CC3)c2c1F</t>
  </si>
  <si>
    <t>CHEMBL657329</t>
  </si>
  <si>
    <t>Compound evaluated in vitro for the ability to inhibit gyrase.</t>
  </si>
  <si>
    <t>CHEMBL1125245</t>
  </si>
  <si>
    <t>CHEMBL544407</t>
  </si>
  <si>
    <t>10</t>
  </si>
  <si>
    <t>CN1CC2C[C@@H]1CN2c1c(F)cc2c(=O)c(C(=O)O)cn(C3CC3)c2c1F.Cl</t>
  </si>
  <si>
    <t>CHEMBL157587</t>
  </si>
  <si>
    <t>32</t>
  </si>
  <si>
    <t>CCN[C@H]1C[C@H]2CC[C@@H](C1)N2c1nc2c(cc1F)c(=O)c(C(=O)O)cn2C1CC1</t>
  </si>
  <si>
    <t>CHEMBL6365</t>
  </si>
  <si>
    <t>8e</t>
  </si>
  <si>
    <t>O=c1oc2ccccc2c2cc(O)c(O)cc12</t>
  </si>
  <si>
    <t>CHEMBL30116</t>
  </si>
  <si>
    <t>PIPEMIDIC ACID</t>
  </si>
  <si>
    <t>4.0</t>
  </si>
  <si>
    <t>3b</t>
  </si>
  <si>
    <t>CCn1cc(C(=O)O)c(=O)c2cnc(N3CCNCC3)nc21</t>
  </si>
  <si>
    <t>CHEMBL688001</t>
  </si>
  <si>
    <t>Inhibitory concentration in supercoiling inhibition Escherichia coli DNA gyrase assay</t>
  </si>
  <si>
    <t>CHEMBL1123417</t>
  </si>
  <si>
    <t>CHEMBL95777</t>
  </si>
  <si>
    <t>2a</t>
  </si>
  <si>
    <t>Clc1cccc(-n2nc(C3CCNCC3)cc2/C=C/c2c[nH]c3ccc(Cl)cc23)c1</t>
  </si>
  <si>
    <t>CHEMBL657334</t>
  </si>
  <si>
    <t>CHEMBL1146758</t>
  </si>
  <si>
    <t>CHEMBL3329317</t>
  </si>
  <si>
    <t>88</t>
  </si>
  <si>
    <t>CCNC(=O)Nc1cc(Nc2ccc(O)cc2)c(C(=O)Nc2cccnc2)cn1</t>
  </si>
  <si>
    <t>nM</t>
  </si>
  <si>
    <t>UO_0000065</t>
  </si>
  <si>
    <t>CHEMBL3373164</t>
  </si>
  <si>
    <t>Inhibition of Escherichia coli GyrB A2B2 subunits assessed reduction in DNA supercoiling activity by malachite green dye based by spectrophotometry</t>
  </si>
  <si>
    <t>CHEMBL3351278</t>
  </si>
  <si>
    <t>Eur J Med Chem</t>
  </si>
  <si>
    <t>CHEMBL148033</t>
  </si>
  <si>
    <t>9l</t>
  </si>
  <si>
    <t>O=C(O)c1cn(C2CC2)c2cc(N3CCc4ccccc4C3)c(F)cc2c1=O</t>
  </si>
  <si>
    <t>CHEMBL686745</t>
  </si>
  <si>
    <t>Inhibitory effect against Escherichia coli Gyrase in Supercoiling assay</t>
  </si>
  <si>
    <t>CHEMBL1129595</t>
  </si>
  <si>
    <t>CHEMBL148052</t>
  </si>
  <si>
    <t>6l</t>
  </si>
  <si>
    <t>Cc1c(N2CCc3ccccc3C2)ccc2c(=O)c(C(=O)O)cn(C3CC3)c12</t>
  </si>
  <si>
    <t>CHEMBL3589532</t>
  </si>
  <si>
    <t>26</t>
  </si>
  <si>
    <t>COC(=O)CC(=O)Nc1nc2c(s1)C[C@H](NC(=O)c1cc(Br)c(Br)[nH]1)CC2</t>
  </si>
  <si>
    <t>CHEMBL3592254</t>
  </si>
  <si>
    <t>Inhibition of Escherichia coli DNA gyrase using relaxed pNO1 plasmid and biotinylated oligonucelotide incubated for 30 mins by fluorescence based DNA super-coiling assay</t>
  </si>
  <si>
    <t>CHEMBL3588817</t>
  </si>
  <si>
    <t>CHEMBL3329221</t>
  </si>
  <si>
    <t>86</t>
  </si>
  <si>
    <t>CCNC(=O)Nc1cc(Nc2cccnc2)c(C(=O)Nc2ccccc2)cn1</t>
  </si>
  <si>
    <t>CHEMBL3329307</t>
  </si>
  <si>
    <t>77</t>
  </si>
  <si>
    <t>CCNC(=O)Nc1cc(Nc2ccccc2)c(C(=O)Nc2ccccc2)cn1</t>
  </si>
  <si>
    <t>CHEMBL3329297</t>
  </si>
  <si>
    <t>53</t>
  </si>
  <si>
    <t>CCNC(=O)Nc1cc(-n2ccnc2)c(C(=O)Nc2cccc(Cl)c2)cn1</t>
  </si>
  <si>
    <t>CHEMBL3329286</t>
  </si>
  <si>
    <t>24</t>
  </si>
  <si>
    <t>CCNC(=O)Nc1ccc(C(=O)Nc2cc(C(=O)OC)ccn2)cn1</t>
  </si>
  <si>
    <t>CHEMBL285463</t>
  </si>
  <si>
    <t>4g</t>
  </si>
  <si>
    <t>CO[C@@H]1[C@@H](OC(=O)c2ccc(C)[nH]2)[C@@H](O)[C@H](Oc2ccc3c(N4CC[N+](C)(C)CC4)cc(=O)oc3c2C)OC1(C)C</t>
  </si>
  <si>
    <t>CHEMBL850</t>
  </si>
  <si>
    <t>SPARFLOXACIN</t>
  </si>
  <si>
    <t>SPFX</t>
  </si>
  <si>
    <t>C[C@@H]1CN(c2c(F)c(N)c3c(=O)c(C(=O)O)cn(C4CC4)c3c2F)C[C@H](C)N1</t>
  </si>
  <si>
    <t>CHEMBL657333</t>
  </si>
  <si>
    <t>Iinhibitory activity against Escherichia coli DNA gyrase</t>
  </si>
  <si>
    <t>F</t>
  </si>
  <si>
    <t>BAO_0000019</t>
  </si>
  <si>
    <t>assay format</t>
  </si>
  <si>
    <t>CHEMBL1148360</t>
  </si>
  <si>
    <t>CHEMBL349801</t>
  </si>
  <si>
    <t>35</t>
  </si>
  <si>
    <t>N[C@H]1C[C@H]2CC[C@@H](C1)N2c1c(F)cc2c(=O)c(C(=O)O)cn(C3CC3)c2c1F</t>
  </si>
  <si>
    <t>CHEMBL34837</t>
  </si>
  <si>
    <t>4c</t>
  </si>
  <si>
    <t>CO[C@@H]1[C@@H](OC(=O)c2ccc(C)[nH]2)[C@@H](O)[C@H](Oc2ccc3c(N4CCNC(C)C4)cc(=O)oc3c2C)OC1(C)C</t>
  </si>
  <si>
    <t>CHEMBL282758</t>
  </si>
  <si>
    <t>1o</t>
  </si>
  <si>
    <t>CCn1cc(C(=O)O)c(=O)c2cc(F)c(N3CCCC3)cc21</t>
  </si>
  <si>
    <t>CHEMBL36506</t>
  </si>
  <si>
    <t>NOVOBIOCIN</t>
  </si>
  <si>
    <t>Novobiocin</t>
  </si>
  <si>
    <t>CO[C@@H]1[C@@H](OC(N)=O)[C@@H](O)[C@H](Oc2ccc3c(O)c(NC(=O)c4ccc(O)c(CC=C(C)C)c4)c(=O)oc3c2C)OC1(C)C</t>
  </si>
  <si>
    <t>CHEMBL268770</t>
  </si>
  <si>
    <t>8j</t>
  </si>
  <si>
    <t>O=c1oc2c(F)c(F)ccc2c2cc(O)c(O)cc12</t>
  </si>
  <si>
    <t>CHEMBL36572</t>
  </si>
  <si>
    <t>CO[C@@H]1[C@@H](OC(=O)c2ccc(C)[nH]2)[C@@H](O)[C@H](Oc2ccc3c(N4CCN(C)CC4)cc(=O)oc3c2C)OC1(C)C</t>
  </si>
  <si>
    <t>CHEMBL131858</t>
  </si>
  <si>
    <t>3f</t>
  </si>
  <si>
    <t>CC(=O)NC[C@H]1CN(c2ccc(OC3CCN(c4nc5c(cc4F)c(=O)c(C(=O)O)cn5C4CC4)CC3)c(F)c2)C(=O)O1</t>
  </si>
  <si>
    <t>CHEMBL657999</t>
  </si>
  <si>
    <t>Inhibitory activity against DNA gyrase enzyme was determined by supercoiling assay with Escherichia coli DNA gyrase</t>
  </si>
  <si>
    <t>CHEMBL1146637</t>
  </si>
  <si>
    <t>CHEMBL160661</t>
  </si>
  <si>
    <t>7</t>
  </si>
  <si>
    <t>O=C(O)c1cn(C2CC2)c2c(F)c(N3C[C@H]4CC3CN4)c(F)cc2c1=O</t>
  </si>
  <si>
    <t>CHEMBL122691</t>
  </si>
  <si>
    <t>15H</t>
  </si>
  <si>
    <t>N[C@H]1CCCN(c2ccc3c(=O)c(C(=O)O)cn(C4CC4)c3c2Cl)C1</t>
  </si>
  <si>
    <t>CHEMBL3589525</t>
  </si>
  <si>
    <t>11</t>
  </si>
  <si>
    <t>COC(=O)CC(=O)Nc1ncc2c(n1)CCC(NC(=O)c1cc(Br)c(Br)[nH]1)C2</t>
  </si>
  <si>
    <t>CHEMBL3589535</t>
  </si>
  <si>
    <t>O=C(O)CC(=O)Nc1nc2c(s1)C[C@@H](NC(=O)c1cc(Br)c(Br)[nH]1)CC2</t>
  </si>
  <si>
    <t>CHEMBL3589537</t>
  </si>
  <si>
    <t>37</t>
  </si>
  <si>
    <t>O=C(O)CC(=O)Nc1nc2c(s1)C[C@H](NC(=O)c1cc(Br)c(Br)[nH]1)CC2</t>
  </si>
  <si>
    <t>CHEMBL3589542</t>
  </si>
  <si>
    <t>20</t>
  </si>
  <si>
    <t>Nc1nc2c(s1)C[C@@H](NC(=O)c1cc3cc(F)ccc3[nH]1)CC2</t>
  </si>
  <si>
    <t>CHEMBL3589075</t>
  </si>
  <si>
    <t>31</t>
  </si>
  <si>
    <t>CCOC(=O)C(=O)Nc1nc2c(s1)C[C@@H](NC(=O)c1cc(Cl)c(Cl)[nH]1)CC2</t>
  </si>
  <si>
    <t>CHEMBL3589078</t>
  </si>
  <si>
    <t>42</t>
  </si>
  <si>
    <t>O=C(O)C(=O)Nc1nc2c(s1)C[C@@H](NC(=O)c1cc(Cl)c(Cl)[nH]1)CC2</t>
  </si>
  <si>
    <t>CHEMBL275174</t>
  </si>
  <si>
    <t>CNCC1CCN(c2c(F)c(N)c3c(=O)c(C(=O)O)cn(C4CC4)c3c2F)C1</t>
  </si>
  <si>
    <t>CHEMBL155880</t>
  </si>
  <si>
    <t>O=C(O)c1cn(C2CC2)c2nc(N3CCN4CCC3C4)c(F)cc2c1=O</t>
  </si>
  <si>
    <t>CHEMBL555158</t>
  </si>
  <si>
    <t>34</t>
  </si>
  <si>
    <t>CCN[C@H]1C[C@H]2CC[C@@H](C1)N2c1cc2c(cc1F)c(=O)c(C(=O)O)cn2C1CC1.F</t>
  </si>
  <si>
    <t>CHEMBL330372</t>
  </si>
  <si>
    <t>1</t>
  </si>
  <si>
    <t>c1ccc(COc2ccc(-c3cc(C4CCNCC4)[nH]n3)cc2)cc1</t>
  </si>
  <si>
    <t>CHEMBL6335</t>
  </si>
  <si>
    <t>8i</t>
  </si>
  <si>
    <t>O=c1oc2c(Cl)c(Cl)ccc2c2cc(O)c(O)cc12</t>
  </si>
  <si>
    <t>CHEMBL359734</t>
  </si>
  <si>
    <t>22</t>
  </si>
  <si>
    <t>C[C@H]1Cc2ccccc2-c2cc(=O)c(C(=O)O)cn21</t>
  </si>
  <si>
    <t>CHEMBL830867</t>
  </si>
  <si>
    <t>In vitro inhibitory concentration against DNA gyrase from Escherichia coli H560</t>
  </si>
  <si>
    <t>CHEMBL1142671</t>
  </si>
  <si>
    <t>CHEMBL95778</t>
  </si>
  <si>
    <t>2b</t>
  </si>
  <si>
    <t>Cn1cc(/C=C/c2cc(C3CCNCC3)nn2-c2cccc(Cl)c2)c2cc(Cl)ccc21</t>
  </si>
  <si>
    <t>CHEMBL5315124</t>
  </si>
  <si>
    <t>LEVOFLOXACIN</t>
  </si>
  <si>
    <t>LVFX</t>
  </si>
  <si>
    <t>C[C@H]1COc2c(N3CCN(C)CC3)c(F)cc3c(=O)c(C(=O)O)cn1c23.C[C@H]1COc2c(N3CCN(C)CC3)c(F)cc3c(=O)c(C(=O)O)cn1c23.O</t>
  </si>
  <si>
    <t>CHEMBL3637681</t>
  </si>
  <si>
    <t>Inhibition of Escherichia coli DNA gyrase preincubated for 5 mins at 37 degC before addition of relaxed pBR322 as substrate by supercoiling assay</t>
  </si>
  <si>
    <t>CHEMBL3632612</t>
  </si>
  <si>
    <t>CHEMBL3659005</t>
  </si>
  <si>
    <t>BDBM159948</t>
  </si>
  <si>
    <t>C[C@H]1CN2c3c(cc4c(C(=O)NCC(F)F)noc4c3F)CC3(C(=O)NC(=O)NC3=O)[C@@H]2[C@@H](C)O1</t>
  </si>
  <si>
    <t>CHEMBL3706109</t>
  </si>
  <si>
    <t>Fluorescence Polarisation Assay: In a black, 384-well polystyrene assay plate, 30 microliters/well of 5 nM Escherichia coli DNA gyrase A/B tetramer and 130 micrograms/ml of topologically relaxed plasmid containing the triplex-forming sequence TTCTTCTTCTTCTTCTTCTTCTTCTTC in an assay buffer consisting of 35 mM Tris-HCl (pH 7.5), 24 mM KCl, 4 mM MgCl2, 2 mM dithiothreitol, 1.8 mM spermidine, 5% (v/v) glycerol, 200 nM bovine serum albumin, 0.8% dimethylsulfoxide, and 0.3 mM ATP may be incubated at ambient temperature for (typically 30 minutes) in the absence or presence of 5-10 different concentrations of test compound. The supercoiling reactions may be quenched by the addition of 10 microliters/well of 40 nM oligodeoxynucleotide probe in 3x triplex-forming buffer consisting of 150 mM NaCl, and 150 mM sodium acetate at pH 3.5. The oligodeoxynucleotide probe may be 5x-BODIPY-FL-labeled TTCTTCTTC. After 60 minutes, the fluorescence anisotropy of the BODIPY-FL may be measured in a Tecan Ultra plate reader, using 485 nM.</t>
  </si>
  <si>
    <t>CHEMBL3638965</t>
  </si>
  <si>
    <t>BindingDB Database</t>
  </si>
  <si>
    <t>CHEMBL3659026</t>
  </si>
  <si>
    <t>BDBM159977</t>
  </si>
  <si>
    <t>C[C@@H]1CN2c3c(nc4c(-c5cnc(Br)s5)noc4c3Cl)CC3(C(=O)NC(=O)NC3=O)[C@H]2[C@H](C)O1</t>
  </si>
  <si>
    <t>CHEMBL3659030</t>
  </si>
  <si>
    <t>BDBM159981</t>
  </si>
  <si>
    <t>C[C@@H]1CN2c3c(nc4c(-c5ccc(C(N)=O)nc5)noc4c3Cl)CC3(C(=O)NC(=O)NC3=O)[C@H]2[C@H](C)O1</t>
  </si>
  <si>
    <t>CHEMBL4742654</t>
  </si>
  <si>
    <t>8</t>
  </si>
  <si>
    <t>CNc1cc(F)cc2cc(C(=O)Nc3ccc(C(=O)N(C)CCN4CCOCC4)cc3)c(=O)[nH]c12</t>
  </si>
  <si>
    <t>CHEMBL4703502</t>
  </si>
  <si>
    <t>Inhibition of Escherichia coli DNA gyrase by measuring supercoiling activity incubated for 60 mins by fluorescence based assay</t>
  </si>
  <si>
    <t>CHEMBL4699558</t>
  </si>
  <si>
    <t>Bioorg Med Chem</t>
  </si>
  <si>
    <t>TIME = 1.0 hr</t>
  </si>
  <si>
    <t>INHIBITOR</t>
  </si>
  <si>
    <t>CHEMBL4755574</t>
  </si>
  <si>
    <t>18</t>
  </si>
  <si>
    <t>CNc1cc(F)cc2cc(C(=O)Nc3ccc(C(=O)O)cc3CN(CCN)C3CCCCC3)c(=O)[nH]c12.O=C(O)C(F)(F)F</t>
  </si>
  <si>
    <t>CHEMBL4743542</t>
  </si>
  <si>
    <t>19</t>
  </si>
  <si>
    <t>CNc1cc(F)cc2cc(C(=O)Nc3ccc(C(N)=O)cc3CN(C)C3CCCCC3)c(=O)[nH]c12</t>
  </si>
  <si>
    <t>CHEMBL4755340</t>
  </si>
  <si>
    <t>21</t>
  </si>
  <si>
    <t>CNc1cc(F)cc2cc(C(=O)Nc3ccc(CO)cc3CN(CCO)C3CCCCC3)c(=O)[nH]c12</t>
  </si>
  <si>
    <t>CHEMBL4743075</t>
  </si>
  <si>
    <t>CNc1cc(F)cc2c(NCCN3CCOCC3)c(C(=O)Nc3ccc(C(=O)O)cc3)c(=O)[nH]c12.O=CO</t>
  </si>
  <si>
    <t>CHEMBL8</t>
  </si>
  <si>
    <t>CIPROFLOXACIN</t>
  </si>
  <si>
    <t>Ciprofloxacin</t>
  </si>
  <si>
    <t>O=C(O)c1cn(C2CC2)c2cc(N3CCNCC3)c(F)cc2c1=O</t>
  </si>
  <si>
    <t>CHEMBL4686438</t>
  </si>
  <si>
    <t>Inhibition of Escherichia coli DNA gyrase using relaxed DNA as substrate incubated for 15 mins by ethidium bromide-based agarose gel electrophoresis</t>
  </si>
  <si>
    <t>CHEMBL4680236</t>
  </si>
  <si>
    <t>TIME = 0.25 hr</t>
  </si>
  <si>
    <t>CHEMBL3633518</t>
  </si>
  <si>
    <t>10a</t>
  </si>
  <si>
    <t>Cc1c(N2CC(N)C2)c(F)cc2c(=O)c(C(=O)O)cn(-c3nc(N)c(F)cc3F)c12</t>
  </si>
  <si>
    <t>CHEMBL4877458</t>
  </si>
  <si>
    <t>5c</t>
  </si>
  <si>
    <t>Cc1[nH]c(C(=O)Nc2nc3ccc(-c4nnn[nH]4)cc3s2)c(Cl)c1Cl</t>
  </si>
  <si>
    <t>'&lt;'</t>
  </si>
  <si>
    <t>CHEMBL4815322</t>
  </si>
  <si>
    <t>Inhibition of Escherichia coli DNA gyrase assessed as reduction in relaxation of supercoiled pNO1 DNA measured after 30 mins by fluorescence assay</t>
  </si>
  <si>
    <t>CHEMBL4813947</t>
  </si>
  <si>
    <t>TIME = 0.5 hr</t>
  </si>
  <si>
    <t>CHEMBL15087</t>
  </si>
  <si>
    <t>31A</t>
  </si>
  <si>
    <t>NC1CCN(c2cc3c(cc2F)c(=O)c(C(=O)O)cn3C2CC2)C1</t>
  </si>
  <si>
    <t>CHEMBL311350</t>
  </si>
  <si>
    <t>PIROMIDIC ACID</t>
  </si>
  <si>
    <t>2.0</t>
  </si>
  <si>
    <t>3a</t>
  </si>
  <si>
    <t>CCn1cc(C(=O)O)c(=O)c2cnc(N3CCCC3)nc21</t>
  </si>
  <si>
    <t>CHEMBL369743</t>
  </si>
  <si>
    <t>CC1Cc2cc(N3CCNCC3)c(F)cc2-c2cc(=O)c(C(=O)O)cn21</t>
  </si>
  <si>
    <t>CHEMBL6246</t>
  </si>
  <si>
    <t>ELLAGIC ACID</t>
  </si>
  <si>
    <t>6</t>
  </si>
  <si>
    <t>O=c1oc2c(O)c(O)cc3c(=O)oc4c(O)c(O)cc1c4c23</t>
  </si>
  <si>
    <t>CHEMBL687258</t>
  </si>
  <si>
    <t>In vitro antibacterial activity was determined as inhibitory concentration causing 50% DNA-gyrase supercoiling inhibition (SCI)</t>
  </si>
  <si>
    <t>CHEMBL1127182</t>
  </si>
  <si>
    <t>CHEMBL309936</t>
  </si>
  <si>
    <t>5i</t>
  </si>
  <si>
    <t>COc1cccc(-c2cc(=O)c3c(O)cc(O)cc3o2)c1</t>
  </si>
  <si>
    <t>CHEMBL2110328</t>
  </si>
  <si>
    <t>36H-R,S</t>
  </si>
  <si>
    <t>CCN[C@H](C)[C@H]1CCN(c2c(F)cc3c(=O)c(C(=O)O)cn(C4CC4)c3c2C(F)(F)F)C1</t>
  </si>
  <si>
    <t>CHEMBL4451560</t>
  </si>
  <si>
    <t>28</t>
  </si>
  <si>
    <t>Cc1nc(-c2cc(NC(=O)CC(=O)O)ccc2NC(=O)c2cc(Br)c(Br)[nH]2)no1</t>
  </si>
  <si>
    <t>CHEMBL4374389</t>
  </si>
  <si>
    <t>Inhibition of Escherichia coli DNA gyrase using relaxed pNO1 plasmid DNA as substrate incubated for 30 mins by fluorescence assay</t>
  </si>
  <si>
    <t>CHEMBL4373663</t>
  </si>
  <si>
    <t>Medchemcomm</t>
  </si>
  <si>
    <t>CHEMBL4539183</t>
  </si>
  <si>
    <t>17</t>
  </si>
  <si>
    <t>O=C(O)COc1ccc(NC(=O)c2cc(Br)c(Br)[nH]2)c(OCc2ccccc2)c1</t>
  </si>
  <si>
    <t>4, Ciprofloxacin</t>
  </si>
  <si>
    <t>CHEMBL863775</t>
  </si>
  <si>
    <t>Inhibitory activity against wild type Escherichia coli gyrase</t>
  </si>
  <si>
    <t>CHEMBL1139657</t>
  </si>
  <si>
    <t>CHEMBL3658920</t>
  </si>
  <si>
    <t>BDBM159849</t>
  </si>
  <si>
    <t>C[C@@H]1CN2c3c(cc4c(-c5ccccn5)noc4c3F)CC3(C(=O)NC(=O)NC3=O)[C@H]2[C@H](C)O1</t>
  </si>
  <si>
    <t>CHEMBL3658931</t>
  </si>
  <si>
    <t>BDBM159860</t>
  </si>
  <si>
    <t>C[C@@H]1CN2c3c(cc4c(NCc5ccncc5)noc4c3F)CC3(C(=O)NC(=O)NC3=O)[C@H]2[C@H](C)O1</t>
  </si>
  <si>
    <t>CHEMBL3658978</t>
  </si>
  <si>
    <t>BDBM159910</t>
  </si>
  <si>
    <t>C[C@@H]1CN2c3c(cc4c(-c5cn[nH]c5)noc4c3F)CC3(C(=O)NC(=O)NC3=O)[C@H]2[C@H](C)O1</t>
  </si>
  <si>
    <t>CHEMBL342273</t>
  </si>
  <si>
    <t>6b</t>
  </si>
  <si>
    <t>Cc1c(N2CCN(C)CC2)ccc2c(=O)c(C(=O)O)cn(C3CC3)c12</t>
  </si>
  <si>
    <t>1, CIP</t>
  </si>
  <si>
    <t>CHEMBL1263962</t>
  </si>
  <si>
    <t>Inhibition of reconstituted Escherichia coli DNA gyrase subunit AB assessed as reduction of DNA supercoiling activity using pBR322 DNA substrate</t>
  </si>
  <si>
    <t>CHEMBL1255308</t>
  </si>
  <si>
    <t>Antimicrob Agents Chemother</t>
  </si>
  <si>
    <t>CHEMBL76187</t>
  </si>
  <si>
    <t>O=c1c(O)c(-c2cc(O)cc(O)c2)oc2cc(O)cc(O)c12</t>
  </si>
  <si>
    <t>CHEMBL273348</t>
  </si>
  <si>
    <t>TOSUFLOXACIN</t>
  </si>
  <si>
    <t>NC1CCN(c2nc3c(cc2F)c(=O)c(C(=O)O)cn3-c2ccc(F)cc2F)C1</t>
  </si>
  <si>
    <t>CHEMBL658171</t>
  </si>
  <si>
    <t>Inhibition of the gyrase mediated cleavage of supercoiled DNA</t>
  </si>
  <si>
    <t>CHEMBL1126729</t>
  </si>
  <si>
    <t>CHEMBL411723</t>
  </si>
  <si>
    <t>O=C(O)c1cn(-c2ccc(F)cc2F)c2nc(C3=CCNCC3)c(F)cc2c1=O</t>
  </si>
  <si>
    <t>CHEMBL276583</t>
  </si>
  <si>
    <t>E</t>
  </si>
  <si>
    <t>NC1CCN(c2nc3c(cc2F)c(=O)c(C(=O)O)cn3C2CC2)C1</t>
  </si>
  <si>
    <t>CHEMBL96995</t>
  </si>
  <si>
    <t>COC(=O)C1CCCC(Nc2[nH]nc3cccc(OCc4ccc(C(C)(C)C)cc4)c23)C1</t>
  </si>
  <si>
    <t>CHEMBL420897</t>
  </si>
  <si>
    <t>14H</t>
  </si>
  <si>
    <t>COc1c(N2CCC[C@H](N)C2)ccc2c(=O)c(C(=O)O)cn(C3CC3)c12</t>
  </si>
  <si>
    <t>CHEMBL686742</t>
  </si>
  <si>
    <t>Inhibition of Wild Type DNA gyrase Supercoiling Activity in Escherichia coli</t>
  </si>
  <si>
    <t>CHEMBL61949</t>
  </si>
  <si>
    <t>O=C(O)c1cn(C2CC2)c2nc(N3CCNCC3)c(F)cc2c1=O</t>
  </si>
  <si>
    <t>CHEMBL160192</t>
  </si>
  <si>
    <t>Nc1c(F)c(N2CC3CCC2CN3)c(F)c2c1c(=O)c(C(=O)O)cn2C1CC1</t>
  </si>
  <si>
    <t>CHEMBL31</t>
  </si>
  <si>
    <t>GATIFLOXACIN</t>
  </si>
  <si>
    <t>gatifloxacin</t>
  </si>
  <si>
    <t>COc1c(N2CCNC(C)C2)c(F)cc2c(=O)c(C(=O)O)cn(C3CC3)c12</t>
  </si>
  <si>
    <t>CHEMBL856671</t>
  </si>
  <si>
    <t>Inhibition of Escherichia coli gyrase</t>
  </si>
  <si>
    <t>CHEMBL1137308</t>
  </si>
  <si>
    <t>CHEMBL97957</t>
  </si>
  <si>
    <t>21c</t>
  </si>
  <si>
    <t>COC(=O)C1CCCC(Nc2[nH]nc3cccc(OCc4ccc(Cl)cc4)c23)C1</t>
  </si>
  <si>
    <t>CHEMBL277523</t>
  </si>
  <si>
    <t>1p</t>
  </si>
  <si>
    <t>CCn1cc(C(=O)O)c(=O)c2cc(F)c(N3CCNCC3)c(F)c21</t>
  </si>
  <si>
    <t>CHEMBL294009</t>
  </si>
  <si>
    <t>FLAVONOL</t>
  </si>
  <si>
    <t>5e</t>
  </si>
  <si>
    <t>O=c1c(O)c(-c2ccccc2)oc2ccccc12</t>
  </si>
  <si>
    <t>CHEMBL382560</t>
  </si>
  <si>
    <t>27</t>
  </si>
  <si>
    <t>Nc1cccc(-c2cc3c(cc2F)c(=O)c2c(=O)[nH]sc2n3C2CC2)c1</t>
  </si>
  <si>
    <t>Gati</t>
  </si>
  <si>
    <t>CHEMBL421006</t>
  </si>
  <si>
    <t>10b</t>
  </si>
  <si>
    <t>COC(=O)[C@@H]1C[C@H](NCc2n[nH]c3cccc(OCc4ccc(C(C)(C)C)cc4)c23)CN1</t>
  </si>
  <si>
    <t>CHEMBL97171</t>
  </si>
  <si>
    <t>7a</t>
  </si>
  <si>
    <t>COC(=O)C1CCCC(NCc2cc(/C=C/c3ccc(Cl)c(Cl)c3)[nH]n2)C1</t>
  </si>
  <si>
    <t>2</t>
  </si>
  <si>
    <t>CHEMBL553807</t>
  </si>
  <si>
    <t>40</t>
  </si>
  <si>
    <t>Cl.N[C@@H]1C[C@H]2CC[C@@H](C1)N2c1c(F)cc2c(=O)c(C(=O)O)cn(C3CC3)c2c1F</t>
  </si>
  <si>
    <t>CHEMBL336059</t>
  </si>
  <si>
    <t>3e</t>
  </si>
  <si>
    <t>CC(=O)NC[C@H]1CN(c2ccc(O[C@H]3CCN(c4nc5c(cc4F)c(=O)c(C(=O)O)cn5C4CC4)C3)c(F)c2)C(=O)O1</t>
  </si>
  <si>
    <t>CHEMBL3357992</t>
  </si>
  <si>
    <t>BDBM159895</t>
  </si>
  <si>
    <t>COc1noc2c(F)c3c(cc12)CC1(C(=O)NC(=O)NC1=O)[C@H]1[C@H](C)O[C@H](C)CN31</t>
  </si>
  <si>
    <t>CHEMBL3658966</t>
  </si>
  <si>
    <t>BDBM159897</t>
  </si>
  <si>
    <t>C[C@@H]1CN2c3c(cc4c(-n5cncn5)noc4c3F)CC3(C(=O)NC(=O)NC3=O)[C@H]2[C@H](C)O1</t>
  </si>
  <si>
    <t>CHEMBL3658967</t>
  </si>
  <si>
    <t>BDBM159899</t>
  </si>
  <si>
    <t>C[C@@H]1CN2c3c(cc4c(-n5cncn5)noc4c3F)CC3(C(=O)NC(=O)NC3=O)[C@@H]2[C@@H](C)O1</t>
  </si>
  <si>
    <t>CHEMBL3658990</t>
  </si>
  <si>
    <t>BDBM159923</t>
  </si>
  <si>
    <t>Cc1nsc2c(F)c3c(cc12)CC1(C(=O)NC(=O)NC1=O)[C@H]1[C@H](C)O[C@H](C)CN31</t>
  </si>
  <si>
    <t>CHEMBL3658993</t>
  </si>
  <si>
    <t>BDBM159928</t>
  </si>
  <si>
    <t>CSc1cnc(-c2noc3c(F)c4c(cc23)CC2(C(=O)NC(=O)NC2=O)[C@H]2[C@H](C)O[C@H](C)CN42)cn1</t>
  </si>
  <si>
    <t>CHEMBL3658996</t>
  </si>
  <si>
    <t>BDBM159933</t>
  </si>
  <si>
    <t>C[C@@H]1CN2c3c(cc4c(-c5scnc5C(=O)N5CCOCC5)noc4c3F)CC3(C(=O)NC(=O)NC3=O)[C@H]2[C@H](C)O1</t>
  </si>
  <si>
    <t>CHEMBL3357985</t>
  </si>
  <si>
    <t>BDBM159940</t>
  </si>
  <si>
    <t>C[C@@H]1CN2c3c(cc4c(C(F)(F)F)noc4c3F)CC3(C(=O)NC(=O)NC3=O)[C@H]2[C@H](C)O1</t>
  </si>
  <si>
    <t>CHEMBL3659003</t>
  </si>
  <si>
    <t>BDBM159944</t>
  </si>
  <si>
    <t>C[C@H]1CN2c3c(cc4c(C(F)F)noc4c3F)CC3(C(=O)NC(=O)NC3=O)[C@@H]2[C@@H](C)O1</t>
  </si>
  <si>
    <t>CHEMBL3659004</t>
  </si>
  <si>
    <t>BDBM159947</t>
  </si>
  <si>
    <t>C[C@@H]1CN2c3c(cc4c(C(=O)NCC(F)F)noc4c3F)CC3(C(=O)NC(=O)NC3=O)[C@H]2[C@H](C)O1</t>
  </si>
  <si>
    <t>CHEMBL3659015</t>
  </si>
  <si>
    <t>BDBM159963</t>
  </si>
  <si>
    <t>C[C@@H]1CN2c3c(nc4c(-c5ccccn5)noc4c3Cl)CC3(C(=O)NC(=O)NC3=O)[C@H]2[C@H](C)O1</t>
  </si>
  <si>
    <t>CHEMBL3659016</t>
  </si>
  <si>
    <t>BDBM159964</t>
  </si>
  <si>
    <t>C[C@@H]1CN2c3c(nc4c(-c5ccncc5)noc4c3Cl)CC3(C(=O)NC(=O)NC3=O)[C@H]2[C@H](C)O1</t>
  </si>
  <si>
    <t>CHEMBL3663172</t>
  </si>
  <si>
    <t>BDBM159994</t>
  </si>
  <si>
    <t>C[C@@H]1CN2c3c(cc4c(C(=O)N(C)C)noc4c3F)CC3(C(=O)NC(=O)NC3=O)[C@H]2[C@H](C)O1</t>
  </si>
  <si>
    <t>CHEMBL4577939</t>
  </si>
  <si>
    <t>CCNC(=O)Nc1cc(Nc2ccccc2O)c(C(=O)Nc2cccnc2)cn1</t>
  </si>
  <si>
    <t>CHEMBL4386907</t>
  </si>
  <si>
    <t>Inhibition of Escherichia coli DNA gyrase(A2B2 tetramer) preincubated for 5 mins followed by ATP addition and measured once per minute for 20 to 30 minutes by ATPase assay</t>
  </si>
  <si>
    <t>CHEMBL4385628</t>
  </si>
  <si>
    <t>CHEMBL383497</t>
  </si>
  <si>
    <t>NCc1ccc(-c2cc3c(cc2F)c(=O)c2c(=O)[nH]sc2n3C2CC2)cc1</t>
  </si>
  <si>
    <t>CHEMBL4552935</t>
  </si>
  <si>
    <t>RB15</t>
  </si>
  <si>
    <t>COc1cc(/C=C2/SC(=S)N(CC(=O)c3ccccc3)C2=O)cc(OC)c1OC</t>
  </si>
  <si>
    <t>CHEMBL4481962</t>
  </si>
  <si>
    <t>Inhibition of Escherichia coli DNA gyrase assessed as reduction in enzyme-mediated supercoiling of relaxed pBR322 DNA measured after 60 mins by electrophoresis method</t>
  </si>
  <si>
    <t>CHEMBL4480441</t>
  </si>
  <si>
    <t>CHEMBL5</t>
  </si>
  <si>
    <t>NALIDIXIC ACID</t>
  </si>
  <si>
    <t>nalidixic acid ;NAL</t>
  </si>
  <si>
    <t>CCn1cc(C(=O)O)c(=O)c2ccc(C)nc21</t>
  </si>
  <si>
    <t>CHEMBL6353</t>
  </si>
  <si>
    <t>14b</t>
  </si>
  <si>
    <t>ONC1c2cc(O)c(O)cc2-c2cc(O)c(O)cc21</t>
  </si>
  <si>
    <t>30A</t>
  </si>
  <si>
    <t>CHEMBL383917</t>
  </si>
  <si>
    <t>3</t>
  </si>
  <si>
    <t>Cc1c(N2CC[C@@H]([C@H](C)N)C2)c(F)cc2c(=O)n(N)c(=O)n(C3CC3)c12</t>
  </si>
  <si>
    <t>CHEMBL3589529</t>
  </si>
  <si>
    <t>23</t>
  </si>
  <si>
    <t>CCOC(=O)C(=O)Nc1nc2c(s1)C[C@@H](NC(=O)c1cc(Br)c(Br)[nH]1)CC2</t>
  </si>
  <si>
    <t>CHEMBL382817</t>
  </si>
  <si>
    <t>38</t>
  </si>
  <si>
    <t>O=c1[nH]sc2c1c(=O)c1cc(F)c(-c3ccc(C4CCCCN4)cc3)cc1n2C1CC1</t>
  </si>
  <si>
    <t>CHEMBL203002</t>
  </si>
  <si>
    <t>25</t>
  </si>
  <si>
    <t>O=c1[nH]sc2c1c(=O)c1cc(F)c(-c3ccc(CO)cc3)cc1n2C1CC1</t>
  </si>
  <si>
    <t>CHEMBL160838</t>
  </si>
  <si>
    <t>15</t>
  </si>
  <si>
    <t>O=C(O)c1cn(C2CC2)c2cc(N3CC4CCC3CN4)c(F)cc2c1=O</t>
  </si>
  <si>
    <t>CHEMBL28</t>
  </si>
  <si>
    <t>APIGENIN</t>
  </si>
  <si>
    <t>5f</t>
  </si>
  <si>
    <t>O=c1cc(-c2ccc(O)cc2)oc2cc(O)cc(O)c12</t>
  </si>
  <si>
    <t>CHEMBL345171</t>
  </si>
  <si>
    <t>O=C(O)c1cn(C2CC2)c2cc(N3CCN4CCC3C4)c(F)cc2c1=O</t>
  </si>
  <si>
    <t>CHEMBL3329315</t>
  </si>
  <si>
    <t>85</t>
  </si>
  <si>
    <t>CCNC(=O)Nc1cc(Oc2ccccc2)c(C(=O)Nc2ccccc2)cn1</t>
  </si>
  <si>
    <t>CHEMBL3329303</t>
  </si>
  <si>
    <t>73</t>
  </si>
  <si>
    <t>CCNC(=O)Nc1cc(-n2cccn2)c(C(=O)Nc2cccc(Cl)c2)cn1</t>
  </si>
  <si>
    <t>CHEMBL6345</t>
  </si>
  <si>
    <t>14a</t>
  </si>
  <si>
    <t>O=C1c2cc(O)c(O)cc2-c2cc(O)c(O)cc21</t>
  </si>
  <si>
    <t>CHEMBL3329291</t>
  </si>
  <si>
    <t>33</t>
  </si>
  <si>
    <t>CCNC(=O)Nc1cc(Nc2cccc(C)c2)c(C(=O)Nc2cccc(C)c2)cn1</t>
  </si>
  <si>
    <t>CHEMBL3659027</t>
  </si>
  <si>
    <t>BDBM159978</t>
  </si>
  <si>
    <t>C[C@@H]1CN2c3c(cc4c(-c5cnccn5)noc4c3Cl)CC3(C(=O)NC(=O)NC3=O)[C@H]2[C@H](C)O1</t>
  </si>
  <si>
    <t>CHEMBL3663168</t>
  </si>
  <si>
    <t>BDBM159990</t>
  </si>
  <si>
    <t>C[C@@H]1CN2c3c(nc4c(C(=O)NCc5ccc(C#N)cc5)noc4c3Cl)CC3(C(=O)NC(=O)NC3=O)[C@H]2[C@H](C)O1</t>
  </si>
  <si>
    <t>CHEMBL3329312</t>
  </si>
  <si>
    <t>82</t>
  </si>
  <si>
    <t>CCNC(=O)Nc1cc(Nc2ccccc2)c(C(=O)Nc2ccc(NC(C)=O)nc2)cn1</t>
  </si>
  <si>
    <t>CHEMBL3329292</t>
  </si>
  <si>
    <t>CCNC(=O)Nc1cc(Nc2cccc(C)c2)c(C(=O)Nc2nccs2)cn1</t>
  </si>
  <si>
    <t>CHEMBL96971</t>
  </si>
  <si>
    <t>11b</t>
  </si>
  <si>
    <t>CC(C)(C)c1ccc(COc2cccc3[nH]nc(CN[C@@H]4CN[C@H](CO)C4)c23)cc1</t>
  </si>
  <si>
    <t>CHEMBL3357990</t>
  </si>
  <si>
    <t>(+/-)-9</t>
  </si>
  <si>
    <t>Cc1noc2c(F)c3c(cc12)CC1(C(=O)NC(=O)NC1=O)C1C(C)CC(C)CN31</t>
  </si>
  <si>
    <t>CHEMBL3389960</t>
  </si>
  <si>
    <t>Inhibition of Escherichia coli DNA gyrase using fluorescence-tagged DNA by fluorescenct polarization assay</t>
  </si>
  <si>
    <t>CHEMBL3352584</t>
  </si>
  <si>
    <t>CHEMBL316656</t>
  </si>
  <si>
    <t>7ba</t>
  </si>
  <si>
    <t>COC(=O)C1CCCC(NCc2cc(/C=C/c3cn(C)c4ccc(Cl)cc34)[nH]n2)C1</t>
  </si>
  <si>
    <t>CHEMBL3298507</t>
  </si>
  <si>
    <t>O=C1OCC(OCCN2CCN(c3cc4c(cc3F)c(=O)c(C(=O)O)cn4C3CC3)CC2)=C1c1ccccc1</t>
  </si>
  <si>
    <t>CHEMBL3367420</t>
  </si>
  <si>
    <t>Inhibition of Escherichia coli DNA gyrase assessed as reduction in enzyme-mediated DNA supercoiling using relaxed pBR322 substrate incubated for 60 mins by electrophoresis method</t>
  </si>
  <si>
    <t>CHEMBL3297693</t>
  </si>
  <si>
    <t>CHEMBL3329276</t>
  </si>
  <si>
    <t>14</t>
  </si>
  <si>
    <t>CCNC(=O)Nc1ccc(C(=O)Nc2ccc(Cl)cc2)cn1</t>
  </si>
  <si>
    <t>CHEMBL3663203</t>
  </si>
  <si>
    <t>BDBM160032</t>
  </si>
  <si>
    <t>C[C@@H]1CN2c3c(cc4c(-c5cnc(N6CCOCC6)cn5)noc4c3F)CC3(C(=O)NC(=O)NC3=O)[C@@H]2[C@@H](C)O1</t>
  </si>
  <si>
    <t>CHEMBL3663205</t>
  </si>
  <si>
    <t>BDBM160034</t>
  </si>
  <si>
    <t>COc1cncc(-c2noc3c(F)c4c(cc23)CC2(C(=O)NC(=O)NC2=O)[C@H]2[C@H](C)O[C@H](C)CN42)n1</t>
  </si>
  <si>
    <t>CHEMBL318448</t>
  </si>
  <si>
    <t>8bb</t>
  </si>
  <si>
    <t>COC(=O)C1CCCC(NCc2cc(/C=C\c3cn(C)c4ccc(Cl)cc34)[nH]n2)C1</t>
  </si>
  <si>
    <t>CHEMBL9</t>
  </si>
  <si>
    <t>NORFLOXACIN</t>
  </si>
  <si>
    <t>Norfloxacin</t>
  </si>
  <si>
    <t>CCn1cc(C(=O)O)c(=O)c2cc(F)c(N3CCNCC3)cc21</t>
  </si>
  <si>
    <t>CHEMBL3658946</t>
  </si>
  <si>
    <t>BDBM159876</t>
  </si>
  <si>
    <t>C[C@@H]1CN2c3c(cc4c(N(C)Cc5ccccc5)noc4c3F)CC3(C(=O)NC(=O)NC3=O)[C@H]2[C@H](C)O1</t>
  </si>
  <si>
    <t>CHEMBL3658963</t>
  </si>
  <si>
    <t>BDBM159893</t>
  </si>
  <si>
    <t>COCc1noc2c(Cl)c3c(cc12)CC1(C(=O)NC(=O)NC1=O)[C@H]1[C@H](C)O[C@H](C)CN31</t>
  </si>
  <si>
    <t>CHEMBL3658965</t>
  </si>
  <si>
    <t>BDBM159896</t>
  </si>
  <si>
    <t>C[C@@H]1CN2c3c(cc4c(OCc5ccccc5)noc4c3F)CC3(C(=O)NC(=O)NC3=O)[C@H]2[C@H](C)O1</t>
  </si>
  <si>
    <t>CHEMBL4449935</t>
  </si>
  <si>
    <t>O=C(O)C1=Cc2ccccc2N2C[N+]3(CCN(c4cc5c(cc4F)c(=O)c(C(=O)O)cn5C4CC4)CC3)N=C12.[Cl-]</t>
  </si>
  <si>
    <t>CHEMBL4399126</t>
  </si>
  <si>
    <t>Inhibition of Escherichia coli DNA gyrase super-coiling activity using relaxed pNO1 DNA as substrate incubated for 30 mins by fluorescence assay</t>
  </si>
  <si>
    <t>CHEMBL4396913</t>
  </si>
  <si>
    <t>CHEMBL4592805</t>
  </si>
  <si>
    <t>12</t>
  </si>
  <si>
    <t>N=C(N)NC[C@H](Oc1noc2ccc(-c3ccccc3Cl)cc12)c1ccccc1</t>
  </si>
  <si>
    <t>CHEMBL4341626</t>
  </si>
  <si>
    <t>Inhibition of Escherichia coli his-tagged DNA gyrase supercoiling activity using pBR322 DNA in presence of ATP incubated for 1 hr by H19 dye based high throughput DNA gyrase assay</t>
  </si>
  <si>
    <t>CHEMBL4340534</t>
  </si>
  <si>
    <t>CHEMBL4575906</t>
  </si>
  <si>
    <t>Cpd C</t>
  </si>
  <si>
    <t>N[C@@H](Cn1c(=O)cnc2ccc(F)cc21)C1CCC(NCc2ncc3c(n2)OCC(=O)N3)CC1</t>
  </si>
  <si>
    <t>CHEMBL4374976</t>
  </si>
  <si>
    <t>Inhibition of Escherichia coli DNA gyrase assessed as reduction in enzyme-mediated supercoiling of relaxed plasmid by fluorescence polarization assay</t>
  </si>
  <si>
    <t>CHEMBL4373693</t>
  </si>
  <si>
    <t>CHEMBL95898</t>
  </si>
  <si>
    <t>21e</t>
  </si>
  <si>
    <t>COC(=O)C1CCCC(Nc2[nH]nc3cccc(OCc4cnc(Cl)c(Cl)c4)c23)C1</t>
  </si>
  <si>
    <t>CHEMBL95863</t>
  </si>
  <si>
    <t>CC(C)(C)c1ccc(COc2cccc3[nH]nc(NCCCC(=O)O)c23)cc1</t>
  </si>
  <si>
    <t>CHEMBL3663191</t>
  </si>
  <si>
    <t>BDBM160019</t>
  </si>
  <si>
    <t>C[C@@H]1CN2c3c(cc4c(C(=O)NCc5ccncc5)noc4c3F)CC3(C(=O)NC(=O)NC3=O)[C@H]2[C@H](C)O1</t>
  </si>
  <si>
    <t>CHEMBL3663192</t>
  </si>
  <si>
    <t>BDBM160020</t>
  </si>
  <si>
    <t>C[C@@H]1CN2c3c(cc4c(C(=O)NCC5CCCCC5)noc4c3F)CC3(C(=O)NC(=O)NC3=O)[C@H]2[C@H](C)O1</t>
  </si>
  <si>
    <t>7bb</t>
  </si>
  <si>
    <t>CIP</t>
  </si>
  <si>
    <t>CHEMBL3424342</t>
  </si>
  <si>
    <t>Inhibition of Escherichia coli DNA gyrase after 1 hr by agarose gel electrophoresis</t>
  </si>
  <si>
    <t>CHEMBL3421560</t>
  </si>
  <si>
    <t>CHEMBL3357527</t>
  </si>
  <si>
    <t>CCCCCCOc1ccccc1C1CC(=O)c2ccc(O)cc2O1</t>
  </si>
  <si>
    <t>CHEMBL3389994</t>
  </si>
  <si>
    <t>Inhibition of Escherichia coli DNA gyrase assessed as supercoiled plasmid DNA formation after 30 mins by electrophoretic analysis</t>
  </si>
  <si>
    <t>CHEMBL3351381</t>
  </si>
  <si>
    <t>CHEMBL3658985</t>
  </si>
  <si>
    <t>BDBM159917</t>
  </si>
  <si>
    <t>Cc1ncsc1-c1noc2c(F)c3c(cc12)CC1(C(=O)NC(=O)NC1=O)[C@@H]1[C@@H](C)O[C@@H](C)CN31</t>
  </si>
  <si>
    <t>CHEMBL3659006</t>
  </si>
  <si>
    <t>BDBM159951</t>
  </si>
  <si>
    <t>C[C@@H]1CN2c3c(cc4c(C(=O)N5CC(F)(F)C5)noc4c3F)CC3(C(=O)NC(=O)NC3=O)[C@H]2[C@H](C)O1</t>
  </si>
  <si>
    <t>CHEMBL3663226</t>
  </si>
  <si>
    <t>BDBM160058</t>
  </si>
  <si>
    <t>CC[C@@H]1O[C@H](C)CN2c3c(cc4c(C)noc4c3F)CC3(C(=O)NC(=O)NC3=O)[C@@H]12</t>
  </si>
  <si>
    <t>CHEMBL3658923</t>
  </si>
  <si>
    <t>BDBM159852</t>
  </si>
  <si>
    <t>CC(=O)N1CCN(c2noc3c(F)c4c(cc23)CC2(C(=O)NC(=O)NC2=O)[C@H]2[C@H](C)O[C@H](C)CN42)CC1</t>
  </si>
  <si>
    <t>2, ellagic acid</t>
  </si>
  <si>
    <t>CHEMBL15186</t>
  </si>
  <si>
    <t>4a</t>
  </si>
  <si>
    <t>Nc1c(F)c(N2CCC(N)C2)c(F)c2c1c(=O)c(C(=O)O)cn2C1CC1</t>
  </si>
  <si>
    <t>CHEMBL545344</t>
  </si>
  <si>
    <t>Cl.O=C(O)c1cn(C2CC2)c2nc(N3CC4CCCC3CN4)c(F)cc2c1=O</t>
  </si>
  <si>
    <t>CHEMBL122698</t>
  </si>
  <si>
    <t>12E</t>
  </si>
  <si>
    <t>CC[C@@H]1CCN(c2c(F)cc3c(=O)c(C(=O)O)cn(C4CC4)c3c2F)C[C@H]1N</t>
  </si>
  <si>
    <t>CHEMBL2110221</t>
  </si>
  <si>
    <t>30F-R,R</t>
  </si>
  <si>
    <t>C[C@@H](N)[C@@H]1CCN(c2nc3c(cc2F)c(=O)c(C(=O)O)cn3C2CC2)C1</t>
  </si>
  <si>
    <t>CHEMBL6231</t>
  </si>
  <si>
    <t>AMIFLOXACIN</t>
  </si>
  <si>
    <t>1e</t>
  </si>
  <si>
    <t>CNn1cc(C(=O)O)c(=O)c2cc(F)c(N3CCN(C)CC3)cc21</t>
  </si>
  <si>
    <t>CHEMBL381395</t>
  </si>
  <si>
    <t>O=c1[nH]sc2c1c(=O)c1cc(F)c(-c3ccc(O)cc3)cc1n2C1CC1</t>
  </si>
  <si>
    <t>CHEMBL4743844</t>
  </si>
  <si>
    <t>CNc1cc(F)cc2cc(C(=O)Nc3ccc(C(=O)O)cc3CN3CCCCC3)c(=O)[nH]c12</t>
  </si>
  <si>
    <t>CHEMBL3663208</t>
  </si>
  <si>
    <t>BDBM160038</t>
  </si>
  <si>
    <t>C[C@@H]1CN2c3c(cc4c(-c5ccnc(NCCO)n5)noc4c3F)CC3(C(=O)NC(=O)NC3=O)[C@H]2[C@H](C)O1</t>
  </si>
  <si>
    <t>CHEMBL3663204</t>
  </si>
  <si>
    <t>BDBM160033</t>
  </si>
  <si>
    <t>C[C@@H]1CN2c3c(cc4c(-c5cnc(N6CCOCC6)cn5)noc4c3F)CC3(C(=O)NC(=O)NC3=O)[C@H]2[C@H](C)O1</t>
  </si>
  <si>
    <t>CHEMBL3658939</t>
  </si>
  <si>
    <t>BDBM159868</t>
  </si>
  <si>
    <t>C[C@@H]1CN2c3c(cc4c(N(C)C)noc4c3F)CC3(C(=O)NC(=O)NC3=O)[C@H]2[C@H](C)O1</t>
  </si>
  <si>
    <t>CHEMBL3663166</t>
  </si>
  <si>
    <t>BDBM159988</t>
  </si>
  <si>
    <t>C[C@@H]1CN2c3c(nc4c(C(=O)N5CC(F)(F)C5)noc4c3Cl)CC3(C(=O)NC(=O)NC3=O)[C@H]2[C@H](C)O1</t>
  </si>
  <si>
    <t>CHEMBL3659034</t>
  </si>
  <si>
    <t>BDBM159985</t>
  </si>
  <si>
    <t>CC(C)NC(=O)c1noc2c(Cl)c3c(nc12)CC1(C(=O)NC(=O)NC1=O)[C@H]1[C@H](C)O[C@H](C)CN31</t>
  </si>
  <si>
    <t>CHEMBL335513</t>
  </si>
  <si>
    <t>CC(=O)NC[C@H]1CN(c2ccc(N3CCN(c4nc5c(cc4F)c(=O)c(C(=O)O)cn5C4CC4)CC3)c(F)c2)C(=O)O1</t>
  </si>
  <si>
    <t>CHEMBL4576334</t>
  </si>
  <si>
    <t>4</t>
  </si>
  <si>
    <t>O=C(CCCCCCCCC(=O)N1CCN(c2cc3c(cc2F)c(=O)c(C(=O)O)cn3C2CC2)CC1)Nc1cc2ccccc2oc1=O</t>
  </si>
  <si>
    <t>CHEMBL4431458</t>
  </si>
  <si>
    <t>Inhibition of Escherichia coli JMtacA/JMtacB DNA gyrase subunit A2B2 S83W mutant using relaxed pBR322 DNA as substrate incubated for 30 mins in presence of ATP by ethidium bromide staining based agarose gel electrophoresis</t>
  </si>
  <si>
    <t>UNDEFINED MUTATION</t>
  </si>
  <si>
    <t>CHEMBL4431297</t>
  </si>
  <si>
    <t>CHEMBL4636070</t>
  </si>
  <si>
    <t>19b; UIAA-II-232</t>
  </si>
  <si>
    <t>CCOC(=O)c1cnn2c(=O)n(CC)c3cc(N4CC[C@@H](CN)C4)c(F)cc3c12</t>
  </si>
  <si>
    <t>CHEMBL4623097</t>
  </si>
  <si>
    <t>Inhibition of Escherichia coli DNA gyrase assessed as supercoiling activity by fluorescence assay relative to control</t>
  </si>
  <si>
    <t>CHEMBL4622836</t>
  </si>
  <si>
    <t>CHEMBL64</t>
  </si>
  <si>
    <t>ISONIAZID</t>
  </si>
  <si>
    <t>NNC(=O)c1ccncc1</t>
  </si>
  <si>
    <t>CHEMBL3298510</t>
  </si>
  <si>
    <t>O=C1OCC(OCCN2CCN(c3cc4c(cc3F)c(=O)c(C(=O)O)cn4-c3ccc(F)cc3)CC2)=C1c1ccccc1F</t>
  </si>
  <si>
    <t>CHEMBL3298605</t>
  </si>
  <si>
    <t>O=C1OCC(OCCN2CCN(c3cc4c(cc3F)c(=O)c(C(=O)O)cn4C3CC3)CC2)=C1c1ccc(F)cc1</t>
  </si>
  <si>
    <t>CHEMBL3663193</t>
  </si>
  <si>
    <t>BDBM160021</t>
  </si>
  <si>
    <t>C[C@@H]1CN2c3c(cc4c(C(=O)N5CCC(F)(F)CC5)noc4c3F)CC3(C(=O)NC(=O)NC3=O)[C@H]2[C@H](C)O1</t>
  </si>
  <si>
    <t>CHEMBL3663215</t>
  </si>
  <si>
    <t>BDBM160045</t>
  </si>
  <si>
    <t>C[C@@H]1CN2c3c(cc4c(-c5ncnn5C)noc4c3F)CC3(C(=O)NC(=O)NC3=O)[C@H]2[C@H](C)O1</t>
  </si>
  <si>
    <t>CHEMBL3329294</t>
  </si>
  <si>
    <t>50</t>
  </si>
  <si>
    <t>CCNC(=O)Nc1cc(N2CCN(C)CC2)c(C(=O)Nc2cccnc2)cn1</t>
  </si>
  <si>
    <t>CHEMBL3329275</t>
  </si>
  <si>
    <t>13</t>
  </si>
  <si>
    <t>CCNC(=O)Nc1ccc(C(=O)Nc2ccccc2Cl)cn1</t>
  </si>
  <si>
    <t>CHEMBL3329277</t>
  </si>
  <si>
    <t>CCNC(=O)Nc1ccc(C(=O)Nc2cccc(F)c2)cn1</t>
  </si>
  <si>
    <t>CHEMBL136779</t>
  </si>
  <si>
    <t>8c</t>
  </si>
  <si>
    <t>Cc1c(N2CCCCC2)c(F)cc2c(=O)c(C(=O)O)cn(C3CC3)c12</t>
  </si>
  <si>
    <t>CHEMBL4776589</t>
  </si>
  <si>
    <t>CNc1cccc2cc(C(=O)Nc3ccc(C(=O)O)cc3)c(=O)[nH]c12</t>
  </si>
  <si>
    <t>CHEMBL4746092</t>
  </si>
  <si>
    <t>9a</t>
  </si>
  <si>
    <t>CCOC(=O)C(=O)Nc1nc2ccc(NC(=O)c3[nH]c(C)c(Cl)c3Cl)cc2s1</t>
  </si>
  <si>
    <t>CHEMBL4672941</t>
  </si>
  <si>
    <t>CHEMBL4665899</t>
  </si>
  <si>
    <t>ACS Med Chem Lett</t>
  </si>
  <si>
    <t>CHEMBL2110220</t>
  </si>
  <si>
    <t>31F-S,R</t>
  </si>
  <si>
    <t>C[C@@H](N)[C@H]1CCN(c2cc3c(cc2F)c(=O)c(C(=O)O)cn3C2CC2)C1</t>
  </si>
  <si>
    <t>CHEMBL6364</t>
  </si>
  <si>
    <t>8d</t>
  </si>
  <si>
    <t>O=c1oc2c(O)c(O)ccc2c2ccccc12</t>
  </si>
  <si>
    <t>CHEMBL3329318</t>
  </si>
  <si>
    <t>91</t>
  </si>
  <si>
    <t>CCNC(=O)Nc1cc(Nc2cccc(O)c2)c(C(=O)Nc2cccnc2)cn1</t>
  </si>
  <si>
    <t>CHEMBL3329313</t>
  </si>
  <si>
    <t>83</t>
  </si>
  <si>
    <t>CCNC(=O)Nc1cc(Nc2ccccc2)c(C(=O)Nc2ccc(-n3cncn3)nc2)cn1</t>
  </si>
  <si>
    <t>2; PD 0305970</t>
  </si>
  <si>
    <t>CHEMBL4619534</t>
  </si>
  <si>
    <t>Inhibition of recombinant full-length C-terminal His6-tagged Escherichia coli DNA gyrase AB supercoiling activity using relaxed DNA as substrate preincubated for 30 mins followed by substrate addition and measured after 2 hrs in presence of ATP by size exclusion HPLC analysis</t>
  </si>
  <si>
    <t>CHEMBL4616724</t>
  </si>
  <si>
    <t>CHEMBL4634552</t>
  </si>
  <si>
    <t>Cc1c(N2CC3CC3(N)C2)c(F)cc2c(CN)c(F)c(=O)n(C3CC3)c12</t>
  </si>
  <si>
    <t>CHEMBL4130314</t>
  </si>
  <si>
    <t>14c; UITT-III-179</t>
  </si>
  <si>
    <t>COc1c(N2CC[C@@H](CN)C2)c(F)cc2c1N(CCCc1ccccc1)CC(C(=O)O)C2=O</t>
  </si>
  <si>
    <t>CHEMBL4121928</t>
  </si>
  <si>
    <t>Inhibition of Escherichia coli DNA gyrase subunit GyrA/GyrB supercoiling activity using relaxed pBR322 DNA incubated for 15 mins by ethidium bromide staining based gel electrophoresis method</t>
  </si>
  <si>
    <t>CHEMBL4118134</t>
  </si>
  <si>
    <t>CHEMBL4126743</t>
  </si>
  <si>
    <t>14f; UITT-III-227</t>
  </si>
  <si>
    <t>COc1c(N2CC[C@@H](CN)C2)c(F)cc2c1N(Cc1ccc3ccccc3c1)CC(C(=O)O)C2=O</t>
  </si>
  <si>
    <t>CHEMBL4762395</t>
  </si>
  <si>
    <t>COC(=O)[C@@H](C)NC(=O)c1ccc(NC(=O)c2[nH]c(C)c(Cl)c2Cl)c(OC2CCNCC2)c1.Cl</t>
  </si>
  <si>
    <t>CHEMBL4666343</t>
  </si>
  <si>
    <t>Inhibition of Escherichia coli DNA gyrase using biotinylated oligonucleotide as substrate incubated for 30 mins in presence of ATP by fluorescence-based microplate reader assay</t>
  </si>
  <si>
    <t>CHEMBL4665629</t>
  </si>
  <si>
    <t>CHEMBL4748595</t>
  </si>
  <si>
    <t>61</t>
  </si>
  <si>
    <t>Cc1[nH]c(C(=O)Nc2ccc3[nH]c(C(=O)O)cc3c2)c(Cl)c1Cl</t>
  </si>
  <si>
    <t>CPFX</t>
  </si>
  <si>
    <t>CHEMBL3663202</t>
  </si>
  <si>
    <t>BDBM160030</t>
  </si>
  <si>
    <t>C[C@@H]1CN2c3c(cc4c(-c5cnccn5)noc4c3F)CC3(C(=O)NC(=O)NC3=O)[C@@H]2[C@@H](C)O1</t>
  </si>
  <si>
    <t>CHEMBL4850231</t>
  </si>
  <si>
    <t>31b</t>
  </si>
  <si>
    <t>COc1cc(C(=O)O)cc2sc(NC(=O)c3[nH]c(C)c(Cl)c3Cl)nc12</t>
  </si>
  <si>
    <t>CHEMBL3658928</t>
  </si>
  <si>
    <t>BDBM159857</t>
  </si>
  <si>
    <t>Cc1cc(CNc2noc3c(F)c4c(cc23)CC2(C(=O)NC(=O)NC2=O)[C@H]2[C@H](C)O[C@H](C)CN42)no1</t>
  </si>
  <si>
    <t>CHEMBL3658949</t>
  </si>
  <si>
    <t>BDBM159879</t>
  </si>
  <si>
    <t>C[C@@H]1CN2c3c(cc4c(-n5cc(-c6cnccn6)cn5)noc4c3F)CC3(C(=O)NC(=O)NC3=O)[C@H]2[C@H](C)O1</t>
  </si>
  <si>
    <t>CHEMBL3663171</t>
  </si>
  <si>
    <t>BDBM159993</t>
  </si>
  <si>
    <t>C[C@@H]1CN2c3c(cc4c(C(=O)N5CCOCC5)noc4c3F)CC3(C(=O)NC(=O)NC3=O)[C@H]2[C@H](C)O1</t>
  </si>
  <si>
    <t>CHEMBL4210894</t>
  </si>
  <si>
    <t>N[C@H]1CCN(c2cc3c(cc2F)n2ccnc2c(=O)n3C2CC2)C1</t>
  </si>
  <si>
    <t>CHEMBL4183049</t>
  </si>
  <si>
    <t>Inhibition of Escherichia coli DNA gyrase A2B2 using relaxed pNO1 as substrate</t>
  </si>
  <si>
    <t>CHEMBL4177750</t>
  </si>
  <si>
    <t>CHEMBL3357980</t>
  </si>
  <si>
    <t>BDBM159843</t>
  </si>
  <si>
    <t>Cc1noc2c(F)c3c(cc12)CC1(C(=O)NC(=O)NC1=O)[C@H]1[C@H](C)O[C@H](C)CN31</t>
  </si>
  <si>
    <t>CHEMBL3658933</t>
  </si>
  <si>
    <t>BDBM159862</t>
  </si>
  <si>
    <t>C[C@@H]1CN2c3c(cc4c(NCC5CCCCC5)noc4c3F)CC3(C(=O)NC(=O)NC3=O)[C@H]2[C@H](C)O1</t>
  </si>
  <si>
    <t>CHEMBL3663177</t>
  </si>
  <si>
    <t>BDBM160001</t>
  </si>
  <si>
    <t>C[C@@H]1CN2c3c(cc4c(C(N)=O)noc4c3F)CC3(C(=O)NC(=O)NC3=O)[C@H]2[C@H](C)O1</t>
  </si>
  <si>
    <t>CHEMBL3663218</t>
  </si>
  <si>
    <t>BDBM160049</t>
  </si>
  <si>
    <t>C[C@@H]1CN2c3c(cc4c(S(C)(=O)=O)noc4c3F)CC3(C(=O)NC(=O)NC3=O)[C@H]2[C@H](C)O1</t>
  </si>
  <si>
    <t>CHEMBL4465300</t>
  </si>
  <si>
    <t>CCNC(=O)Nc1cc(-n2ccnn2)c(C(=O)Nc2cccnc2)cn1</t>
  </si>
  <si>
    <t>CHEMBL4568624</t>
  </si>
  <si>
    <t>CCNC(=O)Nc1cc(-n2cncn2)c(C(=O)Nc2cccnc2)cn1</t>
  </si>
  <si>
    <t>CHEMBL4776319</t>
  </si>
  <si>
    <t>5</t>
  </si>
  <si>
    <t>CNc1cc(F)cc2cc(C(=O)Nc3ccc(C(=O)NS(=O)(=O)N(C)C)cc3)c(=O)[nH]c12</t>
  </si>
  <si>
    <t>CHEMBL4</t>
  </si>
  <si>
    <t>OFLOXACIN</t>
  </si>
  <si>
    <t>ofloxacin</t>
  </si>
  <si>
    <t>CC1COc2c(N3CCN(C)CC3)c(F)cc3c(=O)c(C(=O)O)cn1c23</t>
  </si>
  <si>
    <t>CHEMBL4399382</t>
  </si>
  <si>
    <t>Inhibition of Escherichia coli DNA gyrase (A2B2 tetramer) using relaxed pBR322 as substrate preincubated for 30 mins followed by enzyme addition by SYBR staining-based agarose gel electrophoresis method</t>
  </si>
  <si>
    <t>CHEMBL4396918</t>
  </si>
  <si>
    <t>CHEMBL4648309</t>
  </si>
  <si>
    <t>UIJR-I-048</t>
  </si>
  <si>
    <t>Cc1c(N2CC[C@@H](CN)C2)c(F)cc2c(=O)n(N)c(=O)n(C3CC3)c12</t>
  </si>
  <si>
    <t>CHEMBL224318</t>
  </si>
  <si>
    <t>Oc1ccc(Oc2ccccc2)cc1</t>
  </si>
  <si>
    <t>CHEMBL4259497</t>
  </si>
  <si>
    <t>Inhibition of full length Escherichia coli DNA gyrase ATPase activity measured for 20 mins by lactate dehydrogenase assay</t>
  </si>
  <si>
    <t>CHEMBL4257526</t>
  </si>
  <si>
    <t>CHEMBL4577405</t>
  </si>
  <si>
    <t>NC[C@H](Nc1nccc2ccc(-c3ccccc3Cl)cc12)c1ccccc1</t>
  </si>
  <si>
    <t>CHEMBL231315</t>
  </si>
  <si>
    <t>UING-V-249</t>
  </si>
  <si>
    <t>COc1c(N2CC[C@@H](CN)C2)c(F)cc2c(=O)c(C(=O)O)cn(C3CC3)c12</t>
  </si>
  <si>
    <t>CHEMBL4638646</t>
  </si>
  <si>
    <t>13a; UIAA-II-080</t>
  </si>
  <si>
    <t>N=C(N)NCCn1c(=O)c2cc(F)c(N3CC[C@@H](CN)C3)cc2n(C2CC2)c1=O</t>
  </si>
  <si>
    <t>CHEMBL3589528</t>
  </si>
  <si>
    <t>Nc1nc2c(s1)C[C@H](NC(=O)c1cc(Br)c(Br)[nH]1)CC2</t>
  </si>
  <si>
    <t>CHEMBL3589530</t>
  </si>
  <si>
    <t>COC(=O)CC(=O)Nc1nc2c(s1)C[C@@H](NC(=O)c1cc(Br)c(Br)[nH]1)CC2</t>
  </si>
  <si>
    <t>CHEMBL3589534</t>
  </si>
  <si>
    <t>O=C(O)C(=O)Nc1nc2c(s1)C[C@@H](NC(=O)c1cc(Br)c(Br)[nH]1)CC2</t>
  </si>
  <si>
    <t>CHEMBL3589540</t>
  </si>
  <si>
    <t>46</t>
  </si>
  <si>
    <t>O=C1CCN2C(=N1)SC1=C2CC[C@H](NC(=O)c2cc(Br)c(Br)[nH]2)C1</t>
  </si>
  <si>
    <t>CHEMBL3589541</t>
  </si>
  <si>
    <t>47</t>
  </si>
  <si>
    <t>NC(=O)CC(=O)Nc1nc2c(s1)C[C@@H](NC(=O)c1cc(Br)c(Br)[nH]1)CC2</t>
  </si>
  <si>
    <t>CHEMBL3589076</t>
  </si>
  <si>
    <t>COC(=O)CC(=O)Nc1nc2c(s1)C[C@@H](NC(=O)c1cc(Cl)c(Cl)[nH]1)CC2</t>
  </si>
  <si>
    <t>CHEMBL32662</t>
  </si>
  <si>
    <t>CO[C@@H]1[C@@H](OC(=O)c2ccc(C)[nH]2)[C@@H](O)[C@H](Oc2ccc3c(N4CCN(c5ccccn5)CC4)cc(=O)oc3c2C)OC1(C)C</t>
  </si>
  <si>
    <t>CHEMBL3183502</t>
  </si>
  <si>
    <t>Oc1ccc(Sc2ccc(O)cc2)cc1</t>
  </si>
  <si>
    <t>CHEMBL201369</t>
  </si>
  <si>
    <t>CCc1c2s[nH]c(=O)c2c(=O)n2ccc(-c3ccncc3)cc12</t>
  </si>
  <si>
    <t>CHEMBL869436</t>
  </si>
  <si>
    <t>Inhibition of DNA gyrase supercoiling in Escherichia coli ATCC 25922</t>
  </si>
  <si>
    <t>CHEMBL1148591</t>
  </si>
  <si>
    <t>CHEMBL339309</t>
  </si>
  <si>
    <t>MILOXACIN</t>
  </si>
  <si>
    <t>1b</t>
  </si>
  <si>
    <t>COn1cc(C(=O)O)c(=O)c2cc3c(cc21)OCO3</t>
  </si>
  <si>
    <t>CHEMBL100214</t>
  </si>
  <si>
    <t>CCOC(=O)CCCNc1[nH]nc2cccc(OCc3ccc(C(C)(C)C)cc3)c12</t>
  </si>
  <si>
    <t>CHEMBL3658950</t>
  </si>
  <si>
    <t>BDBM159880</t>
  </si>
  <si>
    <t>C[C@@H]1CN2c3c(cc4c(-n5cc(I)cn5)noc4c3F)CC3(C(=O)NC(=O)NC3=O)[C@H]2[C@H](C)O1</t>
  </si>
  <si>
    <t>CHEMBL3658968</t>
  </si>
  <si>
    <t>BDBM159900</t>
  </si>
  <si>
    <t>Cc1ncn(-c2noc3c(F)c4c(cc23)CC2(C(=O)NC(=O)NC2=O)[C@H]2[C@H](C)O[C@H](C)CN42)n1</t>
  </si>
  <si>
    <t>CHEMBL3663165</t>
  </si>
  <si>
    <t>BDBM159987</t>
  </si>
  <si>
    <t>C[C@@H]1CN2c3c(nc4c(C(=O)NCC(C)(C)C)noc4c3Cl)CC3(C(=O)NC(=O)NC3=O)[C@H]2[C@H](C)O1</t>
  </si>
  <si>
    <t>CHEMBL3663170</t>
  </si>
  <si>
    <t>BDBM159992</t>
  </si>
  <si>
    <t>CCOC(=O)c1noc2c(F)c3c(cc12)CC1(C(=O)NC(=O)NC1=O)[C@H]1[C@H](C)O[C@H](C)CN31</t>
  </si>
  <si>
    <t>CHEMBL3329282</t>
  </si>
  <si>
    <t>CCNC(=O)Nc1ccc(C(=O)Nc2ccc(OC)c(OC)c2)cn1</t>
  </si>
  <si>
    <t>CHEMBL4748903</t>
  </si>
  <si>
    <t>39</t>
  </si>
  <si>
    <t>Cc1[nH]c(C(=O)Nc2ccc(C(=O)NS(C)(=O)=O)cc2)c(Cl)c1Cl</t>
  </si>
  <si>
    <t>CHEMBL4752072</t>
  </si>
  <si>
    <t>9c</t>
  </si>
  <si>
    <t>Cc1[nH]c(C(=O)Nc2ccc(C(=O)N[C@@H](C)C(=O)O)cc2OC2CCNCC2)c(Cl)c1Cl.Cl</t>
  </si>
  <si>
    <t>CHEMBL3908487</t>
  </si>
  <si>
    <t>O=C(O)C(=O)Nc1ccc2nc(NC(=O)c3cc(Br)c(Br)[nH]3)sc2c1</t>
  </si>
  <si>
    <t>CHEMBL4781272</t>
  </si>
  <si>
    <t>16b</t>
  </si>
  <si>
    <t>Cc1[nH]c(C(=O)Nc2nc3ccc(NC(=O)CN)cc3s2)c(Cl)c1Cl.Cl</t>
  </si>
  <si>
    <t>CHEMBL278648</t>
  </si>
  <si>
    <t>31E</t>
  </si>
  <si>
    <t>CC1(CN)CCN(c2cc3c(cc2F)c(=O)c(C(=O)O)cn3C2CC2)C1</t>
  </si>
  <si>
    <t>CHEMBL160244</t>
  </si>
  <si>
    <t>CCN[C@@H]1C[C@H]2CC[C@@H](C1)N2c1cc2c(cc1F)c(=O)c(C(=O)O)cn2C1CC1</t>
  </si>
  <si>
    <t>CHEMBL3589521</t>
  </si>
  <si>
    <t>Nc1ncc2c(n1)CCC(NC(=O)c1cc(Cl)c(Cl)[nH]1)C2</t>
  </si>
  <si>
    <t>CHEMBL3589523</t>
  </si>
  <si>
    <t>9</t>
  </si>
  <si>
    <t>Nc1ncc2c(n1)CCC(NC(=O)c1cc(Br)c(Br)[nH]1)C2</t>
  </si>
  <si>
    <t>CHEMBL3658941</t>
  </si>
  <si>
    <t>BDBM159870</t>
  </si>
  <si>
    <t>C[C@@H]1CN2c3c(cc4c(N5CCCCCC5)noc4c3F)CC3(C(=O)NC(=O)NC3=O)[C@H]2[C@H](C)O1</t>
  </si>
  <si>
    <t>CHEMBL3357981</t>
  </si>
  <si>
    <t>BDBM159845</t>
  </si>
  <si>
    <t>Cc1noc2c(F)c3c(cc12)CC1(C(=O)NC(=O)NC1=O)[C@@H]1[C@@H](C)O[C@@H](C)CN31</t>
  </si>
  <si>
    <t>CHEMBL3658955</t>
  </si>
  <si>
    <t>BDBM159885</t>
  </si>
  <si>
    <t>C[C@@H]1CN2c3c(cc4c(-c5cncs5)noc4c3Cl)CC3(C(=O)NC(=O)NC3=O)[C@H]2[C@H](C)O1</t>
  </si>
  <si>
    <t>CHEMBL3658960</t>
  </si>
  <si>
    <t>BDBM159890</t>
  </si>
  <si>
    <t>C[C@@H]1CN2c3c(cc4c(-c5ccncc5)noc4c3Cl)CC3(C(=O)NC(=O)NC3=O)[C@H]2[C@H](C)O1</t>
  </si>
  <si>
    <t>CHEMBL3658980</t>
  </si>
  <si>
    <t>BDBM159912</t>
  </si>
  <si>
    <t>Cc1cc(-c2noc3c(F)c4c(cc23)CC2(C(=O)NC(=O)NC2=O)[C@H]2[C@H](C)O[C@H](C)CN42)no1</t>
  </si>
  <si>
    <t>CHEMBL3658983</t>
  </si>
  <si>
    <t>BDBM159915</t>
  </si>
  <si>
    <t>C[C@@H]1CN2c3c(cc4c(-c5cn(C)cn5)noc4c3F)CC3(C(=O)NC(=O)NC3=O)[C@H]2[C@H](C)O1</t>
  </si>
  <si>
    <t>CHEMBL3658994</t>
  </si>
  <si>
    <t>BDBM159929</t>
  </si>
  <si>
    <t>C[C@@H]1CN2c3c(cc4c(Cn5cncn5)noc4c3F)CC3(C(=O)NC(=O)NC3=O)[C@H]2[C@H](C)O1</t>
  </si>
  <si>
    <t>CPX</t>
  </si>
  <si>
    <t>CHEMBL5279384</t>
  </si>
  <si>
    <t>Cc1[nH]c(C(=O)N[C@H]2CCc3nc(NC(=O)CNC(=O)c4ccc(O)c(O)c4)sc3C2)c(Cl)c1Cl</t>
  </si>
  <si>
    <t>CHEMBL5259043</t>
  </si>
  <si>
    <t>Inhibition of Escherichia coli DNA gyrase ATPase activity using pBR322 as substrate incubated for 10 mins in presence of NADH and ATP by supercoiling assay</t>
  </si>
  <si>
    <t>CHEMBL5257085</t>
  </si>
  <si>
    <t>TIME = 0.1667 hr</t>
  </si>
  <si>
    <t>CHEMBL5234501</t>
  </si>
  <si>
    <t>Inhibition of Escherichia coli DNA gyrase</t>
  </si>
  <si>
    <t>CHEMBL5233247</t>
  </si>
  <si>
    <t>CHEMBL3706672</t>
  </si>
  <si>
    <t>CCNC(=O)Nc1ccc(C(=O)Nc2ccc3c(C)cc(=O)oc3c2)cn1</t>
  </si>
  <si>
    <t>CHEMBL3357561</t>
  </si>
  <si>
    <t>(+/-)-1</t>
  </si>
  <si>
    <t>Cc1noc2c(F)c3c(cc12)CC1(C(=O)NC(=O)NC1=O)C1C(C)OC(C)CN31</t>
  </si>
  <si>
    <t>CHEMBL3329279</t>
  </si>
  <si>
    <t>CCNC(=O)Nc1ccc(C(=O)Nc2cccc(C#N)c2)cn1</t>
  </si>
  <si>
    <t>CHEMBL3663173</t>
  </si>
  <si>
    <t>BDBM159996</t>
  </si>
  <si>
    <t>CCNC(=O)c1noc2c(F)c3c(cc12)CC1(C(=O)NC(=O)NC1=O)[C@H]1[C@H](C)O[C@H](C)CN31</t>
  </si>
  <si>
    <t>CHEMBL267648</t>
  </si>
  <si>
    <t>PEFLOXACIN</t>
  </si>
  <si>
    <t>Pefloxacin</t>
  </si>
  <si>
    <t>CCn1cc(C(=O)O)c(=O)c2cc(F)c(N3CCN(C)CC3)cc21</t>
  </si>
  <si>
    <t>OFX</t>
  </si>
  <si>
    <t>CHEMBL1280255</t>
  </si>
  <si>
    <t>Inhibition of Escherichia coli DNA gyrase GyrA/GyrB</t>
  </si>
  <si>
    <t>CHEMBL1275433</t>
  </si>
  <si>
    <t>NB</t>
  </si>
  <si>
    <t>CHEMBL826</t>
  </si>
  <si>
    <t>ENOXACIN</t>
  </si>
  <si>
    <t>CCn1cc(C(=O)O)c(=O)c2cc(F)c(N3CCNCC3)nc21</t>
  </si>
  <si>
    <t>CHEMBL2110321</t>
  </si>
  <si>
    <t>30F-S,R</t>
  </si>
  <si>
    <t>C[C@@H](N)[C@H]1CCN(c2nc3c(cc2F)c(=O)c(C(=O)O)cn3C2CC2)C1</t>
  </si>
  <si>
    <t>CHEMBL117</t>
  </si>
  <si>
    <t>CHRYSIN</t>
  </si>
  <si>
    <t>5b</t>
  </si>
  <si>
    <t>O=c1cc(-c2ccccc2)oc2cc(O)cc(O)c12</t>
  </si>
  <si>
    <t>CHEMBL3357510</t>
  </si>
  <si>
    <t>CCCCCCCC1CC(=O)c2c(O)cc(O)cc2O1</t>
  </si>
  <si>
    <t>CHEMBL50</t>
  </si>
  <si>
    <t>QUERCETIN</t>
  </si>
  <si>
    <t>3.0</t>
  </si>
  <si>
    <t>O=c1c(O)c(-c2ccc(O)c(O)c2)oc2cc(O)cc(O)c12</t>
  </si>
  <si>
    <t>CHEMBL3658932</t>
  </si>
  <si>
    <t>BDBM159861</t>
  </si>
  <si>
    <t>C[C@@H]1CN2c3c(cc4c(NCC5CC5)noc4c3F)CC3(C(=O)NC(=O)NC3=O)[C@H]2[C@H](C)O1</t>
  </si>
  <si>
    <t>CHEMBL3658944</t>
  </si>
  <si>
    <t>BDBM159874</t>
  </si>
  <si>
    <t>Cc1cc(C(F)F)nn1-c1noc2c(F)c3c(cc12)CC1(C(=O)NC(=O)NC1=O)[C@H]1[C@H](C)O[C@H](C)CN31</t>
  </si>
  <si>
    <t>CHEMBL421101</t>
  </si>
  <si>
    <t>14E</t>
  </si>
  <si>
    <t>CC[C@@H]1CCN(c2ccc3c(=O)c(C(=O)O)cn(C4CC4)c3c2OC)C[C@H]1N</t>
  </si>
  <si>
    <t>CHEMBL4177464</t>
  </si>
  <si>
    <t>C#CCN1CCN(c2cc3c(cc2F)c(=O)c(C(=O)O)cn3C2CC2)CC1</t>
  </si>
  <si>
    <t>CHEMBL4676163</t>
  </si>
  <si>
    <t>Inhibition of Escherichia coli DNA gyrase using relaxed PBR322 plasmid DNA as substrate incubated for 30 mins by ethidium bromide staining based agarose gel electrophoresis method</t>
  </si>
  <si>
    <t>CHEMBL4673246</t>
  </si>
  <si>
    <t>CHEMBL435838</t>
  </si>
  <si>
    <t>O=C(O)c1cn(C2CC2)c2c(F)c(N3CCN4CCC3C4)c(F)cc2c1=O</t>
  </si>
  <si>
    <t>CHEMBL327525</t>
  </si>
  <si>
    <t>11a</t>
  </si>
  <si>
    <t>CC(C)(C)c1ccc(COc2cccc3[nH]nc(CN[C@H]4CN[C@H](CO)C4)c23)cc1</t>
  </si>
  <si>
    <t>CHEMBL348879</t>
  </si>
  <si>
    <t>O=C(O)c1cn(C2CC2)c2c(F)c(N3CC4CCCC3CN4)c(F)cc2c1=O</t>
  </si>
  <si>
    <t>CHEMBL275698</t>
  </si>
  <si>
    <t>O=C(O)c1cn(C2CC2)c2cc(C3CCNCC3)c(F)cc2c1=O</t>
  </si>
  <si>
    <t>ENR, enofloxacin</t>
  </si>
  <si>
    <t>CHEMBL4763466</t>
  </si>
  <si>
    <t>CC(=O)Nc1nc2ccc(NC(=O)c3[nH]c(C)c(Cl)c3Cl)cc2s1</t>
  </si>
  <si>
    <t>CHEMBL126</t>
  </si>
  <si>
    <t>LINEZOLID</t>
  </si>
  <si>
    <t>Linezolid</t>
  </si>
  <si>
    <t>CC(=O)NC[C@H]1CN(c2ccc(N3CCOCC3)c(F)c2)C(=O)O1</t>
  </si>
  <si>
    <t>CHEMBL145932</t>
  </si>
  <si>
    <t>6c</t>
  </si>
  <si>
    <t>Cc1c(N2CCCCC2)ccc2c(=O)c(C(=O)O)cn(C3CC3)c12</t>
  </si>
  <si>
    <t>CHEMBL75258</t>
  </si>
  <si>
    <t>5l</t>
  </si>
  <si>
    <t>COc1cc(-c2oc3cc(O)cc(O)c3c(=O)c2O)cc(OC)c1OC</t>
  </si>
  <si>
    <t>CHEMBL284086</t>
  </si>
  <si>
    <t>4d</t>
  </si>
  <si>
    <t>CO[C@@H]1[C@@H](OC(=O)c2ccc(C)[nH]2)[C@@H](O)[C@H](Oc2ccc3c(N4CC(C)NC(C)C4)cc(=O)oc3c2C)OC1(C)C</t>
  </si>
  <si>
    <t>CHEMBL4520753</t>
  </si>
  <si>
    <t>COC(=O)CC(=O)Nc1ccc(NC(=O)c2cc(Br)c(Br)[nH]2)c(-c2noc(C)n2)c1</t>
  </si>
  <si>
    <t>CHEMBL540589</t>
  </si>
  <si>
    <t>Br.O=C(O)c1cn(C2CC2)c2cc(N3C[C@@H]4CC3CN4)c(F)cc2c1=O</t>
  </si>
  <si>
    <t>CHEMBL293970</t>
  </si>
  <si>
    <t>NC1C=C(c2cc3c(cc2F)c(=O)c(C(=O)O)cn3C2CC2)CC1</t>
  </si>
  <si>
    <t>CHEMBL120948</t>
  </si>
  <si>
    <t>15E</t>
  </si>
  <si>
    <t>CC[C@@H]1CCN(c2ccc3c(=O)c(C(=O)O)cn(C4CC4)c3c2Cl)C[C@H]1N</t>
  </si>
  <si>
    <t>CHEMBL4644915</t>
  </si>
  <si>
    <t>13c; UIAA-II-079</t>
  </si>
  <si>
    <t>COc1c(N2CC[C@@H](CN)C2)c(F)cc2c(=O)n(CCNC(=N)N)c(=O)n(C3CC3)c12</t>
  </si>
  <si>
    <t>CHEMBL380505</t>
  </si>
  <si>
    <t>Nc1ccc(-c2cc3c(cc2F)c(=O)c2c(=O)[nH]sc2n3C2CC2)cc1</t>
  </si>
  <si>
    <t>CHEMBL3329311</t>
  </si>
  <si>
    <t>81</t>
  </si>
  <si>
    <t>CCNC(=O)Nc1cc(Nc2ccccc2)c(C(=O)Nc2ccc(N3CCOCC3)nc2)cn1</t>
  </si>
  <si>
    <t>CHEMBL3329305</t>
  </si>
  <si>
    <t>75</t>
  </si>
  <si>
    <t>CCNC(=O)Nc1cc(NCc2cccnc2)c(C(=O)Nc2cccnc2)cn1</t>
  </si>
  <si>
    <t>CHEMBL3329293</t>
  </si>
  <si>
    <t>49</t>
  </si>
  <si>
    <t>CCNC(=O)Nc1cc(N2CCN(C)CC2)c(C(=O)Nc2cccc(Cl)c2)cn1</t>
  </si>
  <si>
    <t>CHEMBL3329289</t>
  </si>
  <si>
    <t>CCNC(=O)Nc1ccc(C(=O)NC2CCCCC2)cn1</t>
  </si>
  <si>
    <t>CHEMBL3329288</t>
  </si>
  <si>
    <t>CCNC(=O)Nc1ccc(C(=O)Nc2ncc(C(=O)O)s2)cn1</t>
  </si>
  <si>
    <t>CHEMBL3329273</t>
  </si>
  <si>
    <t>CCNC(=O)Nc1ccc(C(=O)Nc2ccccc2)cn1</t>
  </si>
  <si>
    <t>CHEMBL357882</t>
  </si>
  <si>
    <t>O=C(O)c1cn(C2CC2)c2cc(N3CCCCC3)c(F)cc2c1=O</t>
  </si>
  <si>
    <t>CHEMBL316690</t>
  </si>
  <si>
    <t>COC(=O)[C@@H]1C[C@@H](NCc2n[nH]c3cccc(OCc4ccc(C(C)(C)C)cc4)c23)CN1</t>
  </si>
  <si>
    <t>CHEMBL544647</t>
  </si>
  <si>
    <t>Cl.N[C@@H]1C[C@H]2CC[C@@H](C1)N2c1nc2c(cc1F)c(=O)c(C(=O)O)cn2C1CC1</t>
  </si>
  <si>
    <t>CHEMBL4538203</t>
  </si>
  <si>
    <t>10g</t>
  </si>
  <si>
    <t>CCn1cc(-c2nc(NC(=O)c3ccccc3)n[nH]2)c(=O)c2cc(Br)c(C)nc21</t>
  </si>
  <si>
    <t>CHEMBL4349361</t>
  </si>
  <si>
    <t>Inhibition of Escherichia coli DNA gyrase super-coiling activity using pBR322 DNA as substrate after 30 mins by fluorescence assay</t>
  </si>
  <si>
    <t>CHEMBL4346717</t>
  </si>
  <si>
    <t>CHEMBL124970</t>
  </si>
  <si>
    <t>7l</t>
  </si>
  <si>
    <t>Cc1c(N2CCc3ccccc3C2)c(N)cc2c(=O)c(C(=O)O)cn(C3CC3)c12</t>
  </si>
  <si>
    <t>CHEMBL15549</t>
  </si>
  <si>
    <t>1h</t>
  </si>
  <si>
    <t>O=C(O)c1cn(C2CC2)c2c(F)c(N3CCNCC3)c(F)cc2c1=O</t>
  </si>
  <si>
    <t>CHEMBL200962</t>
  </si>
  <si>
    <t>CCc1c2s[nH]c(=O)c2c(=O)n2ccc(-c3cc(C)nc(C)c3)cc12</t>
  </si>
  <si>
    <t>CHEMBL6355</t>
  </si>
  <si>
    <t>O=c1oc2ccccc2c2ccccc12</t>
  </si>
  <si>
    <t>CHEMBL47028</t>
  </si>
  <si>
    <t>CN1CCN(c2c(F)c(N)c3c(=O)c(C(=O)O)cn(C4CC4)c3c2F)CC1</t>
  </si>
  <si>
    <t>Ciprofloxacin (CPFX)</t>
  </si>
  <si>
    <t>CHEMBL3329319</t>
  </si>
  <si>
    <t>92</t>
  </si>
  <si>
    <t>CCNC(=O)Nc1cc(Nc2ccc(OC)cc2OC)c(C(=O)Nc2cccnc2)cn1</t>
  </si>
  <si>
    <t>CHEMBL3329296</t>
  </si>
  <si>
    <t>52</t>
  </si>
  <si>
    <t>CCNC(=O)Nc1cc(N2CCN(C)CC2)c(C(=O)Nc2nccs2)cn1</t>
  </si>
  <si>
    <t>CHEMBL316496</t>
  </si>
  <si>
    <t>COC(=O)C1CCN(Cc2n[nH]c3cccc(OCc4ccc(C(C)(C)C)cc4)c23)CC1</t>
  </si>
  <si>
    <t>Nalidixic acid</t>
  </si>
  <si>
    <t>CHEMBL3357537</t>
  </si>
  <si>
    <t>O=C(/C=C/c1ccc(N2CCCCC2)cc1)c1ccc(O)cc1O</t>
  </si>
  <si>
    <t>CHEMBL3357982</t>
  </si>
  <si>
    <t>(+)-2</t>
  </si>
  <si>
    <t>Cc1noc2c(F)c3c(cc12)CC1(C(=O)NC(=O)NC1=O)[C@@H]1[C@@H](C)O[C@H](C)CN31</t>
  </si>
  <si>
    <t>CHEMBL3357989</t>
  </si>
  <si>
    <t>(+/-)-8</t>
  </si>
  <si>
    <t>CC1CN2c3c(cc4c(C(C)(C)C)noc4c3F)CC3(C(=O)NC(=O)NC3=O)C2C(C)O1</t>
  </si>
  <si>
    <t>CHEMBL217592</t>
  </si>
  <si>
    <t>COc1c(N2CC[C@@H]([C@H](C)N)C2)c(F)cc2c(=O)n(N)c(=O)n(C3CC3)c12</t>
  </si>
  <si>
    <t>CHEMBL6247</t>
  </si>
  <si>
    <t>8l</t>
  </si>
  <si>
    <t>Cc1cc(O)c(O)c2oc(=O)c3cc(O)c(O)cc3c12</t>
  </si>
  <si>
    <t>CHEMBL3658957</t>
  </si>
  <si>
    <t>BDBM159887</t>
  </si>
  <si>
    <t>C[C@@H]1CN2c3c(cc4c(-c5ccncn5)noc4c3Cl)CC3(C(=O)NC(=O)NC3=O)[C@H]2[C@H](C)O1</t>
  </si>
  <si>
    <t>CHEMBL3658971</t>
  </si>
  <si>
    <t>BDBM159903</t>
  </si>
  <si>
    <t>C[C@@H]1CN2c3c(cc4c(-n5ccnn5)noc4c3F)CC3(C(=O)NC(=O)NC3=O)[C@H]2[C@H](C)O1</t>
  </si>
  <si>
    <t>CHEMBL3639578</t>
  </si>
  <si>
    <t>BDBM159962</t>
  </si>
  <si>
    <t>COC[C@@H]1CN2c3c(cc4c(C)noc4c3F)CC3(C(=O)NC(=O)NC3=O)[C@H]2[C@H](C)O1</t>
  </si>
  <si>
    <t>CHEMBL3659017</t>
  </si>
  <si>
    <t>BDBM159965</t>
  </si>
  <si>
    <t>C[C@@H]1CN2c3c(nc4c(-c5cccnc5)noc4c3Cl)CC3(C(=O)NC(=O)NC3=O)[C@H]2[C@H](C)O1</t>
  </si>
  <si>
    <t>CHEMBL3659025</t>
  </si>
  <si>
    <t>BDBM159975</t>
  </si>
  <si>
    <t>Cc1ncc(-c2noc3c(Cl)c4c(nc23)CC2(C(=O)NC(=O)NC2=O)[C@H]2[C@H](C)O[C@H](C)CN42)s1</t>
  </si>
  <si>
    <t>CHEMBL3659032</t>
  </si>
  <si>
    <t>BDBM159983</t>
  </si>
  <si>
    <t>CNC(=O)c1noc2c(Cl)c3c(nc12)CC1(C(=O)NC(=O)NC1=O)[C@H]1[C@H](C)O[C@H](C)CN31</t>
  </si>
  <si>
    <t>CHEMBL331987</t>
  </si>
  <si>
    <t>13E</t>
  </si>
  <si>
    <t>CC[C@@H]1CCN(c2c(F)cc3c(=O)c(C(=O)O)cn(C4CC4)c3c2OC)C[C@H]1N</t>
  </si>
  <si>
    <t>CHEMBL95662</t>
  </si>
  <si>
    <t>21b</t>
  </si>
  <si>
    <t>COC(=O)C1CCCC(Nc2[nH]nc3cccc(OCc4ccc(F)c(F)c4)c23)C1</t>
  </si>
  <si>
    <t>CHEMBL3329310</t>
  </si>
  <si>
    <t>80</t>
  </si>
  <si>
    <t>CCNC(=O)Nc1cc(Nc2ccccc2)c(C(=O)Nc2cccnc2)cn1</t>
  </si>
  <si>
    <t>CHEMBL40919</t>
  </si>
  <si>
    <t>KAEMPFERIDE</t>
  </si>
  <si>
    <t>5j</t>
  </si>
  <si>
    <t>COc1ccc(-c2oc3cc(O)cc(O)c3c(=O)c2O)cc1</t>
  </si>
  <si>
    <t>CHEMBL3357984</t>
  </si>
  <si>
    <t>(+/-)-3</t>
  </si>
  <si>
    <t>Cc1noc2c(Cl)c3c(cc12)CC1(C(=O)NC(=O)NC1=O)C1C(C)OC(C)CN31</t>
  </si>
  <si>
    <t>CHEMBL159030</t>
  </si>
  <si>
    <t>O=C(O)c1cn(C2CC2)c2cc(N3CC4CCCC3CN4)c(F)cc2c1=O</t>
  </si>
  <si>
    <t>CHEMBL274469</t>
  </si>
  <si>
    <t>Nc1c(F)c(N2CCNCC2)c(F)c2c1c(=O)c(C(=O)O)cn2C1CC1</t>
  </si>
  <si>
    <t>CHEMBL3357991</t>
  </si>
  <si>
    <t>(-)-10</t>
  </si>
  <si>
    <t>C[C@@H]1CN2c3c(cc4c(Cl)noc4c3F)CC3(C(=O)NC(=O)NC3=O)[C@H]2[C@H](C)O1</t>
  </si>
  <si>
    <t>CHEMBL3094347</t>
  </si>
  <si>
    <t>CCNC(=O)Nc1nc2cc(-c3cccnc3)cc(-c3ccccn3)c2s1</t>
  </si>
  <si>
    <t>CHEMBL3663221</t>
  </si>
  <si>
    <t>BDBM160053</t>
  </si>
  <si>
    <t>C[C@@H]1CN2c3c(cc4c(-n5cc(C(=O)O)cn5)noc4c3F)CC3(C(=O)NC(=O)NC3=O)[C@H]2[C@H](C)O1</t>
  </si>
  <si>
    <t>CHEMBL3659007</t>
  </si>
  <si>
    <t>BDBM159954</t>
  </si>
  <si>
    <t>C[C@@H]1CN2c3c(cc4c(-c5nccs5)noc4c3F)CC3(C(=O)NC(=O)NC3=O)[C@H]2[C@H](C)O1</t>
  </si>
  <si>
    <t>CHEMBL3659031</t>
  </si>
  <si>
    <t>BDBM159982</t>
  </si>
  <si>
    <t>Cc1noc2c(Cl)c3c(nc12)CC1(C(=O)NC(=O)NC1=O)[C@H]1[C@H](C)O[C@H](C)CN31</t>
  </si>
  <si>
    <t>CHEMBL3658943</t>
  </si>
  <si>
    <t>BDBM159872</t>
  </si>
  <si>
    <t>CC(=O)Nc1ccn(-c2noc3c(F)c4c(cc23)CC2(C(=O)NC(=O)NC2=O)[C@H]2[C@H](C)O[C@H](C)CN42)n1</t>
  </si>
  <si>
    <t>CHEMBL102572</t>
  </si>
  <si>
    <t>2h</t>
  </si>
  <si>
    <t>CCn1cc(C(=O)O)c(=O)c2cc(F)c(N3CCCC3)nc21</t>
  </si>
  <si>
    <t>CHEMBL3663189</t>
  </si>
  <si>
    <t>BDBM160017</t>
  </si>
  <si>
    <t>C[C@@H]1CN2c3c(cc4c(C(=O)N5CCCCO5)noc4c3F)CC3(C(=O)NC(=O)NC3=O)[C@H]2[C@H](C)O1</t>
  </si>
  <si>
    <t>Ofloxacin</t>
  </si>
  <si>
    <t>CHEMBL97620</t>
  </si>
  <si>
    <t>COC(=O)C1CCCC(NCc2n[nH]c3cccc(OCc4ccc(Cl)c(Cl)c4)c23)C1</t>
  </si>
  <si>
    <t>CHEMBL3658924</t>
  </si>
  <si>
    <t>BDBM159853</t>
  </si>
  <si>
    <t>C[C@@H]1CN2c3c(cc4c(NCc5ccccc5)noc4c3F)CC3(C(=O)NC(=O)NC3=O)[C@H]2[C@H](C)O1</t>
  </si>
  <si>
    <t>CHEMBL3658940</t>
  </si>
  <si>
    <t>BDBM159869</t>
  </si>
  <si>
    <t>C[C@@H]1CN2c3c(cc4c(N5CCCC5)noc4c3F)CC3(C(=O)NC(=O)NC3=O)[C@H]2[C@H](C)O1</t>
  </si>
  <si>
    <t>CHEMBL149425</t>
  </si>
  <si>
    <t>3c</t>
  </si>
  <si>
    <t>CNc1c(F)c(N2CCNCC2)c(F)c2c1c(=O)c(C(=O)O)cn2C1CC1</t>
  </si>
  <si>
    <t>CHEMBL266458</t>
  </si>
  <si>
    <t>8b</t>
  </si>
  <si>
    <t>O=c1oc2cc(O)c(O)cc2c2cc(O)c(O)cc12</t>
  </si>
  <si>
    <t>CHEMBL3663188</t>
  </si>
  <si>
    <t>BDBM160016</t>
  </si>
  <si>
    <t>C[C@@H]1CN2c3c(cc4c(C(=O)NCC5CC5)noc4c3F)CC3(C(=O)NC(=O)NC3=O)[C@H]2[C@H](C)O1</t>
  </si>
  <si>
    <t>CHEMBL3663207</t>
  </si>
  <si>
    <t>BDBM160037</t>
  </si>
  <si>
    <t>COCCNc1nccc(-c2noc3c(F)c4c(cc23)CC2(C(=O)NC(=O)NC2=O)[C@H]2[C@H](C)O[C@H](C)CN42)n1</t>
  </si>
  <si>
    <t>CHEMBL95741</t>
  </si>
  <si>
    <t>1a</t>
  </si>
  <si>
    <t>COC(=O)C1CCCC(NCc2n[nH]c3cccc(OCc4ccc(C(C)(C)C)cc4)c23)C1</t>
  </si>
  <si>
    <t>CHEMBL3329308</t>
  </si>
  <si>
    <t>78</t>
  </si>
  <si>
    <t>CCNC(=O)Nc1cc(Nc2ccccc2)c(C(=O)Nc2cccc(C)c2)cn1</t>
  </si>
  <si>
    <t>CHEMBL3329302</t>
  </si>
  <si>
    <t>72</t>
  </si>
  <si>
    <t>CCNC(=O)Nc1cc(-c2ccccc2)c(C(=O)Nc2cccc(Cl)c2)cn1</t>
  </si>
  <si>
    <t>CHEMBL540707</t>
  </si>
  <si>
    <t>NC1C=C(c2nc3c(cc2F)c(=O)c(C(=O)O)cn3-c2ccc(F)cc2F)CC1</t>
  </si>
  <si>
    <t>CHEMBL3357535</t>
  </si>
  <si>
    <t>CCCCCCOc1ccccc1/C=C/C(=O)c1ccc(O)cc1O</t>
  </si>
  <si>
    <t>CHEMBL204146</t>
  </si>
  <si>
    <t>8f</t>
  </si>
  <si>
    <t>O=c1oc2c(O)c(O)ccc2c2ccc(O)cc12</t>
  </si>
  <si>
    <t>CHEMBL15247</t>
  </si>
  <si>
    <t>CCNCC1CCN(c2c(F)c(N)c3c(=O)c(C(=O)O)cn(C4CC4)c3c2F)C1</t>
  </si>
  <si>
    <t>CHEMBL5267724</t>
  </si>
  <si>
    <t>O=C1COc2ccc(CNC3CCN(CCn4c(=O)c5nocc5c5ncccc54)CC3)nc2N1</t>
  </si>
  <si>
    <t>CHEMBL4752218</t>
  </si>
  <si>
    <t>CCn1cc(-c2csc(N)n2)c(=O)c2cc(F)c(N3CCN(CC#N)CC3)cc21</t>
  </si>
  <si>
    <t>CHEMBL3663178</t>
  </si>
  <si>
    <t>BDBM160003</t>
  </si>
  <si>
    <t>COCCNC(=O)c1noc2c(F)c3c(cc12)CC1(C(=O)NC(=O)NC1=O)[C@H]1[C@H](C)O[C@H](C)CN31</t>
  </si>
  <si>
    <t>CHEMBL3663183</t>
  </si>
  <si>
    <t>BDBM160010</t>
  </si>
  <si>
    <t>C[C@@H]1CN2c3c(cc4c(-c5ncccn5)noc4c3F)CC3(C(=O)NC(=O)NC3=O)[C@H]2[C@H](C)O1</t>
  </si>
  <si>
    <t>CHEMBL3663197</t>
  </si>
  <si>
    <t>BDBM160025</t>
  </si>
  <si>
    <t>C[C@@H]1CN2c3c(cc4c(C(=O)NCc5ccn(C)n5)noc4c3F)CC3(C(=O)NC(=O)NC3=O)[C@H]2[C@H](C)O1</t>
  </si>
  <si>
    <t>CHEMBL4878712</t>
  </si>
  <si>
    <t>31g</t>
  </si>
  <si>
    <t>Cc1[nH]c(C(=O)Nc2nc3c(OCc4cccs4)cc(C(=O)O)cc3s2)c(Cl)c1Cl</t>
  </si>
  <si>
    <t>CHEMBL3329314</t>
  </si>
  <si>
    <t>84</t>
  </si>
  <si>
    <t>CCNC(=O)Nc1cc(Nc2ccccc2)c(C(=O)NCc2cccnc2)cn1</t>
  </si>
  <si>
    <t>CHEMBL3329272</t>
  </si>
  <si>
    <t>CCNC(=O)Nc1ccc(C(=O)Nc2cccnc2)cn1</t>
  </si>
  <si>
    <t>CHEMBL3298608</t>
  </si>
  <si>
    <t>O=C1OCC(OCCN2CCN(c3cc4c(cc3F)c(=O)c(C(=O)O)cn4-c3ccc(F)cc3)CC2)=C1c1ccccc1Cl</t>
  </si>
  <si>
    <t>CHEMBL3663194</t>
  </si>
  <si>
    <t>BDBM160022</t>
  </si>
  <si>
    <t>C[C@@H]1CN2c3c(cc4c(C(=O)N5CCC(F)(F)C5)noc4c3F)CC3(C(=O)NC(=O)NC3=O)[C@H]2[C@H](C)O1</t>
  </si>
  <si>
    <t>CHEMBL4109523</t>
  </si>
  <si>
    <t>BDBM159918</t>
  </si>
  <si>
    <t>C[C@H]1CN2c3c(cc4c(-c5snn[n+]5C)noc4c3F)CC3(C(=O)NC(=O)NC3=O)[C@@H]2[C@@H](C)O1</t>
  </si>
  <si>
    <t>CHEMBL3659028</t>
  </si>
  <si>
    <t>BDBM159979</t>
  </si>
  <si>
    <t>[C-]#[N+]c1ccc(-c2noc3c(Cl)c4c(nc23)CC2(C(=O)NC(=O)NC2=O)[C@H]2[C@H](C)O[C@H](C)CN42)cc1F</t>
  </si>
  <si>
    <t>CHEMBL3663167</t>
  </si>
  <si>
    <t>BDBM159989</t>
  </si>
  <si>
    <t>C[C@@H]1CN2c3c(nc4c(C(=O)NCc5ccccc5)noc4c3Cl)CC3(C(=O)NC(=O)NC3=O)[C@H]2[C@H](C)O1</t>
  </si>
  <si>
    <t>CHEMBL58300</t>
  </si>
  <si>
    <t>O=C(O)c1cn(C2CC2)c2nc(C3=CCNCC3)c(F)cc2c1=O</t>
  </si>
  <si>
    <t>CHEMBL880632</t>
  </si>
  <si>
    <t>Inhibitory activity against supercoiling activity of DNA gyrase isolated from Escherichia coli</t>
  </si>
  <si>
    <t>CHEMBL1141057</t>
  </si>
  <si>
    <t>CHEMBL345900</t>
  </si>
  <si>
    <t>O=C(O)c1cn(C2CC2)c2nc(N3CC4CCC3CN4)c(F)cc2c1=O</t>
  </si>
  <si>
    <t>CHEMBL3589524</t>
  </si>
  <si>
    <t>Nc1ncc2c(n1)CCC(NC(=O)c1cc3ccccc3[nH]1)C2</t>
  </si>
  <si>
    <t>CHEMBL3589070</t>
  </si>
  <si>
    <t>30</t>
  </si>
  <si>
    <t>COC(=O)CCC(=O)Nc1nc2c(s1)C[C@@H](NC(=O)c1cc3ccccc3[nH]1)CC2</t>
  </si>
  <si>
    <t>CHEMBL3589072</t>
  </si>
  <si>
    <t>O=C(O)CC(=O)Nc1nc2c(s1)C[C@@H](NC(=O)c1cc3ccccc3[nH]1)CC2</t>
  </si>
  <si>
    <t>CHEMBL4471339</t>
  </si>
  <si>
    <t>NC[C@H](Oc1noc2ncc(-c3ccccc3Cl)cc12)c1ccccc1</t>
  </si>
  <si>
    <t>CHEMBL4467227</t>
  </si>
  <si>
    <t>NCC(Oc1noc2ccc(-c3ccccc3Cl)cc12)c1ccccn1</t>
  </si>
  <si>
    <t>CHEMBL4448131</t>
  </si>
  <si>
    <t>Cpd D</t>
  </si>
  <si>
    <t>O=C1COc2ccc(N3C[C@H](CCCN[C@@H]4Cn5c(=O)ccc6ccc(F)c4c65)OC3=O)nc2N1</t>
  </si>
  <si>
    <t>CHEMBL4375021</t>
  </si>
  <si>
    <t>CHEMBL1235773</t>
  </si>
  <si>
    <t>Cpd G</t>
  </si>
  <si>
    <t>COc1ccc2ncc(C#N)c(CCN3CCC(NCc4cc5c(cn4)OCS5)CC3)c2c1</t>
  </si>
  <si>
    <t>CHEMBL4789518</t>
  </si>
  <si>
    <t>9b</t>
  </si>
  <si>
    <t>COC(=O)CC(=O)Nc1nc2ccc(NC(=O)c3[nH]c(C)c(Cl)c3Cl)cc2s1</t>
  </si>
  <si>
    <t>CHEMBL287166</t>
  </si>
  <si>
    <t>4h</t>
  </si>
  <si>
    <t>CO[C@@H]1[C@@H](OC(=O)c2ccc(C)[nH]2)[C@@H](O)[C@H](Oc2ccc3c(N(C)CCN(C)C)cc(=O)oc3c2C)OC1(C)C</t>
  </si>
  <si>
    <t>CHEMBL421277</t>
  </si>
  <si>
    <t>29</t>
  </si>
  <si>
    <t>NC1CCN(c2cc3c(cc2F)c(=O)c(C(=O)O)cn3C2CC2)CC1</t>
  </si>
  <si>
    <t>CHEMBL6273</t>
  </si>
  <si>
    <t>FLEROXACIN</t>
  </si>
  <si>
    <t>CN1CCN(c2c(F)cc3c(=O)c(C(=O)O)cn(CCF)c3c2F)CC1</t>
  </si>
  <si>
    <t>CHEMBL160662</t>
  </si>
  <si>
    <t>O=C(O)c1cn(C2CC2)c2cc(N3C[C@H]4CC3CN4)c(F)cc2c1=O</t>
  </si>
  <si>
    <t>CHEMBL3663185</t>
  </si>
  <si>
    <t>BDBM160013</t>
  </si>
  <si>
    <t>Cc1noc2c(F)c3c(cc12)CC1(C(=O)NC(=O)NC1=O)[C@H]1[C@H](C)O[C@H](C(F)(F)F)CN31</t>
  </si>
  <si>
    <t>CHEMBL3663186</t>
  </si>
  <si>
    <t>BDBM160014</t>
  </si>
  <si>
    <t>C[C@@H]1CN2c3c(cc4c(C(=O)NC5CC5)noc4c3F)CC3(C(=O)NC(=O)NC3=O)[C@H]2[C@H](C)O1</t>
  </si>
  <si>
    <t>CHEMBL3663198</t>
  </si>
  <si>
    <t>BDBM160026</t>
  </si>
  <si>
    <t>C[C@@H]1CN2c3c(cc4c(C(=O)NCc5ccnn5C)noc4c3F)CC3(C(=O)NC(=O)NC3=O)[C@H]2[C@H](C)O1</t>
  </si>
  <si>
    <t>CHEMBL3663209</t>
  </si>
  <si>
    <t>BDBM160039</t>
  </si>
  <si>
    <t>COc1nccc(-c2noc3c(F)c4c(cc23)CC2(C(=O)NC(=O)NC2=O)[C@H]2[C@H](C)O[C@H](C)CN42)n1</t>
  </si>
  <si>
    <t>CHEMBL159024</t>
  </si>
  <si>
    <t>16</t>
  </si>
  <si>
    <t>O=C(O)c1cn(C2CC2)c2c(F)c(N3CC4CCC3CN4)c(F)cc2c1=O</t>
  </si>
  <si>
    <t>CHEMBL4786782</t>
  </si>
  <si>
    <t>15e</t>
  </si>
  <si>
    <t>Cc1[nH]c(C(=O)Nc2nc3ccc(NC(=O)CNC(=O)OC(C)(C)C)cc3s2)c(Cl)c1Cl</t>
  </si>
  <si>
    <t>30F-R,S</t>
  </si>
  <si>
    <t>CHEMBL121176</t>
  </si>
  <si>
    <t>16H</t>
  </si>
  <si>
    <t>N[C@H]1CCCN(c2nc3c(cc2F)c(=O)c(C(=O)O)cn3C2CC2)C1</t>
  </si>
  <si>
    <t>CHEMBL3663184</t>
  </si>
  <si>
    <t>BDBM160011</t>
  </si>
  <si>
    <t>C[C@H]1CN2c3c(cc4c(-c5ncccn5)noc4c3F)CC3(C(=O)NC(=O)NC3=O)[C@@H]2[C@@H](C)O1</t>
  </si>
  <si>
    <t>CHEMBL4796011</t>
  </si>
  <si>
    <t>C[C@@H]1O[C@H](CNS(=O)(=O)c2ccc(CCn3cc(CN4CCN(c5cc6c(cc5F)c(=O)c(C(=O)O)cn6C5CC5)CC4)nn3)s2)[C@@H](O)[C@H](O)[C@@H]1O</t>
  </si>
  <si>
    <t>CHEMBL4203118</t>
  </si>
  <si>
    <t>O=c1c2nccn2c2cc(F)c(-c3ccncc3)cc2n1C1CC1</t>
  </si>
  <si>
    <t>CHEMBL4792402</t>
  </si>
  <si>
    <t>15a</t>
  </si>
  <si>
    <t>CC(=O)Nc1ccc2nc(NC(=O)c3[nH]c(C)c(Cl)c3Cl)sc2c1</t>
  </si>
  <si>
    <t>CHEMBL4785583</t>
  </si>
  <si>
    <t>Cc1[nH]c(C(=O)Nc2ccc(C(=O)N[C@@H](C)C(=O)O)cc2OC2CCN(C(=O)OC(C)(C)C)CC2)c(Cl)c1Cl</t>
  </si>
  <si>
    <t>CHEMBL4763966</t>
  </si>
  <si>
    <t>46b</t>
  </si>
  <si>
    <t>CCOC(=O)C(NC(=O)c1ccc(NC(=O)c2[nH]c(C)c(Cl)c2Cl)cc1)C(=O)OCC</t>
  </si>
  <si>
    <t>CHEMBL68262</t>
  </si>
  <si>
    <t>IRLOXACIN</t>
  </si>
  <si>
    <t>1t</t>
  </si>
  <si>
    <t>CCn1cc(C(=O)O)c(=O)c2cc(F)c(-n3cccc3)cc21</t>
  </si>
  <si>
    <t>CHEMBL4867874</t>
  </si>
  <si>
    <t>31c</t>
  </si>
  <si>
    <t>Cc1[nH]c(C(=O)Nc2nc3c(OCCN4CCOCC4)cc(C(=O)O)cc3s2)c(Cl)c1Cl.Cl</t>
  </si>
  <si>
    <t>CHEMBL4850565</t>
  </si>
  <si>
    <t>31e</t>
  </si>
  <si>
    <t>Cc1[nH]c(C(=O)Nc2nc3c(OCc4cccc(C(=O)O)c4)cc(C(=O)O)cc3s2)c(Cl)c1Cl</t>
  </si>
  <si>
    <t>CHEMBL4873249</t>
  </si>
  <si>
    <t>31h</t>
  </si>
  <si>
    <t>Cc1[nH]c(C(=O)Nc2nc3c(OCc4ccsc4)cc(C(=O)O)cc3s2)c(Cl)c1Cl</t>
  </si>
  <si>
    <t>CHEMBL3329281</t>
  </si>
  <si>
    <t>CCNC(=O)Nc1ccc(C(=O)Nc2cccc(CC)c2)cn1</t>
  </si>
  <si>
    <t>CHEMBL351693</t>
  </si>
  <si>
    <t>N[C@H]1C[C@H]2CC[C@@H](C1)N2c1cc2c(cc1F)c(=O)c(C(=O)O)cn2C1CC1</t>
  </si>
  <si>
    <t>CHEMBL122665</t>
  </si>
  <si>
    <t>Clc1cccc(-n2nc(C3CCNCC3)cc2-c2ccc3ccccc3c2)c1</t>
  </si>
  <si>
    <t>NAL</t>
  </si>
  <si>
    <t>CHEMBL32</t>
  </si>
  <si>
    <t>MOXIFLOXACIN</t>
  </si>
  <si>
    <t>MXF</t>
  </si>
  <si>
    <t>COc1c(N2C[C@@H]3CCCN[C@@H]3C2)c(F)cc2c(=O)c(C(=O)O)cn(C3CC3)c12</t>
  </si>
  <si>
    <t>31F-R,S</t>
  </si>
  <si>
    <t>CHEMBL4445556</t>
  </si>
  <si>
    <t>NC[C@H](Oc1noc2ccc(-c3ccccc3Cl)cc12)c1ccccc1</t>
  </si>
  <si>
    <t>CHEMBL429961</t>
  </si>
  <si>
    <t>CN1CCN(c2cc3c(cc2F)c(=O)c(C(=O)O)cn3C2CC2)CC1</t>
  </si>
  <si>
    <t>CHEMBL334740</t>
  </si>
  <si>
    <t>2j</t>
  </si>
  <si>
    <t>CCn1cc(C(=O)O)c(=O)c2cc(F)c(N3CCSC3)nc21</t>
  </si>
  <si>
    <t>CHEMBL134293</t>
  </si>
  <si>
    <t>3k</t>
  </si>
  <si>
    <t>CC(=O)NC[C@H]1CN(c2ccc(OCC3CCN(c4nc5c(cc4F)c(=O)c(C(=O)O)cn5C4CC4)C3)c(F)c2)C(=O)O1</t>
  </si>
  <si>
    <t>CHEMBL2110225</t>
  </si>
  <si>
    <t>34F-R,S</t>
  </si>
  <si>
    <t>C[C@@H](N)[C@H]1CCN(c2nc3c(cc2F)c(=O)c(C(=O)O)cn3-c2ccc(F)cc2F)C1</t>
  </si>
  <si>
    <t>CHEMBL141308</t>
  </si>
  <si>
    <t>Cc1c(N2CCc3ccccc3C2)c(F)cc2c(=O)c(C(=O)O)cn(C3CC3)c12</t>
  </si>
  <si>
    <t>CHEMBL544878</t>
  </si>
  <si>
    <t>Cl.N[C@H]1C[C@H]2CC[C@@H](C1)N2c1nc2c(cc1F)c(=O)c(C(=O)O)cn2C1CC1</t>
  </si>
  <si>
    <t>CHEMBL42299</t>
  </si>
  <si>
    <t>CN1CCN(c2c(F)c(N(C)C)c3c(=O)c(C(=O)O)cn(C4CC4)c3c2F)CC1</t>
  </si>
  <si>
    <t>CHEMBL6210</t>
  </si>
  <si>
    <t>PD-117558</t>
  </si>
  <si>
    <t>1g, PD-117558</t>
  </si>
  <si>
    <t>CCNCC1CCN(c2c(F)cc3c(=O)c(C(=O)O)cn(C4CC4)c3c2F)C1</t>
  </si>
  <si>
    <t>SID11112831</t>
  </si>
  <si>
    <t>CHEMBL3357986</t>
  </si>
  <si>
    <t>BDBM159943</t>
  </si>
  <si>
    <t>C[C@@H]1CN2c3c(cc4c(C(F)F)noc4c3F)CC3(C(=O)NC(=O)NC3=O)[C@H]2[C@H](C)O1</t>
  </si>
  <si>
    <t>CHEMBL146339</t>
  </si>
  <si>
    <t>CC1COc2c(N3CCN(C)CC3)c(F)c(N)c3c(=O)c(C(=O)O)cn1c23</t>
  </si>
  <si>
    <t>7c</t>
  </si>
  <si>
    <t>CHEMBL263076</t>
  </si>
  <si>
    <t>8g</t>
  </si>
  <si>
    <t>O=c1oc2c(O)c(O)ccc2c2cc(F)ccc12</t>
  </si>
  <si>
    <t>CHEMBL3329309</t>
  </si>
  <si>
    <t>79</t>
  </si>
  <si>
    <t>CCNC(=O)Nc1cc(Nc2ccccc2)c(C(=O)Nc2cccc(Cl)c2)cn1</t>
  </si>
  <si>
    <t>CHEMBL201439</t>
  </si>
  <si>
    <t>CCc1c2s[nH]c(=O)c2c(=O)n2ccc(N3CCNCC3)cc12</t>
  </si>
  <si>
    <t>CHEMBL422131</t>
  </si>
  <si>
    <t>3d</t>
  </si>
  <si>
    <t>CC(=O)Nc1c(F)c(N2CCNCC2)c(F)c2c1c(=O)c(C(=O)O)cn2C1CC1</t>
  </si>
  <si>
    <t>CHEMBL3350261</t>
  </si>
  <si>
    <t>30F-S,S</t>
  </si>
  <si>
    <t>C[C@H](N)[C@H]1CCN(c2nc3c(cc2F)c(=O)c(C(=O)O)cn3C2CC2)C1</t>
  </si>
  <si>
    <t>CHEMBL291157</t>
  </si>
  <si>
    <t>ROSOXACIN</t>
  </si>
  <si>
    <t>1g</t>
  </si>
  <si>
    <t>CCn1cc(C(=O)O)c(=O)c2ccc(-c3ccncc3)cc21</t>
  </si>
  <si>
    <t>CHEMBL274696</t>
  </si>
  <si>
    <t>30E</t>
  </si>
  <si>
    <t>CC1(CN)CCN(c2nc3c(cc2F)c(=O)c(C(=O)O)cn3C2CC2)C1</t>
  </si>
  <si>
    <t>CHEMBL309490</t>
  </si>
  <si>
    <t>GALANGIN</t>
  </si>
  <si>
    <t>5g</t>
  </si>
  <si>
    <t>O=c1c(O)c(-c2ccccc2)oc2cc(O)cc(O)c12</t>
  </si>
  <si>
    <t>5k</t>
  </si>
  <si>
    <t>CHEMBL15296</t>
  </si>
  <si>
    <t>31B</t>
  </si>
  <si>
    <t>NCC1CCN(c2cc3c(cc2F)c(=O)c(C(=O)O)cn3C2CC2)C1</t>
  </si>
  <si>
    <t>CHEMBL31574</t>
  </si>
  <si>
    <t>FISETIN</t>
  </si>
  <si>
    <t>5h</t>
  </si>
  <si>
    <t>O=c1c(O)c(-c2ccc(O)c(O)c2)oc2cc(O)ccc12</t>
  </si>
  <si>
    <t>Cipro</t>
  </si>
  <si>
    <t>CHEMBL4262185</t>
  </si>
  <si>
    <t>Inhibition of Escherichia coli DNA gyrase assessed as inhibition of pUC19 supercoiling after 30 mins by agarose gel electrophoresis</t>
  </si>
  <si>
    <t>CHEMBL4261496</t>
  </si>
  <si>
    <t>CHEMBL420884</t>
  </si>
  <si>
    <t>16E</t>
  </si>
  <si>
    <t>CC[C@@H]1CCN(c2nc3c(cc2F)c(=O)c(C(=O)O)cn3C2CC2)C[C@H]1N</t>
  </si>
  <si>
    <t>CHEMBL278255</t>
  </si>
  <si>
    <t>CLINAFLOXACIN</t>
  </si>
  <si>
    <t>-1.0</t>
  </si>
  <si>
    <t>Clinafloxacin</t>
  </si>
  <si>
    <t>NC1CCN(c2c(F)cc3c(=O)c(C(=O)O)cn(C4CC4)c3c2Cl)C1</t>
  </si>
  <si>
    <t>CHEMBL3633522</t>
  </si>
  <si>
    <t>10e; WQ-3810</t>
  </si>
  <si>
    <t>Cc1c(N2CC(NC(C)C)C2)c(F)cc2c(=O)c(C(=O)O)cn(-c3nc(N)c(F)cc3F)c12</t>
  </si>
  <si>
    <t>CHEMBL3633519</t>
  </si>
  <si>
    <t>CNC1CN(c2c(F)cc3c(=O)c(C(=O)O)cn(-c4nc(N)c(F)cc4F)c3c2C)C1</t>
  </si>
  <si>
    <t>CHEMBL6338</t>
  </si>
  <si>
    <t>8a</t>
  </si>
  <si>
    <t>O=c1oc2c(O)c(O)ccc2c2cc(O)c(O)cc12</t>
  </si>
  <si>
    <t>CHEMBL4289833</t>
  </si>
  <si>
    <t>Cc1ccc(C#N)cc1S(=O)(=O)N[C@@H]1CCN(Cc2ccc(-c3ccccc3)cc2)C1</t>
  </si>
  <si>
    <t>CHEMBL204271</t>
  </si>
  <si>
    <t>O=c1[nH]sc2c1c(=O)c1cc(F)c(-c3cccc(O)c3)cc1n2C1CC1</t>
  </si>
  <si>
    <t>CHEMBL4642955</t>
  </si>
  <si>
    <t>21; UIAA-II-226</t>
  </si>
  <si>
    <t>CCn1c(=O)n2nc(C(=O)O)cc2c2cc(F)c(N3CC[C@@H](CN)C3)cc21</t>
  </si>
  <si>
    <t>CHEMBL3329301</t>
  </si>
  <si>
    <t>71</t>
  </si>
  <si>
    <t>CCNC(=O)Nc1cc(-c2cccnc2)c(C(=O)Nc2cccc(C)c2)cn1</t>
  </si>
  <si>
    <t>CHEMBL3329299</t>
  </si>
  <si>
    <t>69</t>
  </si>
  <si>
    <t>CCNC(=O)Nc1cc(-c2cccnc2)c(C(=O)Nc2cccnc2)cn1</t>
  </si>
  <si>
    <t>CHEMBL3329295</t>
  </si>
  <si>
    <t>51</t>
  </si>
  <si>
    <t>CCNC(=O)Nc1cc(N2CCN(C)CC2)c(C(=O)Nc2cccc(C)c2)cn1</t>
  </si>
  <si>
    <t>(-)-11</t>
  </si>
  <si>
    <t>D</t>
  </si>
  <si>
    <t>CHEMBL4645741</t>
  </si>
  <si>
    <t>7b; UIAA-I-227</t>
  </si>
  <si>
    <t>Cc1c(N2CC[C@@H](CN)C2)c(F)cc2c(=O)n(CCN)c(=O)n(C3CC3)c12</t>
  </si>
  <si>
    <t>A Ciprofloxacin</t>
  </si>
  <si>
    <t>CHEMBL95667</t>
  </si>
  <si>
    <t>COC(=O)C1CN(Cc2n[nH]c3cccc(OCc4ccc(C(C)(C)C)cc4)c23)CCC1=O</t>
  </si>
  <si>
    <t>CHEMBL3329304</t>
  </si>
  <si>
    <t>74</t>
  </si>
  <si>
    <t>CCNC(=O)Nc1cc(NC2CCCCC2)c(C(=O)Nc2cccc(C)c2)cn1</t>
  </si>
  <si>
    <t>1812</t>
  </si>
  <si>
    <t>CHEMBL4130153</t>
  </si>
  <si>
    <t>14d; UITT-III-217</t>
  </si>
  <si>
    <t>COc1c(N2CC[C@@H](CN)C2)c(F)cc2c1N(Cc1ccc(-c3ccccc3)cc1)CC(C(=O)O)C2=O</t>
  </si>
  <si>
    <t>CHEMBL330779</t>
  </si>
  <si>
    <t>NC1CCN(c2c(F)cc3c(=O)c(C(=O)O)cn(C4CC4)c3c2F)CC1</t>
  </si>
  <si>
    <t>CHEMBL58513</t>
  </si>
  <si>
    <t>NC1C=C(c2nc3c(cc2F)c(=O)c(C(=O)O)cn3C2CC2)CC1</t>
  </si>
  <si>
    <t>CHEMBL36422</t>
  </si>
  <si>
    <t>4i</t>
  </si>
  <si>
    <t>CO[C@@H]1[C@@H](OC(=O)c2ccc(C)[nH]2)[C@@H](O)[C@H](Oc2ccc3c(N4CCN(C)CC4)c(Cl)c(=O)oc3c2C)OC1(C)C</t>
  </si>
  <si>
    <t>CHEMBL329748</t>
  </si>
  <si>
    <t>CNCc1n[nH]c2cccc(OCc3ccc(C(C)(C)C)cc3)c12</t>
  </si>
  <si>
    <t>CHEMBL97490</t>
  </si>
  <si>
    <t>21d</t>
  </si>
  <si>
    <t>COC(=O)C1CCCC(Nc2[nH]nc3cccc(OCc4ccc(Cl)c(Cl)c4)c23)C1</t>
  </si>
  <si>
    <t>CHEMBL356984</t>
  </si>
  <si>
    <t>CCNCC1CCN(c2c(F)c(NC(C)=O)c3c(=O)c(C(=O)O)cn(C4CC4)c3c2F)C1</t>
  </si>
  <si>
    <t>CHEMBL344447</t>
  </si>
  <si>
    <t>Cc1c(N2CCCCC2)c(N)cc2c(=O)c(C(=O)O)cn(C3CC3)c12</t>
  </si>
  <si>
    <t>CHEMBL97902</t>
  </si>
  <si>
    <t>COC(=O)C1CCCN(Cc2n[nH]c3cccc(OCc4ccc(C(C)(C)C)cc4)c23)C1</t>
  </si>
  <si>
    <t>CHEMBL3589522</t>
  </si>
  <si>
    <t>Nc1ncc2c(n1)CCC(NC(=O)c1cc(Br)c[nH]1)C2</t>
  </si>
  <si>
    <t>CHEMBL3589538</t>
  </si>
  <si>
    <t>O=C(O)CC(=O)Nc1nc2c(s1)C[C@@H](NC(=O)c1cc(Br)c[nH]1)CC2</t>
  </si>
  <si>
    <t>CHEMBL3589069</t>
  </si>
  <si>
    <t>COC(=O)CC(=O)Nc1nc2c(s1)C[C@@H](NC(=O)c1cc3ccccc3[nH]1)CC2</t>
  </si>
  <si>
    <t>CHEMBL160497</t>
  </si>
  <si>
    <t>CN1CC2CCC1CN2c1nc2c(cc1F)c(=O)c(C(=O)O)cn2C1CC1</t>
  </si>
  <si>
    <t>CHEMBL3357988</t>
  </si>
  <si>
    <t>(+/-)-7</t>
  </si>
  <si>
    <t>CC1CN2c3c(cc4c(C5CC5)noc4c3F)CC3(C(=O)NC(=O)NC3=O)C2C(C)O1</t>
  </si>
  <si>
    <t>CHEMBL15391</t>
  </si>
  <si>
    <t>4b</t>
  </si>
  <si>
    <t>NCC1CCN(c2c(F)c(N)c3c(=O)c(C(=O)O)cn(C4CC4)c3c2F)C1</t>
  </si>
  <si>
    <t>CHEMBL4126889</t>
  </si>
  <si>
    <t>14e; UICK-I-119</t>
  </si>
  <si>
    <t>COc1ccc(CN2CC(C(=O)O)C(=O)c3cc(F)c(N4CC[C@@H](CN)C4)c(OC)c32)cc1</t>
  </si>
  <si>
    <t>CHEMBL416273</t>
  </si>
  <si>
    <t>7b</t>
  </si>
  <si>
    <t>Cc1c(N2CCN(C)CC2)c(N)cc2c(=O)c(C(=O)O)cn(C3CC3)c12</t>
  </si>
  <si>
    <t>CHEMBL343603</t>
  </si>
  <si>
    <t>Cc1c(N2CCN(C)CC2)c(F)cc2c(=O)c(C(=O)O)cn(C3CC3)c12</t>
  </si>
  <si>
    <t>CHEMBL202864</t>
  </si>
  <si>
    <t>A-62824</t>
  </si>
  <si>
    <t>O=c1[nH]sc2c1c(=O)c1cc(F)c(N3CCNCC3)cc1n2C1CC1</t>
  </si>
  <si>
    <t>CHEMBL348355</t>
  </si>
  <si>
    <t>CCN[C@@H]1C[C@H]2CC[C@@H](C1)N2c1nc2c(cc1F)c(=O)c(C(=O)O)cn2C1CC1</t>
  </si>
  <si>
    <t>CHEMBL3633523</t>
  </si>
  <si>
    <t>10f</t>
  </si>
  <si>
    <t>Cc1c(N2CC(NC(C)(C)C)C2)c(F)cc2c(=O)c(C(=O)O)cn(-c3nc(N)c(F)cc3F)c12</t>
  </si>
  <si>
    <t>CHEMBL3633521</t>
  </si>
  <si>
    <t>10d</t>
  </si>
  <si>
    <t>CCCNC1CN(c2c(F)cc3c(=O)c(C(=O)O)cn(-c4nc(N)c(F)cc4F)c3c2C)C1</t>
  </si>
  <si>
    <t>CHEMBL164</t>
  </si>
  <si>
    <t>MYRICETIN</t>
  </si>
  <si>
    <t>5d</t>
  </si>
  <si>
    <t>O=c1c(O)c(-c2cc(O)c(O)c(O)c2)oc2cc(O)cc(O)c12</t>
  </si>
  <si>
    <t>CHEMBL3357531</t>
  </si>
  <si>
    <t>3g</t>
  </si>
  <si>
    <t>CC1(C)C2CC=C(/C=C/C(=O)c3ccc(O)cc3O)C1C2</t>
  </si>
  <si>
    <t>(-)-5</t>
  </si>
  <si>
    <t>ciprofloxacin</t>
  </si>
  <si>
    <t>CHEMBL3329306</t>
  </si>
  <si>
    <t>76</t>
  </si>
  <si>
    <t>CCNC(=O)Nc1cc(NCc2cccnc2)c(C(=O)Nc2ccccc2)cn1</t>
  </si>
  <si>
    <t>CHEMBL3329287</t>
  </si>
  <si>
    <t>CCNC(=O)Nc1ccc(C(=O)Nc2nccs2)cn1</t>
  </si>
  <si>
    <t>CHEMBL3329278</t>
  </si>
  <si>
    <t>CCNC(=O)Nc1ccc(C(=O)Nc2cccc(C)c2)cn1</t>
  </si>
  <si>
    <t>CHEMBL362211</t>
  </si>
  <si>
    <t>C[C@@H]1Cc2ccccc2-c2cc(=O)c(C(=O)O)cn21</t>
  </si>
  <si>
    <t>CHEMBL287262</t>
  </si>
  <si>
    <t>CO[C@@H]1[C@@H](OC(=O)c2ccc(C)[nH]2)[C@@H](O)[C@H](Oc2ccc3c(N4CCNCC4)cc(=O)oc3c2C)OC1(C)C</t>
  </si>
  <si>
    <t>CHEMBL160786</t>
  </si>
  <si>
    <t>41</t>
  </si>
  <si>
    <t>CCN[C@@H]1C[C@H]2CC[C@@H](C1)N2c1c(F)cc2c(=O)c(C(=O)O)cn(C3CC3)c2c1F</t>
  </si>
  <si>
    <t>CHEMBL3350260</t>
  </si>
  <si>
    <t>31F-R,R</t>
  </si>
  <si>
    <t>C[C@@H](N)[C@@H]1CCN(c2cc3c(cc2F)c(=O)c(C(=O)O)cn3C2CC2)C1</t>
  </si>
  <si>
    <t>CHEMBL205011</t>
  </si>
  <si>
    <t>O=c1[nH]sc2c1c(=O)c1cc(F)c(-c3cccc(CO)c3)cc1n2C1CC1</t>
  </si>
  <si>
    <t>CHEMBL380696</t>
  </si>
  <si>
    <t>O=c1[nH]sc2c1c(=O)c1cc(F)c(-c3cccc(F)c3)cc1n2C1CC1</t>
  </si>
  <si>
    <t>moxifloxacin</t>
  </si>
  <si>
    <t>CHEMBL430</t>
  </si>
  <si>
    <t>GEMIFLOXACIN</t>
  </si>
  <si>
    <t>gemifloxacin</t>
  </si>
  <si>
    <t>CO/N=C1\CN(c2nc3c(cc2F)c(=O)c(C(=O)O)cn3C2CC2)CC1CN</t>
  </si>
  <si>
    <t>NOV</t>
  </si>
  <si>
    <t>CHEMBL4290691</t>
  </si>
  <si>
    <t>63</t>
  </si>
  <si>
    <t>Oc1ccc(Oc2ccc(Cl)cc2Cl)cc1</t>
  </si>
  <si>
    <t>CHEMBL4291469</t>
  </si>
  <si>
    <t>60</t>
  </si>
  <si>
    <t>Oc1ccc(Oc2cccc(C(F)(F)F)c2)cc1</t>
  </si>
  <si>
    <t>CHEMBL3357528</t>
  </si>
  <si>
    <t>CCCCCCCCOc1ccccc1C1CC(=O)c2ccc(O)cc2O1</t>
  </si>
  <si>
    <t>CHEMBL159188</t>
  </si>
  <si>
    <t>Nc1c(F)c(N2C[C@H]3CC2CN3)c(F)c2c1c(=O)c(C(=O)O)cn2C1CC1</t>
  </si>
  <si>
    <t>CHEMBL3329274</t>
  </si>
  <si>
    <t>CCNC(=O)Nc1ccc(C(=O)Nc2cccc(Cl)c2)cn1</t>
  </si>
  <si>
    <t>CHEMBL205729</t>
  </si>
  <si>
    <t>Nc1cc(-c2cc3c(cc2F)c(=O)c2c(=O)[nH]sc2n3C2CC2)ccc1F</t>
  </si>
  <si>
    <t>CHEMBL380520</t>
  </si>
  <si>
    <t>NCc1cccc(-c2cc3c(cc2F)c(=O)c2c(=O)[nH]sc2n3C2CC2)c1</t>
  </si>
  <si>
    <t>CHEMBL438444</t>
  </si>
  <si>
    <t>O=c1[nH]sc2c1c(=O)c1cc(F)c(-c3cccc(C4CCCCN4)c3)cc1n2C1CC1</t>
  </si>
  <si>
    <t>CHEMBL194702</t>
  </si>
  <si>
    <t>Clc1ccc(COc2ccc(/C=C/c3cc(C4CCNCC4)[nH]n3)cc2)cc1Cl</t>
  </si>
  <si>
    <t>CHEMBL4644781</t>
  </si>
  <si>
    <t>13b; UIAA-II-082</t>
  </si>
  <si>
    <t>Cc1c(N2CC[C@@H](CN)C2)c(F)cc2c(=O)n(CCNC(=N)N)c(=O)n(C3CC3)c12</t>
  </si>
  <si>
    <t>CHEMBL2313966</t>
  </si>
  <si>
    <t>A</t>
  </si>
  <si>
    <t>O=C(O)c1cn(C2CC2)c2cc(N3CCN(Cn4nc(-c5cccc(O)c5)n(-c5cc(Cl)cc(Cl)c5)c4=S)CC3)c(F)cc2c1=O</t>
  </si>
  <si>
    <t>CHEMBL99301</t>
  </si>
  <si>
    <t>CCOC(=O)C1CCCN(Cc2n[nH]c3cccc(OCc4ccc(C(C)(C)C)cc4)c23)C1</t>
  </si>
  <si>
    <t>CHEMBL5084570</t>
  </si>
  <si>
    <t>Cc1cc(NS(=O)(=O)c2ccc(/N=N/N3CCN(c4cc5c(cc4F)c(=O)c(C(=O)O)cn5C4CC4)CC3)cc2)no1</t>
  </si>
  <si>
    <t>CHEMBL5041012</t>
  </si>
  <si>
    <t>Inhibition of Escherichia coli DNA gyrase supercoiling activity using pBR322 as substrate incubated for 30 mins by fluorimetric assay</t>
  </si>
  <si>
    <t>CHEMBL5038626</t>
  </si>
  <si>
    <t>CHEMBL5084320</t>
  </si>
  <si>
    <t>NC(N)=NS(=O)(=O)c1ccc(/N=N/N2CCN(c3cc4c(cc3F)c(=O)c(C(=O)O)cn4C3CC3)CC2)cc1</t>
  </si>
  <si>
    <t>CHEMBL5086519</t>
  </si>
  <si>
    <t>O=C(CN1CCN(c2cc3c(cc2F)c(=O)c(C(=O)O)cn3C2CC2)CC1)Nc1ccc(S(=O)(=O)Nc2cncc(Cl)n2)cc1</t>
  </si>
  <si>
    <t>CHEMBL2110319</t>
  </si>
  <si>
    <t>31F-S,S</t>
  </si>
  <si>
    <t>C[C@H](N)[C@H]1CCN(c2cc3c(cc2F)c(=O)c(C(=O)O)cn3C2CC2)C1</t>
  </si>
  <si>
    <t>CHEMBL2158050</t>
  </si>
  <si>
    <t>1; NXL101</t>
  </si>
  <si>
    <t>COc1ccc2ncc(F)c([C@@H](O)CC[C@@H]3CCN(CCSc4cccs4)C[C@@H]3C(=O)O)c2c1</t>
  </si>
  <si>
    <t>CHEMBL5133363</t>
  </si>
  <si>
    <t>Inhibition of Escherichia coli DNA gyrase by fluorescence based microtiter plate reader assay</t>
  </si>
  <si>
    <t>CHEMBL5131416</t>
  </si>
  <si>
    <t>CHEMBL5271348</t>
  </si>
  <si>
    <t>COc1ccc2c3conc3c(=O)n(CCN3CCC(NCc4nc5c(cc4F)OCC(=O)N5)CC3)c2c1</t>
  </si>
  <si>
    <t>CHEMBL75267</t>
  </si>
  <si>
    <t>7,8-DIHYDROXYFLAVONE</t>
  </si>
  <si>
    <t>SID26749141</t>
  </si>
  <si>
    <t>O=c1cc(-c2ccccc2)oc2c(O)c(O)ccc12</t>
  </si>
  <si>
    <t>CHEMBL4764515</t>
  </si>
  <si>
    <t>CNc1cc(F)cc2c(NCC3CNC3)c(C(=O)Nc3ccc(C(=O)O)cc3)c(=O)[nH]c12.O=CO</t>
  </si>
  <si>
    <t>CHEMBL5183842</t>
  </si>
  <si>
    <t>COC(=O)[C@H]1CN(CCSc2cccs2)CCN1CCCc1c(F)cnc2ccc(OC)cc12</t>
  </si>
  <si>
    <t>CHEMBL558413</t>
  </si>
  <si>
    <t>CN1CC2C[C@@H]1CN2c1nc2c(cc1F)c(=O)c(C(=O)O)cn2C1CC1.Cl</t>
  </si>
  <si>
    <t>CHEMBL433517</t>
  </si>
  <si>
    <t>Nc1c(F)c(N2CCN3CCC2C3)c(F)c2c1c(=O)c(C(=O)O)cn2C1CC1</t>
  </si>
  <si>
    <t>CHEMBL352000</t>
  </si>
  <si>
    <t>CN1CC2CCC1CN2c1c(F)cc2c(=O)c(C(=O)O)cn(C3CC3)c2c1F</t>
  </si>
  <si>
    <t>CHEMBL4738356</t>
  </si>
  <si>
    <t>Inhibition of Escherichia coli DNA gyrase using positively supercoiled pBR322 DNA as substrate incubated for 1 hr by based agarose gel electrophoresis method</t>
  </si>
  <si>
    <t>CHEMBL4732221</t>
  </si>
  <si>
    <t>CHEMBL5177076</t>
  </si>
  <si>
    <t>N#Cc1cnc2ccc(=O)n(CCCN[C@H]3CC[C@H]4[C@H](C3)OC(=O)N4c3ccc4c(n3)NC(=O)CO4)c2c1</t>
  </si>
  <si>
    <t>CHEMBL5146125</t>
  </si>
  <si>
    <t>Inhibition of Escherichia coli DNA gyrase supercoiling activity</t>
  </si>
  <si>
    <t>CHEMBL5143607</t>
  </si>
  <si>
    <t>CHEMBL5076830</t>
  </si>
  <si>
    <t>CC(C(=O)Nc1ccc(S(N)(=O)=O)cc1)N1CCN(c2cc3c(cc2F)c(=O)c(C(=O)O)cn3C2CC2)CC1</t>
  </si>
  <si>
    <t>CHEMBL5090088</t>
  </si>
  <si>
    <t>7d</t>
  </si>
  <si>
    <t>O=C(CCN1CCN(c2cc3c(cc2F)c(=O)c(C(=O)O)cn3C2CC2)CC1)Nc1ccc(S(=O)(=O)Nc2cnc3ccccc3n2)cc1</t>
  </si>
  <si>
    <t>CHEMBL5201228</t>
  </si>
  <si>
    <t>COc1ccc2ccc(=O)n(CCN[C@H]3CC[C@H]4[C@H](C3)OC(=O)N4c3ccc4c(n3)NC(=O)CO4)c2n1</t>
  </si>
  <si>
    <t>CHEMBL5176053</t>
  </si>
  <si>
    <t>Cl.NC[C@H](NC(=O)c1cccc(-c2cccc([N+](=O)[O-])c2)c1)c1ccccc1</t>
  </si>
  <si>
    <t>CHEMBL5106090</t>
  </si>
  <si>
    <t>Inhibition of Escherichia coli DNA gyrase supercoiling activity using pBR322 as substrate incubated for 30 mins measured by gel-based assay</t>
  </si>
  <si>
    <t>CHEMBL5104153</t>
  </si>
  <si>
    <t>RSC Med Chem</t>
  </si>
  <si>
    <t>CHEMBL5182975</t>
  </si>
  <si>
    <t>COC(=O)c1ccccc1-c1cccc(C(=O)N[C@@H](CN)c2ccccc2)c1.Cl</t>
  </si>
  <si>
    <t>CHEMBL5207662</t>
  </si>
  <si>
    <t>Cc1ccccc1C(=O)N[C@@H](CN)c1ccccc1.Cl</t>
  </si>
  <si>
    <t>CHEMBL5172139</t>
  </si>
  <si>
    <t>CCOc1cccc(-c2cc(C(=O)N[C@@H](CN)c3ccccc3)ccc2C)c1.Cl</t>
  </si>
  <si>
    <t>CHEMBL5205241</t>
  </si>
  <si>
    <t>COc1ccccc1-c1cccc(C(=O)NC(CN)c2cccc(O)c2)c1.Cl</t>
  </si>
  <si>
    <t>CHEMBL36143</t>
  </si>
  <si>
    <t>4j</t>
  </si>
  <si>
    <t>CO[C@@H]1[C@@H](OC(=O)c2ccc(C)[nH]2)[C@@H](O)[C@H](Oc2ccc3c(N4CCC(N(C)C)CC4)cc(=O)oc3c2C)OC1(C)C</t>
  </si>
  <si>
    <t>CHEMBL4459270</t>
  </si>
  <si>
    <t>CCNC(=O)Nc1cc(-n2cccn2)c(C(=O)Nc2cccnc2)cn1</t>
  </si>
  <si>
    <t>CHEMBL4764566</t>
  </si>
  <si>
    <t>CNc1cc(F)cc2cc(C(=O)Nc3ccc(C(=O)O)cc3)c(=O)[nH]c12</t>
  </si>
  <si>
    <t>CHEMBL5092701</t>
  </si>
  <si>
    <t>NS(=O)(=O)c1ccc(NC(=O)CCN2CCN(c3cc4c(cc3F)c(=O)c(C(=O)O)cn4C3CC3)CC2)cc1</t>
  </si>
  <si>
    <t>CHEMBL5253304</t>
  </si>
  <si>
    <t>CHEMBL5252521</t>
  </si>
  <si>
    <t>CHEMBL5268060</t>
  </si>
  <si>
    <t>Kibdelomycin A</t>
  </si>
  <si>
    <t>C=C1CC[C@@H](O[C@H]2C[C@@](O)([C@H](C)NC(=O)c3[nH]cc(Cl)c3Cl)[C@H](O)[C@@H](C)O2)[C@@H]2CC[C@H](C)[C@H](/C(O)=C3\C(=O)[C@H](C(C)C)N([C@@H]4O[C@@H](C)[C@@H](OC(N)=O)[C@@H](OC(C)=O)[C@H]4OC)C3=O)[C@@H]12</t>
  </si>
  <si>
    <t>CHEMBL5253310</t>
  </si>
  <si>
    <t>Inhibition of Escherichia coli DNA gyrase supercoiling activity using relaxed pBR322 DNA as substrate after 30 mins by fluorescence assay</t>
  </si>
  <si>
    <t>CHEMBL3592386</t>
  </si>
  <si>
    <t>Inhibition of Escherichia coli DNA gyrase using relaxed pBR322 DNA as substrate after 3 hrs by DNA super-coiling assay</t>
  </si>
  <si>
    <t>CHEMBL4293211</t>
  </si>
  <si>
    <t>N#Cc1cccc(S(=O)(=O)N[C@@H]2CCN(Cc3ccc(-c4ccccc4)cc3)C2)c1</t>
  </si>
  <si>
    <t>CHEMBL4798377</t>
  </si>
  <si>
    <t>O=C(Cn1cc(CCN2CCN(c3cc4c(cc3F)c(=O)c(C(=O)O)cn4C3CC3)CC2)nn1)Nc1ccc(S[C@@H]2O[C@H](CO)[C@H](O)[C@H](O)[C@H]2O)cc1</t>
  </si>
  <si>
    <t>CHEMBL5087899</t>
  </si>
  <si>
    <t>CC(C(=O)Nc1ccc(S(=O)(=O)Nc2cnc3ccccc3n2)cc1)N1CCN(c2cc3c(cc2F)c(=O)c(C(=O)O)cn3C2CC2)CC1</t>
  </si>
  <si>
    <t>CHEMBL3589536</t>
  </si>
  <si>
    <t>O=C(O)CCC(=O)Nc1nc2c(s1)C[C@@H](NC(=O)c1cc(Br)c(Br)[nH]1)CC2</t>
  </si>
  <si>
    <t>CHEMBL3589073</t>
  </si>
  <si>
    <t>O=C(O)CCC(=O)Nc1nc2c(s1)C[C@@H](NC(=O)c1cc3ccccc3[nH]1)CC2</t>
  </si>
  <si>
    <t>CHEMBL3589080</t>
  </si>
  <si>
    <t>44</t>
  </si>
  <si>
    <t>O=C(O)CCC(=O)Nc1nc2c(s1)C[C@@H](NC(=O)c1cc(Cl)c(Cl)[nH]1)CC2</t>
  </si>
  <si>
    <t>CHEMBL3085880</t>
  </si>
  <si>
    <t>Nc1nc2c(s1)C[C@@H](NC(=O)c1cc(Br)c(Br)[nH]1)CC2</t>
  </si>
  <si>
    <t>(+)-1</t>
  </si>
  <si>
    <t>CHEMBL2023358</t>
  </si>
  <si>
    <t>OLYMPICIN A</t>
  </si>
  <si>
    <t>2a, Olympicin A</t>
  </si>
  <si>
    <t>CC[C@H](C)C(=O)c1c(O)cc(O)cc1OC/C=C(\C)CCC=C(C)C</t>
  </si>
  <si>
    <t>CHEMBL329485</t>
  </si>
  <si>
    <t>21a</t>
  </si>
  <si>
    <t>COC(=O)C1CCCC(Nc2[nH]nc3cccc(OCc4ccccc4)c23)C1</t>
  </si>
  <si>
    <t>CHEMBL3357534</t>
  </si>
  <si>
    <t>C=CCOc1ccccc1/C=C/C(=O)c1ccc(O)cc1O</t>
  </si>
  <si>
    <t>CHEMBL160302</t>
  </si>
  <si>
    <t>Nc1c(F)c(N2CC3CCCC2CN3)c(F)c2c1c(=O)c(C(=O)O)cn2C1CC1</t>
  </si>
  <si>
    <t>CHEMBL3658921</t>
  </si>
  <si>
    <t>BDBM159850</t>
  </si>
  <si>
    <t>CC(=O)Nc1noc2c(F)c3c(cc12)CC1(C(=O)NC(=O)NC1=O)[C@H]1[C@H](C)O[C@H](C)CN31</t>
  </si>
  <si>
    <t>CHEMBL3658922</t>
  </si>
  <si>
    <t>BDBM159851</t>
  </si>
  <si>
    <t>Cc1noc2c(Cl)c3c(cc12)CC1(C(=O)NC(=O)NC1=O)[C@H]1[C@H](C)O[C@H](C)CN31</t>
  </si>
  <si>
    <t>CHEMBL3658926</t>
  </si>
  <si>
    <t>BDBM159855</t>
  </si>
  <si>
    <t>C[C@@H]1CN2c3c(cc4c(NCc5c[nH]cn5)noc4c3F)CC3(C(=O)NC(=O)NC3=O)[C@H]2[C@H](C)O1</t>
  </si>
  <si>
    <t>CHEMBL97537</t>
  </si>
  <si>
    <t>COC(=O)C1CCCC(NCc2cc(/C=C\c3ccc(Cl)c(Cl)c3)[nH]n2)C1</t>
  </si>
  <si>
    <t>CHEMBL416755</t>
  </si>
  <si>
    <t>OXOLINIC ACID</t>
  </si>
  <si>
    <t>CCn1cc(C(=O)O)c(=O)c2cc3c(cc21)OCO3</t>
  </si>
  <si>
    <t>CHEMBL160468</t>
  </si>
  <si>
    <t>O=C(O)c1cn(C2CC2)c2nc(N3C[C@H]4CC3CN4)c(F)cc2c1=O</t>
  </si>
  <si>
    <t>CHEMBL142729</t>
  </si>
  <si>
    <t>NC1CCN(c2nc3c(cc2F)c(=O)c(C(=O)O)cn3C2CC2)CC1</t>
  </si>
  <si>
    <t>CHEMBL4127152</t>
  </si>
  <si>
    <t>UING-5-249</t>
  </si>
  <si>
    <t>COc1c(N2CC[C@@H](CN)C2)c(F)cc2c1N(C1CC1)CC(C(=O)O)C2=O</t>
  </si>
  <si>
    <t>CHEMBL4793836</t>
  </si>
  <si>
    <t>COC(=O)CNC(=O)c1ccc(NC(=O)c2[nH]c(C)c(Cl)c2Cl)c(O[C@H]2CCNC2)c1.Cl</t>
  </si>
  <si>
    <t>CHEMBL296800</t>
  </si>
  <si>
    <t>5m</t>
  </si>
  <si>
    <t>COc1cc2oc(-c3ccccc3)cc(=O)c2c(O)c1O</t>
  </si>
  <si>
    <t>CHEMBL6349</t>
  </si>
  <si>
    <t>8h</t>
  </si>
  <si>
    <t>O=c1oc2cc(O)c(O)cc2c2cc(F)ccc12</t>
  </si>
  <si>
    <t>CHEMBL98619</t>
  </si>
  <si>
    <t>CC(C)(C)c1ccc(COc2cccc3[nH]nc(CN4CCNCC4)c23)cc1</t>
  </si>
  <si>
    <t>CHEMBL4468900</t>
  </si>
  <si>
    <t>NC[C@@H](c1ccccc1)n1cnc2c(-c3ccccc3Cl)csc2c1=O</t>
  </si>
  <si>
    <t>CHEMBL5092628</t>
  </si>
  <si>
    <t>NS(=O)(=O)c1ccc(/N=N/N2CCN(c3cc4c(cc3F)c(=O)c(C(=O)O)cn4C3CC3)CC2)cc1</t>
  </si>
  <si>
    <t>CHEMBL4521306</t>
  </si>
  <si>
    <t>CCNC(=O)Nc1cc(-n2nccn2)c(C(=O)Nc2cccnc2)cn1</t>
  </si>
  <si>
    <t>CHEMBL3663175</t>
  </si>
  <si>
    <t>BDBM159998</t>
  </si>
  <si>
    <t>CNC(=O)c1noc2c(F)c3c(cc12)CC1(C(=O)NC(=O)NC1=O)[C@H]1[C@H](C)O[C@H](C)CN31</t>
  </si>
  <si>
    <t>CHEMBL3663182</t>
  </si>
  <si>
    <t>BDBM160007</t>
  </si>
  <si>
    <t>CC(C)NC(=O)c1noc2c(F)c3c(cc12)CC1(C(=O)NC(=O)NC1=O)[C@H]1[C@H](C)O[C@H](C)CN31</t>
  </si>
  <si>
    <t>CHEMBL3663190</t>
  </si>
  <si>
    <t>BDBM160018</t>
  </si>
  <si>
    <t>C[C@@H]1CN2c3c(cc4c(C(=O)NCc5cccs5)noc4c3F)CC3(C(=O)NC(=O)NC3=O)[C@H]2[C@H](C)O1</t>
  </si>
  <si>
    <t>CHEMBL3659000</t>
  </si>
  <si>
    <t>BDBM159937</t>
  </si>
  <si>
    <t>C[C@@H]1CN2c3c(cc4c(-c5nccn5C)noc4c3Cl)CC3(C(=O)NC(=O)NC3=O)[C@H]2[C@H](C)O1</t>
  </si>
  <si>
    <t>CHEMBL3659012</t>
  </si>
  <si>
    <t>BDBM159959</t>
  </si>
  <si>
    <t>Cc1c2c(cc3c(-c4cnccn4)noc13)CC1(C(=O)NC(=O)NC1=O)[C@H]1[C@H](C)O[C@H](C)CN21</t>
  </si>
  <si>
    <t>CHEMBL3658930</t>
  </si>
  <si>
    <t>BDBM159859</t>
  </si>
  <si>
    <t>C[C@@H]1CN2c3c(cc4c(NCc5cccnc5)noc4c3F)CC3(C(=O)NC(=O)NC3=O)[C@H]2[C@H](C)O1</t>
  </si>
  <si>
    <t>CHEMBL3663196</t>
  </si>
  <si>
    <t>BDBM160024</t>
  </si>
  <si>
    <t>CC(=O)NC1CN(C(=O)c2noc3c(F)c4c(cc23)CC2(C(=O)NC(=O)NC2=O)[C@H]2[C@H](C)O[C@H](C)CN42)C1</t>
  </si>
  <si>
    <t>CHEMBL4778649</t>
  </si>
  <si>
    <t>CC(C)(C)OC(=O)N1CCC(Oc2cc(C(=O)NCC(=O)O)ccc2NC(=O)c2cc(Br)c(Br)[nH]2)CC1</t>
  </si>
  <si>
    <t>CHEMBL4795890</t>
  </si>
  <si>
    <t>9d</t>
  </si>
  <si>
    <t>Cc1[nH]c(C(=O)Nc2ccc(C(=O)N[C@H](C)C(=O)O)cc2OC2CCNCC2)c(Cl)c1Cl.Cl</t>
  </si>
  <si>
    <t>CHEMBL4798476</t>
  </si>
  <si>
    <t>CNc1cc(F)cc2cc(C(=O)Nc3ccc(C(=O)NCCN)cc3)c(=O)[nH]c12.Cl</t>
  </si>
  <si>
    <t>CHEMBL4762067</t>
  </si>
  <si>
    <t>CNc1cc(F)cc2cc(C(=O)Nc3ccc(C(=O)O)cc3CN(C)C3CC3)c(=O)[nH]c12</t>
  </si>
  <si>
    <t>CHEMBL4798088</t>
  </si>
  <si>
    <t>CCCCCN(CCCCC)Cc1cc(C(=O)O)ccc1NC(=O)c1cc2cc(F)cc(NC)c2[nH]c1=O</t>
  </si>
  <si>
    <t>CHEMBL4757242</t>
  </si>
  <si>
    <t>CCCCCN(C)Cc1cc(C(=O)O)ccc1NC(=O)c1cc2cc(F)cc(NC)c2[nH]c1=O</t>
  </si>
  <si>
    <t>CHEMBL3658954</t>
  </si>
  <si>
    <t>BDBM159884</t>
  </si>
  <si>
    <t>Cc1ccc(-c2noc3c(Cl)c4c(cc23)CC2(C(=O)NC(=O)NC2=O)[C@H]2[C@H](C)O[C@H](C)CN42)cn1</t>
  </si>
  <si>
    <t>CHEMBL5185216</t>
  </si>
  <si>
    <t>CCOc1cccc(-c2cccc(C(=O)N[C@@H](CN)c3ccccc3)c2)c1.Cl</t>
  </si>
  <si>
    <t>CHEMBL3659035</t>
  </si>
  <si>
    <t>BDBM159986</t>
  </si>
  <si>
    <t>C[C@@H]1CN2c3c(nc4c(C(=O)NC(C)(C)C)noc4c3Cl)CC3(C(=O)NC(=O)NC3=O)[C@H]2[C@H](C)O1</t>
  </si>
  <si>
    <t>CHEMBL442194</t>
  </si>
  <si>
    <t>Cc1cc(=O)oc2cc(CCc3n[nH]c4cccc(OCc5ccc(C(C)(C)C)cc5)c34)ccc12</t>
  </si>
  <si>
    <t>CHEMBL3663227</t>
  </si>
  <si>
    <t>BDBM160059</t>
  </si>
  <si>
    <t>CC[C@@H]1CN2c3c(cc4c(C)noc4c3F)CC3(C(=O)NC(=O)NC3=O)[C@H]2[C@H](CC)O1</t>
  </si>
  <si>
    <t>CHEMBL58226</t>
  </si>
  <si>
    <t>O=C(O)c1cn(C2CC2)c2cc(C3=CCNCC3)c(F)cc2c1=O</t>
  </si>
  <si>
    <t>CHEMBL4528547</t>
  </si>
  <si>
    <t>NC[C@H](Oc1noc2ccc(-c3ccccc3Cl)nc12)c1ccccc1</t>
  </si>
  <si>
    <t>CHEMBL1208</t>
  </si>
  <si>
    <t>CINOXACIN</t>
  </si>
  <si>
    <t>CCn1nc(C(=O)O)c(=O)c2cc3c(cc21)OCO3</t>
  </si>
  <si>
    <t>CHEMBL4791182</t>
  </si>
  <si>
    <t>57</t>
  </si>
  <si>
    <t>CCn1cc(C(=O)O)c(=O)c2ccc(NC(=O)c3[nH]c(C)c(Cl)c3Cl)cc21</t>
  </si>
  <si>
    <t>CHEMBL4666341</t>
  </si>
  <si>
    <t>Inhibition of Escherichia coli DNA gyrase assessed as conversion of NADH to NAD+ by ATPase assay</t>
  </si>
  <si>
    <t>CHEMBL4776363</t>
  </si>
  <si>
    <t>Cc1[nH]c(C(=O)Nc2ccc(C(=O)N[C@H](C)c3n[nH]c(=S)o3)cc2OC(C)C)c(Cl)c1Cl</t>
  </si>
  <si>
    <t>CHEMBL4799538</t>
  </si>
  <si>
    <t>43b</t>
  </si>
  <si>
    <t>Cc1[nH]c(C(=O)Nc2ccc(C(=O)NCC#N)cc2)c(Cl)c1Cl</t>
  </si>
  <si>
    <t>CHEMBL4741104</t>
  </si>
  <si>
    <t>56</t>
  </si>
  <si>
    <t>CCOC(=O)c1cn(CC)c2cc(NC(=O)c3[nH]c(C)c(Cl)c3Cl)ccc2c1=O</t>
  </si>
  <si>
    <t>CHEMBL4748866</t>
  </si>
  <si>
    <t>CNc1cc(F)cc2cc(C(=O)Nc3ccc(C(=O)O)cc3CNCCO)c(=O)[nH]c12.Cl</t>
  </si>
  <si>
    <t>CHEMBL4746606</t>
  </si>
  <si>
    <t>CNc1cc(F)cc2c(O)c(C(=O)Nc3ccc(C(=O)NS(=O)(=O)N(C)C)cc3CN3CCCCC3)c(=O)[nH]c12</t>
  </si>
  <si>
    <t>CHEMBL3658919</t>
  </si>
  <si>
    <t>BDBM159848</t>
  </si>
  <si>
    <t>C[C@@H]1CN2c3c(cc4c(C5CC5)noc4c3F)CC3(C(=O)NC(=O)NC3=O)[C@H]2[C@H](C)O1</t>
  </si>
  <si>
    <t>CHEMBL199517</t>
  </si>
  <si>
    <t>CCc1c2s[nH]c(=O)c2c(=O)n2ccc(N3CCC(N(C)C)C3)cc12</t>
  </si>
  <si>
    <t>CHEMBL4640061</t>
  </si>
  <si>
    <t>Cc1c(N2CC[C@@H]([C@H](C)N)C2)c(F)cc2ccc(=O)n(C3CC3)c12</t>
  </si>
  <si>
    <t>CHEMBL3589081</t>
  </si>
  <si>
    <t>Nc1ncc2c(n1)CCC(CNC(=O)c1cc(Br)c(Br)[nH]1)C2</t>
  </si>
  <si>
    <t>CHEMBL4436644</t>
  </si>
  <si>
    <t>CCNC(=O)Nc1cc(N2CCCC2)c(C(=O)Nc2cccnc2)cn1</t>
  </si>
  <si>
    <t>(-)-1</t>
  </si>
  <si>
    <t>(-)-4</t>
  </si>
  <si>
    <t>CHEMBL5284544</t>
  </si>
  <si>
    <t>Cc1[nH]c(C(=O)N[C@H]2CCc3nc(NCc4cc(=O)c(O)co4)sc3C2)c(Cl)c1Cl</t>
  </si>
  <si>
    <t>CHEMBL5235949</t>
  </si>
  <si>
    <t>CHEMBL5233273</t>
  </si>
  <si>
    <t>CHEMBL3109309</t>
  </si>
  <si>
    <t>CCCCCCC[C@H]1Cc2cc(O)c(C(=O)O)c(O)c2[C@@H](O)O1</t>
  </si>
  <si>
    <t>CHEMBL5113801</t>
  </si>
  <si>
    <t>Inhibition of Escherichia coli DNA gyrase supercoiling activity using pBR322 DNA as substrate incubated for 2 hrs by ethidium bromide/bromophenol blue staining based agarose gel electrophoresis analysis</t>
  </si>
  <si>
    <t>CHEMBL5113374</t>
  </si>
  <si>
    <t>TIME = 2.0 hr</t>
  </si>
  <si>
    <t>CHEMBL5177835</t>
  </si>
  <si>
    <t>Cl.NC[C@H](NC(=O)c1cncc(-c2ccccc2Cl)c1)c1ccccc1</t>
  </si>
  <si>
    <t>CHEMBL4789899</t>
  </si>
  <si>
    <t>COC(=O)[C@H](C)NC(=O)c1ccc(NC(=O)c2[nH]c(C)c(Cl)c2Cl)c(OC2CCNCC2)c1.Cl</t>
  </si>
  <si>
    <t>CHEMBL4758478</t>
  </si>
  <si>
    <t>Cc1[nH]c(C(=O)Nc2ccc(C(=O)NCC(=O)O)cc2OC2CCN(C(=O)OC(C)(C)C)CC2)c(Cl)c1Cl</t>
  </si>
  <si>
    <t>CHEMBL4747366</t>
  </si>
  <si>
    <t>15c</t>
  </si>
  <si>
    <t>Cc1[nH]c(C(=O)Nc2nc3ccc(NC(=O)c4ccncc4)cc3s2)c(Cl)c1Cl</t>
  </si>
  <si>
    <t>CHEMBL3658935</t>
  </si>
  <si>
    <t>BDBM159864</t>
  </si>
  <si>
    <t>C[C@@H]1CN2c3c(cc4c(N5CCN(C(=O)OC(C)(C)C)CC5)noc4c3F)CC3(C(=O)NC(=O)NC3=O)[C@H]2[C@H](C)O1</t>
  </si>
  <si>
    <t>CHEMBL3658984</t>
  </si>
  <si>
    <t>BDBM159916</t>
  </si>
  <si>
    <t>C[C@@H]1CN2c3c(cc4c(-c5cncn5C)noc4c3F)CC3(C(=O)NC(=O)NC3=O)[C@H]2[C@H](C)O1</t>
  </si>
  <si>
    <t>CHEMBL3659008</t>
  </si>
  <si>
    <t>BDBM159955</t>
  </si>
  <si>
    <t>C[C@@H]1CN2c3c(cc4c(-c5ccco5)noc4c3F)CC3(C(=O)NC(=O)NC3=O)[C@H]2[C@H](C)O1</t>
  </si>
  <si>
    <t>CHEMBL3663169</t>
  </si>
  <si>
    <t>BDBM159991</t>
  </si>
  <si>
    <t>C[C@@H]1CN2c3c(nc4c(C(=O)NCc5cccc(C#N)c5)noc4c3Cl)CC3(C(=O)NC(=O)NC3=O)[C@H]2[C@H](C)O1</t>
  </si>
  <si>
    <t>CHEMBL3589071</t>
  </si>
  <si>
    <t>O=C(O)C(=O)Nc1nc2c(s1)C[C@@H](NC(=O)c1cc3ccccc3[nH]1)CC2</t>
  </si>
  <si>
    <t>CHEMBL3085874</t>
  </si>
  <si>
    <t>Nc1nc2c(s1)CC(CNC(=O)c1cc(Br)c(Br)[nH]1)CC2</t>
  </si>
  <si>
    <t>CHEMBL3357987</t>
  </si>
  <si>
    <t>(+/-)-6</t>
  </si>
  <si>
    <t>COCc1noc2c(F)c3c(cc12)CC1(C(=O)NC(=O)NC1=O)C1C(C)OC(C)CN31</t>
  </si>
  <si>
    <t>nalidixic acid</t>
  </si>
  <si>
    <t>CHEMBL3357489</t>
  </si>
  <si>
    <t>2e</t>
  </si>
  <si>
    <t>CCCCCCCCOc1cc(O)cc(O)c1C(=O)C(C)CC</t>
  </si>
  <si>
    <t>CHEMBL3357983</t>
  </si>
  <si>
    <t>(-)-2</t>
  </si>
  <si>
    <t>Cc1noc2c(F)c3c(cc12)CC1(C(=O)NC(=O)NC1=O)[C@H]1[C@H](C)O[C@@H](C)CN31</t>
  </si>
  <si>
    <t>CHEMBL4287279</t>
  </si>
  <si>
    <t>Oc1ccc(Oc2ccc(Cl)cc2)cc1</t>
  </si>
  <si>
    <t>CHEMBL4291620</t>
  </si>
  <si>
    <t>Cc1ccc(C(F)(F)F)cc1S(=O)(=O)N[C@@H]1CCN(Cc2ccc(OC3CC3)cc2)C1</t>
  </si>
  <si>
    <t>CHEMBL5089465</t>
  </si>
  <si>
    <t>5a</t>
  </si>
  <si>
    <t>NS(=O)(=O)c1ccc(NC(=O)CN2CCN(c3cc4c(cc3F)c(=O)c(C(=O)O)cn4C3CC3)CC2)cc1</t>
  </si>
  <si>
    <t>CHEMBL5198597</t>
  </si>
  <si>
    <t>COc1cnc2ccc(=O)n(CCCN[C@H]3CC[C@H]4[C@H](C3)OC(=O)N4c3ccc4c(n3)NC(=O)CO4)c2c1</t>
  </si>
  <si>
    <t>CHEMBL3658936</t>
  </si>
  <si>
    <t>BDBM159865</t>
  </si>
  <si>
    <t>C[C@@H]1CN2c3c(cc4c(N5CCCCC5)noc4c3F)CC3(C(=O)NC(=O)NC3=O)[C@H]2[C@H](C)O1</t>
  </si>
  <si>
    <t>CHEMBL3658962</t>
  </si>
  <si>
    <t>BDBM159892</t>
  </si>
  <si>
    <t>C[C@@H]1CN2c3c(cc4c(-c5nccs5)noc4c3Cl)CC3(C(=O)NC(=O)NC3=O)[C@H]2[C@H](C)O1</t>
  </si>
  <si>
    <t>CHEMBL3658987</t>
  </si>
  <si>
    <t>BDBM159919</t>
  </si>
  <si>
    <t>C[C@H]1CN2c3c(cc4c(-c5cccnn5)noc4c3F)CC3(C(=O)NC(=O)NC3=O)[C@@H]2[C@@H](C)O1</t>
  </si>
  <si>
    <t>CHEMBL3658991</t>
  </si>
  <si>
    <t>BDBM159926</t>
  </si>
  <si>
    <t>C[C@@H]1CN2c3c(cc4c(-c5nccnc5Cl)noc4c3F)CC3(C(=O)NC(=O)NC3=O)[C@H]2[C@H](C)O1</t>
  </si>
  <si>
    <t>CHEMBL3658992</t>
  </si>
  <si>
    <t>BDBM159927</t>
  </si>
  <si>
    <t>C[C@@H]1CN2c3c(cc4c(-c5cncc(Cl)n5)noc4c3F)CC3(C(=O)NC(=O)NC3=O)[C@H]2[C@H](C)O1</t>
  </si>
  <si>
    <t>CHEMBL3658997</t>
  </si>
  <si>
    <t>BDBM159934</t>
  </si>
  <si>
    <t>C[C@@H]1CN2c3c(cc4c(-c5nc(C(=O)N(C)C)cs5)noc4c3F)CC3(C(=O)NC(=O)NC3=O)[C@H]2[C@H](C)O1</t>
  </si>
  <si>
    <t>CHEMBL4746419</t>
  </si>
  <si>
    <t>Cc1[nH]c(C(=O)Nc2ccc(C(=O)NCC(=O)O)cc2OC2CCNCC2)c(Cl)c1Cl.Cl</t>
  </si>
  <si>
    <t>CHEMBL3658964</t>
  </si>
  <si>
    <t>BDBM159894</t>
  </si>
  <si>
    <t>CCCN(C)c1noc2c(F)c3c(cc12)CC1(C(=O)NC(=O)NC1=O)[C@H]1[C@H](C)O[C@H](C)CN31</t>
  </si>
  <si>
    <t>CHEMBL3658975</t>
  </si>
  <si>
    <t>BDBM159907</t>
  </si>
  <si>
    <t>C[C@@H]1CN2c3c(cc4c(-n5cc(Cl)cn5)noc4c3F)CC3(C(=O)NC(=O)NC3=O)[C@H]2[C@H](C)O1</t>
  </si>
  <si>
    <t>CHEMBL3658981</t>
  </si>
  <si>
    <t>BDBM159913</t>
  </si>
  <si>
    <t>Cc1noc(C)c1-c1noc2c(F)c3c(cc12)CC1(C(=O)NC(=O)NC1=O)[C@H]1[C@H](C)O[C@H](C)CN31</t>
  </si>
  <si>
    <t>CHEMBL3659002</t>
  </si>
  <si>
    <t>BDBM159941</t>
  </si>
  <si>
    <t>C[C@H]1CN2c3c(cc4c(C(F)(F)F)noc4c3F)CC3(C(=O)NC(=O)NC3=O)[C@@H]2[C@@H](C)O1</t>
  </si>
  <si>
    <t>CHEMBL3659011</t>
  </si>
  <si>
    <t>BDBM159958</t>
  </si>
  <si>
    <t>C[C@@H]1CN2c3c(cc4c(C5CCOCC5)noc4c3F)CC3(C(=O)NC(=O)NC3=O)[C@H]2[C@H](C)O1</t>
  </si>
  <si>
    <t>II-c</t>
  </si>
  <si>
    <t>CHEMBL4666210</t>
  </si>
  <si>
    <t>Inhibition of Escherichia coli DNA gyrase holoenzyme assessed as reduction in pBR322 DNA supercoiling using pBR322 plasmid DNA as substrate incubated for 90 mins in presence of ATP by ethidium bromide staining based agarose gel electrophoresis analysis</t>
  </si>
  <si>
    <t>CHEMBL4665627</t>
  </si>
  <si>
    <t>TIME = 1.5 hr</t>
  </si>
  <si>
    <t>CHEMBL5201226</t>
  </si>
  <si>
    <t>COc1ccccc1-c1cc(C(=O)N[C@@H](CN)c2ccccc2)ccc1C.Cl</t>
  </si>
  <si>
    <t>CHEMBL4531538</t>
  </si>
  <si>
    <t>Cpd E</t>
  </si>
  <si>
    <t>O=C1CNc2nc(CNC34CCC(CCc5c(Cl)cnc6ccc(=O)n(CCO)c56)(CC3)OC4)ccc2O1</t>
  </si>
  <si>
    <t>CHEMBL4581035</t>
  </si>
  <si>
    <t>CCNC(=O)Nc1cc(Nc2ccc(OC)cc2)c(C(=O)Nc2cccnc2)cn1</t>
  </si>
  <si>
    <t>CHEMBL4469062</t>
  </si>
  <si>
    <t>CCn1cc(C(=O)O)c(=O)c2cc(F)c(N3CC[N+]4(CN5C(=N4)C(C(=O)O)=Cc4ccccc45)C(C)C3)c(F)c21.[Cl-]</t>
  </si>
  <si>
    <t>CHEMBL4792173</t>
  </si>
  <si>
    <t>Cc1[nH]c(C(=O)Nc2ccc3nc(NC(=O)C(=O)O)sc3c2)c(Cl)c1Cl</t>
  </si>
  <si>
    <t>CHEMBL3659001</t>
  </si>
  <si>
    <t>BDBM159939</t>
  </si>
  <si>
    <t>Cc1ccc(-c2noc3c(F)c4c(cc23)CC2(C(=O)NC(=O)NC2=O)[C@H]2[C@H](C)O[C@H](C)CN42)cn1</t>
  </si>
  <si>
    <t>CHEMBL4779341</t>
  </si>
  <si>
    <t>Cl.O=C(O)CNC(=O)c1ccc(NC(=O)c2cc(Br)c(Br)[nH]2)c(OC2CCNCC2)c1</t>
  </si>
  <si>
    <t>CHEMBL4763698</t>
  </si>
  <si>
    <t>Cc1[nH]c(C(=O)Nc2nc3ccc(N)cc3s2)c(Cl)c1Cl</t>
  </si>
  <si>
    <t>CHEMBL4744595</t>
  </si>
  <si>
    <t>CNc1cc(F)cc2c(N[C@H]3C[C@@H](N)C3)c(C(=O)Nc3ccc(C(=O)O)cc3)c(=O)[nH]c12.O=CO</t>
  </si>
  <si>
    <t>CHEMBL4756218</t>
  </si>
  <si>
    <t>Cc1[nH]c(C(=O)Nc2ccc(C(=O)N[C@H](C)C(=O)O)cc2OC2CCN(C(=O)OC(C)(C)C)CC2)c(Cl)c1Cl</t>
  </si>
  <si>
    <t>CHEMBL4468881</t>
  </si>
  <si>
    <t>Cpd F</t>
  </si>
  <si>
    <t>COc1ccc2c3conc3c(=O)n(CCN3CCC(NCc4ccc5c(n4)NC(=O)CO5)CC3)c2c1</t>
  </si>
  <si>
    <t>SAM002264625</t>
  </si>
  <si>
    <t>CHEMBL4570481</t>
  </si>
  <si>
    <t>Cc1nc(-c2cc(NC(=O)Cc3n[nH]c(=O)o3)ccc2NC(=O)c2cc(Br)c(Br)[nH]2)no1</t>
  </si>
  <si>
    <t>CHEMBL4579264</t>
  </si>
  <si>
    <t>RB23</t>
  </si>
  <si>
    <t>COc1ccc(C(=O)CN2C(=O)/C(=C\c3cc(OC)c(OC)c(OC)c3)SC2=S)cc1</t>
  </si>
  <si>
    <t>CHEMBL4262186</t>
  </si>
  <si>
    <t>Inhibition of Escherichia coli DNA gyrase ATPase activity using DNA as substrate after 60 mins</t>
  </si>
  <si>
    <t>CHEMBL4794217</t>
  </si>
  <si>
    <t>Cc1[nH]c(C(=O)Nc2ccc(-n3nn[nH]c3=O)cc2)c(Cl)c1Cl</t>
  </si>
  <si>
    <t>CHEMBL4741604</t>
  </si>
  <si>
    <t>CNCCc1c(C(=O)Nc2ccc(C(=O)O)cc2)c(=O)[nH]c2c(NC)cc(F)cc12.O=C(O)C(F)(F)F</t>
  </si>
  <si>
    <t>CHEMBL4776836</t>
  </si>
  <si>
    <t>CNc1cc(F)cc2c(NCCN)c(C(=O)Nc3ccc(C(=O)O)cc3)c(=O)[nH]c12.O=CO</t>
  </si>
  <si>
    <t>CHEMBL4798551</t>
  </si>
  <si>
    <t>CNc1cc(F)cc2c(NCCCN)c(C(=O)Nc3ccc(C(=O)O)cc3)c(=O)[nH]c12.O=CO</t>
  </si>
  <si>
    <t>CHEMBL4443422</t>
  </si>
  <si>
    <t>Cc1sc(-c2ccccc2Cl)cc1C(=O)N[C@@H](CN)c1ccccc1</t>
  </si>
  <si>
    <t>CHEMBL3659019</t>
  </si>
  <si>
    <t>BDBM159967</t>
  </si>
  <si>
    <t>C[C@@H]1CN2c3c(nc4c(-c5nccs5)noc4c3Cl)CC3(C(=O)NC(=O)NC3=O)[C@H]2[C@H](C)O1</t>
  </si>
  <si>
    <t>CHEMBL3659021</t>
  </si>
  <si>
    <t>BDBM159971</t>
  </si>
  <si>
    <t>Cc1csc(-c2noc3c(Cl)c4c(nc23)CC2(C(=O)NC(=O)NC2=O)[C@H]2[C@H](C)O[C@H](C)CN42)n1</t>
  </si>
  <si>
    <t>CHEMBL4796037</t>
  </si>
  <si>
    <t>O=C(Cn1cc(CN2CCN(c3cc4c(cc3F)c(=O)c(C(=O)O)cn4C3CC3)CC2)nn1)Nc1ccc(S[C@@H]2O[C@H](CO)[C@H](O)[C@H](O)[C@H]2O)cc1</t>
  </si>
  <si>
    <t>CHEMBL3663187</t>
  </si>
  <si>
    <t>BDBM160015</t>
  </si>
  <si>
    <t>COC1CCN(C(=O)c2noc3c(F)c4c(cc23)CC2(C(=O)NC(=O)NC2=O)[C@H]2[C@H](C)O[C@H](C)CN42)CC1</t>
  </si>
  <si>
    <t>BDBM160047</t>
  </si>
  <si>
    <t>CHEMBL3663217</t>
  </si>
  <si>
    <t>BDBM160048</t>
  </si>
  <si>
    <t>C[C@@H]1CN2c3c(cc4c([S+](C)[O-])noc4c3F)CC3(C(=O)NC(=O)NC3=O)[C@H]2[C@H](C)O1</t>
  </si>
  <si>
    <t>CHEMBL3658947</t>
  </si>
  <si>
    <t>BDBM159877</t>
  </si>
  <si>
    <t>[C-]#[N+]c1cn(-c2noc3c(F)c4c(cc23)CC2(C(=O)NC(=O)NC2=O)[C@H]2[C@H](C)O[C@H](C)CN42)nc1N</t>
  </si>
  <si>
    <t>CHEMBL3658952</t>
  </si>
  <si>
    <t>BDBM159882</t>
  </si>
  <si>
    <t>C[C@@H]1CN2c3c(cc4c(-c5ccccn5)noc4c3Cl)CC3(C(=O)NC(=O)NC3=O)[C@H]2[C@H](C)O1</t>
  </si>
  <si>
    <t>CHEMBL3658973</t>
  </si>
  <si>
    <t>BDBM159905</t>
  </si>
  <si>
    <t>C[C@@H]1CN2c3c(cc4c(-n5cnc(C(F)(F)F)c5)noc4c3F)CC3(C(=O)NC(=O)NC3=O)[C@H]2[C@H](C)O1</t>
  </si>
  <si>
    <t>CHEMBL3658982</t>
  </si>
  <si>
    <t>BDBM159914</t>
  </si>
  <si>
    <t>C[C@@H]1CN2c3c(cc4c(-c5nccn5C)noc4c3F)CC3(C(=O)NC(=O)NC3=O)[C@@H]2[C@H](C)O1</t>
  </si>
  <si>
    <t>CHEMBL3659014</t>
  </si>
  <si>
    <t>BDBM159961</t>
  </si>
  <si>
    <t>COC[C@@H]1O[C@H](C)CN2c3c(cc4c(C)noc4c3F)CC3(C(=O)NC(=O)NC3=O)[C@@H]12</t>
  </si>
  <si>
    <t>CHEMBL3659024</t>
  </si>
  <si>
    <t>BDBM159974</t>
  </si>
  <si>
    <t>C[C@@H]1CN2c3c(nc4c(-c5sc(Cl)nc5Cl)noc4c3Cl)CC3(C(=O)NC(=O)NC3=O)[C@H]2[C@H](C)O1</t>
  </si>
  <si>
    <t>CHEMBL4847369</t>
  </si>
  <si>
    <t>Cc1[nH]c(C(=O)Nc2nc3ccc(C(=O)NO)cc3s2)c(Cl)c1Cl</t>
  </si>
  <si>
    <t>CHEMBL4746628</t>
  </si>
  <si>
    <t>Cc1[nH]c(C(=O)Nc2ccc(C(=O)NCC(=O)O)cc2O[C@H]2CCN(C(=O)OC(C)(C)C)C2)c(Cl)c1Cl</t>
  </si>
  <si>
    <t>CHEMBL4763407</t>
  </si>
  <si>
    <t>O=C(O)C(=O)Nc1ccc2nc(NC(=O)c3cc(Br)c(Br)[nH]3)[nH]c2c1</t>
  </si>
  <si>
    <t>CHEMBL3094350</t>
  </si>
  <si>
    <t>Fig 1, Cpd 2</t>
  </si>
  <si>
    <t>CCNC(=O)Nc1nc2cc(-c3cnc(N4CCC(C)(C(=O)O)CC4)nc3)cc(-c3ccccn3)c2s1</t>
  </si>
  <si>
    <t>CHEMBL4666299</t>
  </si>
  <si>
    <t>Inhibition of Escherichia coli DNA gyrase (A2B2 tetramer) incubated for 60 mins in presence of ATP by malachite green reagent based spectrophotometric analysis</t>
  </si>
  <si>
    <t>CHEMBL3329283</t>
  </si>
  <si>
    <t>CCNC(=O)Nc1ccc(C(=O)Nc2cc(Cl)ccc2C)cn1</t>
  </si>
  <si>
    <t>CHEMBL4763869</t>
  </si>
  <si>
    <t>CNc1cc(F)cc2cc(C(=O)Nc3cnc(C(=O)O)nc3)c(=O)[nH]c12</t>
  </si>
  <si>
    <t>CHEMBL4754078</t>
  </si>
  <si>
    <t>CCOC(=O)C(=O)Nc1ccc2nc(NC(=O)c3cc(Br)c(Br)[nH]3)[nH]c2c1</t>
  </si>
  <si>
    <t>CHEMBL4857352</t>
  </si>
  <si>
    <t>O=C(O)c1ccc2nc(NC(=O)c3cc(Br)c(Br)[nH]3)sc2c1</t>
  </si>
  <si>
    <t>CHEMBL4863907</t>
  </si>
  <si>
    <t>Cc1[nH]c(C(=O)Nc2nc3ccc(C#N)cc3s2)c(Cl)c1Cl</t>
  </si>
  <si>
    <t>CHEMBL4874918</t>
  </si>
  <si>
    <t>17a</t>
  </si>
  <si>
    <t>CCN(C(=O)c1[nH]c(C)c(Cl)c1Cl)c1nc2ccc(C(=O)O)cc2s1</t>
  </si>
  <si>
    <t>CHEMBL4857022</t>
  </si>
  <si>
    <t>Cc1[nH]c(C(=O)Nc2nc3ccc(C(=O)NCCC(=O)O)cc3s2)c(Cl)c1Cl</t>
  </si>
  <si>
    <t>CHEMBL4862321</t>
  </si>
  <si>
    <t>Cc1[nH]c(C(=O)Nc2nc3cc(O)c(C(=O)O)cc3s2)c(Cl)c1Cl</t>
  </si>
  <si>
    <t>CHEMBL4868482</t>
  </si>
  <si>
    <t>31f</t>
  </si>
  <si>
    <t>Cc1[nH]c(C(=O)Nc2nc3c(OCc4ccc(C(=O)O)cc4)cc(C(=O)O)cc3s2)c(Cl)c1Cl</t>
  </si>
  <si>
    <t>CHEMBL2435179</t>
  </si>
  <si>
    <t>COC(=O)/C=C/C=C/C=C/C=C/C(=O)Nc1c(O)c2ccc(O)c(Cl)c2oc1=O</t>
  </si>
  <si>
    <t>CHEMBL5086095</t>
  </si>
  <si>
    <t>O=C(CN1CCN(c2cc3c(cc2F)c(=O)c(C(=O)O)cn3C2CC2)CC1)Nc1ccc(S(=O)(=O)Nc2cnc3ccccc3n2)cc1</t>
  </si>
  <si>
    <t>CHEMBL5290948</t>
  </si>
  <si>
    <t>O=C(O)c1cn(C2CC2)c2cc(N3CCN(Cn4nc(CN5CCN(c6ccccc6)CC5)n(Cc5ccccc5)c4=O)CC3)c(F)cc2c1=O</t>
  </si>
  <si>
    <t>CHEMBL5174247</t>
  </si>
  <si>
    <t>COC(=O)c1cccc(-c2cccc(C(=O)N[C@@H](CN)c3ccccc3)c2)c1.Cl</t>
  </si>
  <si>
    <t>CHEMBL4856813</t>
  </si>
  <si>
    <t>COc1ccc2nc(NC(=O)c3[nH]c(C)c(Cl)c3Cl)sc2c1</t>
  </si>
  <si>
    <t>CHEMBL4857324</t>
  </si>
  <si>
    <t>17b</t>
  </si>
  <si>
    <t>Cc1[nH]c(C(=O)N(c2nc3ccc(C(=O)O)cc3s2)C2CC2)c(Cl)c1Cl</t>
  </si>
  <si>
    <t>CHEMBL4866508</t>
  </si>
  <si>
    <t>17c</t>
  </si>
  <si>
    <t>Cc1[nH]c(C(=O)N(c2nc3ccc(C(=O)O)cc3s2)C(C)C)c(Cl)c1Cl</t>
  </si>
  <si>
    <t>CHEMBL4847572</t>
  </si>
  <si>
    <t>28a</t>
  </si>
  <si>
    <t>O=C(O)c1cc(O)c2nc(NC(=O)c3cc(Br)c(Br)[nH]3)sc2c1</t>
  </si>
  <si>
    <t>CHEMBL4847090</t>
  </si>
  <si>
    <t>31a</t>
  </si>
  <si>
    <t>Cc1[nH]c(C(=O)Nc2nc3c(F)cc(C(=O)O)cc3s2)c(Cl)c1Cl</t>
  </si>
  <si>
    <t>CHEMBL4854181</t>
  </si>
  <si>
    <t>II</t>
  </si>
  <si>
    <t>Cc1[nH]c(C(=O)Nc2nc3c(OCc4ccccc4)cc(C(=O)O)cc3s2)c(Cl)c1Cl</t>
  </si>
  <si>
    <t>CHEMBL4852505</t>
  </si>
  <si>
    <t>Cc1[nH]c(C(=O)Nc2nc3c(OCc4ccccc4)cc(-c4nnn[nH]4)cc3s2)c(Cl)c1Cl</t>
  </si>
  <si>
    <t>CHEMBL849</t>
  </si>
  <si>
    <t>TRICLOSAN</t>
  </si>
  <si>
    <t>Triclosan</t>
  </si>
  <si>
    <t>Oc1cc(Cl)ccc1Oc1ccc(Cl)cc1Cl</t>
  </si>
  <si>
    <t>CHEMBL4779288</t>
  </si>
  <si>
    <t>CNc1cc(F)cc2cc(C(=O)Nc3ccc(C(=O)O)cc3CN(C)C3CCCCC3)c(=O)[nH]c12.Cl</t>
  </si>
  <si>
    <t>CHEMBL3589531</t>
  </si>
  <si>
    <t>COC(=O)CCC(=O)Nc1nc2c(s1)C[C@@H](NC(=O)c1cc(Br)c(Br)[nH]1)CC2</t>
  </si>
  <si>
    <t>CHEMBL3589533</t>
  </si>
  <si>
    <t>COC(=O)CC(=O)Nc1nc2c(s1)C[C@@H](NC(=O)c1cc(Br)c[nH]1)CC2</t>
  </si>
  <si>
    <t>CHEMBL3085866</t>
  </si>
  <si>
    <t>Nc1nc2c(s1)C[C@@H](NC(=O)c1cc3ccccc3[nH]1)CC2</t>
  </si>
  <si>
    <t>CHEMBL3589077</t>
  </si>
  <si>
    <t>COC(=O)CCC(=O)Nc1nc2c(s1)C[C@@H](NC(=O)c1cc(Cl)c(Cl)[nH]1)CC2</t>
  </si>
  <si>
    <t>CHEMBL575569</t>
  </si>
  <si>
    <t>CIPROFLOXACIN ETHYL ESTER</t>
  </si>
  <si>
    <t>CCOC(=O)c1cn(C2CC2)c2cc(N3CCNCC3)c(F)cc2c1=O</t>
  </si>
  <si>
    <t>CHEMBL4431464</t>
  </si>
  <si>
    <t>Inhibition of wild type Escherichia coli DNA gyrase subunit A2B2 using relaxed pBR322 DNA as substrate incubated for 30 mins in presence of ATP by ethidium bromide staining based agarose gel electrophoresis</t>
  </si>
  <si>
    <t>CHEMBL4206009</t>
  </si>
  <si>
    <t>Cn1cc(-c2ccc(NC(=O)Cc3ccc(Cl)cc3)cc2)n2ccnc2c1=O</t>
  </si>
  <si>
    <t>CHEMBL3633520</t>
  </si>
  <si>
    <t>10c</t>
  </si>
  <si>
    <t>CCNC1CN(c2c(F)cc3c(=O)c(C(=O)O)cn(-c4nc(N)c(F)cc4F)c3c2C)C1</t>
  </si>
  <si>
    <t>CHEMBL4551876</t>
  </si>
  <si>
    <t>Cc1nc(-c2cc(NC(=O)CC(=O)NN)ccc2NC(=O)c2cc(Br)c(Br)[nH]2)no1</t>
  </si>
  <si>
    <t>CHEMBL4755858</t>
  </si>
  <si>
    <t>CNc1cc(F)cc2cc(C(=O)Nc3ccc(CO)cc3CN(C)C3CCCCC3)c(=O)[nH]c12</t>
  </si>
  <si>
    <t>CHEMBL4553177</t>
  </si>
  <si>
    <t>Cn1nc(NC(CN)c2ccccc2)c2cc(-c3ccccc3Cl)ccc21</t>
  </si>
  <si>
    <t>CHEMBL3658977</t>
  </si>
  <si>
    <t>BDBM159909</t>
  </si>
  <si>
    <t>Cc1cc(C)n(-c2noc3c(F)c4c(cc23)CC2(C(=O)NC(=O)NC2=O)[C@H]2[C@H](C)O[C@H](C)CN42)n1</t>
  </si>
  <si>
    <t>CHEMBL3659033</t>
  </si>
  <si>
    <t>BDBM159984</t>
  </si>
  <si>
    <t>CCNC(=O)c1noc2c(Cl)c3c(nc12)CC1(C(=O)NC(=O)NC1=O)[C@H]1[C@H](C)O[C@H](C)CN31</t>
  </si>
  <si>
    <t>CHEMBL4850124</t>
  </si>
  <si>
    <t>O=C(O)c1ccc2nc(NC(=O)c3cc(Cl)c(Cl)[nH]3)sc2c1</t>
  </si>
  <si>
    <t>CHEMBL4847190</t>
  </si>
  <si>
    <t>28b</t>
  </si>
  <si>
    <t>Cc1[nH]c(C(=O)Nc2nc3c(O)cc(C(=O)O)cc3s2)c(Cl)c1Cl</t>
  </si>
  <si>
    <t>CHEMBL3659010</t>
  </si>
  <si>
    <t>BDBM159957</t>
  </si>
  <si>
    <t>C[C@@H]1CN2c3c(cc4c(-c5ccccc5F)noc4c3F)CC3(C(=O)NC(=O)NC3=O)[C@H]2[C@H](C)O1</t>
  </si>
  <si>
    <t>CHEMBL194805</t>
  </si>
  <si>
    <t>58</t>
  </si>
  <si>
    <t>CC(C)(c1ccccc1)c1ccc(O)cc1</t>
  </si>
  <si>
    <t>CHEMBL4866300</t>
  </si>
  <si>
    <t>43</t>
  </si>
  <si>
    <t>Cc1[nH]c(C(=O)Nc2nc3c(OCc4ccccc4)cc(C#N)cc3s2)c(Cl)c1Cl</t>
  </si>
  <si>
    <t>CHEMBL4752708</t>
  </si>
  <si>
    <t>Cc1[nH]c(C(=O)Nc2nc3ccc(NC(=O)C(=O)O)cc3s2)c(Cl)c1Cl</t>
  </si>
  <si>
    <t>CHEMBL4778203</t>
  </si>
  <si>
    <t>COC(=O)CC(=O)Nc1ccc2nc(NC(=O)c3cc(Br)c(Br)[nH]3)[nH]c2c1</t>
  </si>
  <si>
    <t>CHEMBL4793192</t>
  </si>
  <si>
    <t>16a</t>
  </si>
  <si>
    <t>Cc1[nH]c(C(=O)Nc2nc3ccc(NC(=O)CCN)cc3s2)c(Cl)c1Cl.Cl</t>
  </si>
  <si>
    <t>CHEMBL4636102</t>
  </si>
  <si>
    <t>19a; UIAA-II-223</t>
  </si>
  <si>
    <t>CCOC(=O)c1cc2c3cc(F)c(N4CC[C@@H](CN)C4)cc3n(CC)c(=O)n2n1</t>
  </si>
  <si>
    <t>CHEMBL2313969</t>
  </si>
  <si>
    <t>C</t>
  </si>
  <si>
    <t>CCCc1nn(CN2CCN(c3cc4c(cc3F)c(=O)c(C(=O)O)cn4C3CC3)CC2)c(=S)n1-c1cccc(I)c1</t>
  </si>
  <si>
    <t>CHEMBL3663200</t>
  </si>
  <si>
    <t>BDBM160028</t>
  </si>
  <si>
    <t>C[C@@H]1OCCN2c3c(cc4c(C(=O)N5CC(C#N)C5)noc4c3F)CC3(C(=O)NC(=O)NC3=O)[C@@H]12</t>
  </si>
  <si>
    <t>CHEMBL3663201</t>
  </si>
  <si>
    <t>BDBM160029</t>
  </si>
  <si>
    <t>C[C@@H]1CN2c3c(cc4c(-c5cnccn5)noc4c3F)CC3(C(=O)NC(=O)NC3=O)[C@H]2[C@H](C)O1</t>
  </si>
  <si>
    <t>CHEMBL3357993</t>
  </si>
  <si>
    <t>BDBM159842</t>
  </si>
  <si>
    <t>C[C@@H]1CN2c3c(cc4c(N)noc4c3F)CC3(C(=O)NC(=O)NC3=O)[C@H]2[C@H](C)O1</t>
  </si>
  <si>
    <t>CHEMBL3658925</t>
  </si>
  <si>
    <t>BDBM159854</t>
  </si>
  <si>
    <t>C[C@@H]1CN2c3c(cc4c(NCc5nccs5)noc4c3F)CC3(C(=O)NC(=O)NC3=O)[C@H]2[C@H](C)O1</t>
  </si>
  <si>
    <t>CHEMBL3658934</t>
  </si>
  <si>
    <t>BDBM159863</t>
  </si>
  <si>
    <t>C[C@@H]1CN2c3c(cc4c(NCC5CCOCC5)noc4c3F)CC3(C(=O)NC(=O)NC3=O)[C@H]2[C@H](C)O1</t>
  </si>
  <si>
    <t>CHEMBL3658953</t>
  </si>
  <si>
    <t>BDBM159883</t>
  </si>
  <si>
    <t>C[C@@H]1CN2c3c(cc4c(C5CC5)noc4c3Cl)CC3(C(=O)NC(=O)NC3=O)[C@H]2[C@H](C)O1</t>
  </si>
  <si>
    <t>CHEMBL3658959</t>
  </si>
  <si>
    <t>BDBM159889</t>
  </si>
  <si>
    <t>C[C@@H]1CN2c3c(cc4c(-c5ccnnc5)noc4c3Cl)CC3(C(=O)NC(=O)NC3=O)[C@H]2[C@H](C)O1</t>
  </si>
  <si>
    <t>CHEMBL3658961</t>
  </si>
  <si>
    <t>BDBM159891</t>
  </si>
  <si>
    <t>C[C@@H]1CN2c3c(cc4c(-c5cccnc5)noc4c3Cl)CC3(C(=O)NC(=O)NC3=O)[C@H]2[C@H](C)O1</t>
  </si>
  <si>
    <t>CHEMBL3639620</t>
  </si>
  <si>
    <t>BDBM159995</t>
  </si>
  <si>
    <t>CON(C)C(=O)c1noc2c(F)c3c(cc12)CC1(C(=O)NC(=O)NC1=O)[C@H]1[C@H](C)O[C@H](C)CN31</t>
  </si>
  <si>
    <t>CHEMBL3658988</t>
  </si>
  <si>
    <t>BDBM159921</t>
  </si>
  <si>
    <t>C[C@H]1CN2c3c(cc4c(-c5ccncn5)noc4c3F)CC3(C(=O)NC(=O)NC3=O)[C@@H]2[C@@H](C)O1</t>
  </si>
  <si>
    <t>CHEMBL3658998</t>
  </si>
  <si>
    <t>BDBM159935</t>
  </si>
  <si>
    <t>C[C@@H]1CN2c3c(cc4c(-c5ncc(C(=O)N(C)C)s5)noc4c3F)CC3(C(=O)NC(=O)NC3=O)[C@H]2[C@H](C)O1</t>
  </si>
  <si>
    <t>CHEMBL4535701</t>
  </si>
  <si>
    <t>CC(=O)O[C@@H]1[C@@H](C)O[C@@H](c2ccc3c(c2O)[C@@H](O)[C@]24O[C@@]2(C3=O)[C@@]2(O)C(=O)C=C(C)C[C@@]2(O)C[C@@H]4O)C[C@H]1OC(=O)/C=C/C=C/C=C/C=C/C(=O)O</t>
  </si>
  <si>
    <t>CHEMBL2313964</t>
  </si>
  <si>
    <t>O=C(O)c1cn(C2CC2)c2cc(N3CCN(Cn4nc(-c5cccc(O)c5)n(-c5cccc(I)c5)c4=S)CC3)c(F)cc2c1=O</t>
  </si>
  <si>
    <t>CHEMBL3658979</t>
  </si>
  <si>
    <t>BDBM159911</t>
  </si>
  <si>
    <t>Cc1nc(-c2noc3c(F)c4c(cc23)CC2(C(=O)NC(=O)NC2=O)[C@H]2[C@H](C)O[C@H](C)CN42)co1</t>
  </si>
  <si>
    <t>CHEMBL3663210</t>
  </si>
  <si>
    <t>BDBM160040</t>
  </si>
  <si>
    <t>[C-]#[N+]c1nccc(-c2noc3c(F)c4c(cc23)CC2(C(=O)NC(=O)NC2=O)[C@H]2[C@H](C)O[C@H](C)CN42)n1</t>
  </si>
  <si>
    <t>CHEMBL3658948</t>
  </si>
  <si>
    <t>BDBM159878</t>
  </si>
  <si>
    <t>C[C@@H]1CN2c3c(cc4c(-n5cc(-c6ccncn6)cn5)noc4c3F)CC3(C(=O)NC(=O)NC3=O)[C@H]2[C@H](C)O1</t>
  </si>
  <si>
    <t>CHEMBL3658951</t>
  </si>
  <si>
    <t>BDBM159881</t>
  </si>
  <si>
    <t>CCOC(=O)c1cnn(-c2noc3c(F)c4c(cc23)CC2(C(=O)NC(=O)NC2=O)[C@H]2[C@H](C)O[C@H](C)CN42)c1</t>
  </si>
  <si>
    <t>CHEMBL5221057</t>
  </si>
  <si>
    <t>O=C(CN1CCN(c2cc3c(cc2F)c(=O)c(C(=O)O)cn3C2CC2)CC1)Nc1cc(=O)[nH]c(=O)[nH]1</t>
  </si>
  <si>
    <t>CHEMBL5216820</t>
  </si>
  <si>
    <t>Inhibition of Escherichia coli DNA gyrase supercoiling activity using topoisomerase II treated decatenated kDNA as substrate incubated for 15 to 30 mins by agarose gel electrophoresis analysis</t>
  </si>
  <si>
    <t>CHEMBL5214940</t>
  </si>
  <si>
    <t>Time_Lower = 15.0 min | Time_Upper = 30.0 min</t>
  </si>
  <si>
    <t>CHEMBL4583055</t>
  </si>
  <si>
    <t>NCC(Nc1n[nH]c2ccc(-c3ccccc3Cl)cc12)c1ccccc1</t>
  </si>
  <si>
    <t>CHEMBL3663174</t>
  </si>
  <si>
    <t>BDBM159997</t>
  </si>
  <si>
    <t>CCN(C)C(=O)c1noc2c(F)c3c(cc12)CC1(C(=O)NC(=O)NC1=O)[C@H]1[C@H](C)O[C@H](C)CN31</t>
  </si>
  <si>
    <t>CHEMBL3663179</t>
  </si>
  <si>
    <t>BDBM160004</t>
  </si>
  <si>
    <t>C[C@@H]1CN2c3c(cc4c(C(=O)NC(C)(C)C)noc4c3F)CC3(C(=O)NC(=O)NC3=O)[C@H]2[C@H](C)O1</t>
  </si>
  <si>
    <t>CHEMBL3663212</t>
  </si>
  <si>
    <t>BDBM160042</t>
  </si>
  <si>
    <t>C[C@@H]1CN2c3c(cc4c(-c5ccnc(O)n5)noc4c3F)CC3(C(=O)NC(=O)NC3=O)[C@H]2[C@H](C)O1</t>
  </si>
  <si>
    <t>CHEMBL3663213</t>
  </si>
  <si>
    <t>BDBM160043</t>
  </si>
  <si>
    <t>C[C@@H]1CN2c3c(cc4c(-c5ccnc(N6CCOCC6)n5)noc4c3F)CC3(C(=O)NC(=O)NC3=O)[C@H]2[C@H](C)O1</t>
  </si>
  <si>
    <t>CHEMBL4649758</t>
  </si>
  <si>
    <t>7c; UIAA-I-131</t>
  </si>
  <si>
    <t>COc1c(N2CC[C@@H](CN)C2)c(F)cc2c(=O)n(CCN)c(=O)n(C3CC3)c12</t>
  </si>
  <si>
    <t>CHEMBL3658918</t>
  </si>
  <si>
    <t>BDBM159847</t>
  </si>
  <si>
    <t>C[C@@H]1CN2c3c(cc4c(-c5ccccc5)noc4c3F)CC3(C(=O)NC(=O)NC3=O)[C@H]2[C@H](C)O1</t>
  </si>
  <si>
    <t>CHEMBL3663224</t>
  </si>
  <si>
    <t>BDBM160056</t>
  </si>
  <si>
    <t>C[C@@H]1CN2c3c(cc4c(-n5cc(C(N)=O)cn5)noc4c3F)CC3(C(=O)NC(=O)NC3=O)[C@H]2[C@H](C)O1</t>
  </si>
  <si>
    <t>CHEMBL4868407</t>
  </si>
  <si>
    <t>Cc1[nH]c(C(=O)Nc2nc3c(OCc4ccccc4)cc(C(N)=O)cc3s2)c(Cl)c1Cl</t>
  </si>
  <si>
    <t>CHEMBL5075535</t>
  </si>
  <si>
    <t>7e</t>
  </si>
  <si>
    <t>O=C(CCN1CCN(c2cc3c(cc2F)c(=O)c(C(=O)O)cn3C2CC2)CC1)Nc1ccc(S(=O)(=O)Nc2cncc(Cl)n2)cc1</t>
  </si>
  <si>
    <t>CHEMBL3658929</t>
  </si>
  <si>
    <t>BDBM159858</t>
  </si>
  <si>
    <t>C[C@@H]1CN2c3c(cc4c(NCc5ccccn5)noc4c3F)CC3(C(=O)NC(=O)NC3=O)[C@H]2[C@H](C)O1</t>
  </si>
  <si>
    <t>CHEMBL3658956</t>
  </si>
  <si>
    <t>BDBM159886</t>
  </si>
  <si>
    <t>C[C@@H]1CN2c3c(cc4c(-c5ncccn5)noc4c3Cl)CC3(C(=O)NC(=O)NC3=O)[C@H]2[C@H](C)O1</t>
  </si>
  <si>
    <t>CHEMBL3658958</t>
  </si>
  <si>
    <t>BDBM159888</t>
  </si>
  <si>
    <t>C[C@@H]1CN2c3c(cc4c(-c5cncnc5)noc4c3Cl)CC3(C(=O)NC(=O)NC3=O)[C@H]2[C@H](C)O1</t>
  </si>
  <si>
    <t>CHEMBL3663219</t>
  </si>
  <si>
    <t>BDBM160050</t>
  </si>
  <si>
    <t>C[C@@H]1CN2c3c(cc4c(C#N)noc4c3F)CC3(C(=O)NC(=O)NC3=O)[C@H]2[C@H](C)O1</t>
  </si>
  <si>
    <t>CHEMBL3663225</t>
  </si>
  <si>
    <t>BDBM160057</t>
  </si>
  <si>
    <t>C[C@@H]1CN2c3c(cc4c(-n5cc(CO)cn5)noc4c3F)CC3(C(=O)NC(=O)NC3=O)[C@H]2[C@H](C)O1</t>
  </si>
  <si>
    <t>CHEMBL3658942</t>
  </si>
  <si>
    <t>BDBM159871</t>
  </si>
  <si>
    <t>Cc1cc(C(F)(F)F)nn1-c1noc2c(F)c3c(cc12)CC1(C(=O)NC(=O)NC1=O)[C@H]1[C@H](C)O[C@H](C)CN31</t>
  </si>
  <si>
    <t>CHEMBL3658945</t>
  </si>
  <si>
    <t>BDBM159875</t>
  </si>
  <si>
    <t>CCCNc1noc2c(F)c3c(cc12)CC1(C(=O)NC(=O)NC1=O)[C@H]1[C@H](C)O[C@H](C)CN31</t>
  </si>
  <si>
    <t>CHEMBL4282803</t>
  </si>
  <si>
    <t>64</t>
  </si>
  <si>
    <t>Oc1ccc(Oc2ccc(C(F)(F)F)cc2Cl)cc1</t>
  </si>
  <si>
    <t>CHEMBL4283631</t>
  </si>
  <si>
    <t>59</t>
  </si>
  <si>
    <t>Oc1ccc(Oc2cccc(Cl)c2)cc1</t>
  </si>
  <si>
    <t>CHEMBL3298511</t>
  </si>
  <si>
    <t>O=C1OCC(OCCN2CCN(c3cc4c(cc3F)c(=O)c(C(=O)O)cn4C3CC3)CC2)=C1c1ccccc1F</t>
  </si>
  <si>
    <t>CHEMBL4863169</t>
  </si>
  <si>
    <t>Cc1[nH]c(C(=O)Nc2nc3ccc(C(N)=O)cc3s2)c(Cl)c1Cl</t>
  </si>
  <si>
    <t>CHEMBL4871682</t>
  </si>
  <si>
    <t>31i</t>
  </si>
  <si>
    <t>Cc1[nH]c(C(=O)Nc2nc3c(OCc4cccc(F)c4)cc(C(=O)O)cc3s2)c(Cl)c1Cl</t>
  </si>
  <si>
    <t>CHEMBL4858015</t>
  </si>
  <si>
    <t>Cc1[nH]c(C(=O)Nc2nc3c(OCCN)cc(C(=O)O)cc3s2)c(Cl)c1Cl.Cl</t>
  </si>
  <si>
    <t>CHEMBL4744156</t>
  </si>
  <si>
    <t>32; TP0480066</t>
  </si>
  <si>
    <t>CNc1cc(F)cc2c(O)c(C(=O)Nc3ccc(C(=O)O)cc3)c(=O)[nH]c12</t>
  </si>
  <si>
    <t>CHEMBL4749549</t>
  </si>
  <si>
    <t>CNc1cc(F)cc2c(O)c(C(=O)Nc3ccc(C(=O)O)cc3CN3CCCCC3)c(=O)[nH]c12.O=C(O)C(F)(F)F</t>
  </si>
  <si>
    <t>CHEMBL3663211</t>
  </si>
  <si>
    <t>BDBM160041</t>
  </si>
  <si>
    <t>C[C@@H]1CN2c3c(cc4c(-c5ccnc(N)n5)noc4c3F)CC3(C(=O)NC(=O)NC3=O)[C@H]2[C@H](C)O1</t>
  </si>
  <si>
    <t>CHEMBL3663220</t>
  </si>
  <si>
    <t>BDBM160052</t>
  </si>
  <si>
    <t>C[C@@H]1CN2c3c(cc(C(=N)CO)c(O)c3F)CC3(C(=O)NC(=O)NC3=O)[C@H]2[C@H](C)O1</t>
  </si>
  <si>
    <t>CHEMBL3663176</t>
  </si>
  <si>
    <t>BDBM160000</t>
  </si>
  <si>
    <t>C[C@@H]1CN2c3c(cc4c(C(=O)N5CCN(C)C(=O)C5)noc4c3F)CC3(C(=O)NC(=O)NC3=O)[C@H]2[C@H](C)O1</t>
  </si>
  <si>
    <t>CHEMBL3663216</t>
  </si>
  <si>
    <t>BDBM160046</t>
  </si>
  <si>
    <t>C[C@@H]1CN2c3c(cc4c(N5CCNCC5)noc4c3F)CC3(C(=O)NC(=O)NC3=O)[C@H]2[C@H](C)O1</t>
  </si>
  <si>
    <t>CHEMBL3663222</t>
  </si>
  <si>
    <t>BDBM160054</t>
  </si>
  <si>
    <t>C[C@@H]1CN2c3c(cc4c(-n5cc(C(=O)N(C)C)cn5)noc4c3F)CC3(C(=O)NC(=O)NC3=O)[C@H]2[C@H](C)O1</t>
  </si>
  <si>
    <t>CHEMBL4126896</t>
  </si>
  <si>
    <t>14a; UICK-I-067</t>
  </si>
  <si>
    <t>COc1c(N2CC[C@@H](CN)C2)c(F)cc2c1N(Cc1ccccc1)CC(C(=O)O)C2=O</t>
  </si>
  <si>
    <t>CHEMBL3663181</t>
  </si>
  <si>
    <t>BDBM160006</t>
  </si>
  <si>
    <t>C[C@@H]1CN2c3c(cc4c(C(=O)NC5CCOCC5)noc4c3F)CC3(C(=O)NC(=O)NC3=O)[C@H]2[C@H](C)O1</t>
  </si>
  <si>
    <t>CHEMBL3663195</t>
  </si>
  <si>
    <t>BDBM160023</t>
  </si>
  <si>
    <t>C[C@@H]1CN2c3c(cc4c(C(=O)NC5CN(C)C5)noc4c3F)CC3(C(=O)NC(=O)NC3=O)[C@H]2[C@H](C)O1</t>
  </si>
  <si>
    <t>CHEMBL3663199</t>
  </si>
  <si>
    <t>BDBM160027</t>
  </si>
  <si>
    <t>COCC(COC)(COC)NC(=O)c1noc2c(F)c3c(cc12)CC1(C(=O)NC(=O)NC1=O)[C@H]1[C@H](C)O[C@H](C)CN31</t>
  </si>
  <si>
    <t>CHEMBL3663206</t>
  </si>
  <si>
    <t>BDBM160035</t>
  </si>
  <si>
    <t>CSc1nccc(-c2noc3c(F)c4c(cc23)CC2(C(=O)NC(=O)NC2=O)[C@H]2[C@H](C)O[C@H](C)CN42)n1</t>
  </si>
  <si>
    <t>CHEMBL3663214</t>
  </si>
  <si>
    <t>BDBM160044</t>
  </si>
  <si>
    <t>C[C@@H]1CN2c3c(cc4c(-c5cncc(N(C)C)n5)noc4c3F)CC3(C(=O)NC(=O)NC3=O)[C@H]2[C@H](C)O1</t>
  </si>
  <si>
    <t>CHEMBL3663223</t>
  </si>
  <si>
    <t>BDBM160055</t>
  </si>
  <si>
    <t>CNC(=O)c1cnn(-c2noc3c(F)c4c(cc23)CC2(C(=O)NC(=O)NC2=O)[C@H]2[C@H](C)O[C@H](C)CN42)c1</t>
  </si>
  <si>
    <t>CHEMBL4740935</t>
  </si>
  <si>
    <t>O=C(O)CC(=O)Nc1ccc2nc(NC(=O)c3cc(Br)c(Br)[nH]3)[nH]c2c1</t>
  </si>
  <si>
    <t>CHEMBL4755085</t>
  </si>
  <si>
    <t>CCOC(=O)C(=O)Nc1ccc2nc(NC(=O)c3[nH]c(C)c(Cl)c3Cl)sc2c1</t>
  </si>
  <si>
    <t>CHEMBL3658927</t>
  </si>
  <si>
    <t>BDBM159856</t>
  </si>
  <si>
    <t>C[C@@H]1CN2c3c(cc4c(NCc5cnn(C)c5)noc4c3F)CC3(C(=O)NC(=O)NC3=O)[C@H]2[C@H](C)O1</t>
  </si>
  <si>
    <t>CHEMBL3658937</t>
  </si>
  <si>
    <t>BDBM159866</t>
  </si>
  <si>
    <t>C[C@@H]1CN2c3c(cc4c(N5CCOCC5)noc4c3F)CC3(C(=O)NC(=O)NC3=O)[C@H]2[C@H](C)O1</t>
  </si>
  <si>
    <t>CHEMBL3658938</t>
  </si>
  <si>
    <t>BDBM159867</t>
  </si>
  <si>
    <t>CCN(CC)c1noc2c(F)c3c(cc12)CC1(C(=O)NC(=O)NC1=O)[C@H]1[C@H](C)O[C@H](C)CN31</t>
  </si>
  <si>
    <t>CHEMBL4763664</t>
  </si>
  <si>
    <t>Cc1[nH]c(C(=O)Nc2ccc(C(=O)NCC(=O)O)cc2O[C@H]2CCNC2)c(Cl)c1Cl.Cl</t>
  </si>
  <si>
    <t>(-)-12</t>
  </si>
  <si>
    <t>CHEMBL3329316</t>
  </si>
  <si>
    <t>87</t>
  </si>
  <si>
    <t>CCNC(=O)Nc1cc(Nc2cccnc2)c(C(=O)Nc2cccnc2)cn1</t>
  </si>
  <si>
    <t>CHEMBL3329300</t>
  </si>
  <si>
    <t>70</t>
  </si>
  <si>
    <t>CCNC(=O)Nc1cc(-c2cccnc2)c(C(=O)Nc2cccc(Cl)c2)cn1</t>
  </si>
  <si>
    <t>CHEMBL3329298</t>
  </si>
  <si>
    <t>68</t>
  </si>
  <si>
    <t>CCNC(=O)Nc1cc(-c2cccnc2)c(C(=O)Nc2nccs2)cn1</t>
  </si>
  <si>
    <t>CHEMBL3329285</t>
  </si>
  <si>
    <t>CCNC(=O)Nc1ccc(C(=O)Nc2ccnc(C)c2)cn1</t>
  </si>
  <si>
    <t>CHEMBL3329284</t>
  </si>
  <si>
    <t>CCNC(=O)Nc1ccc(C(=O)Nc2ccncc2)cn1</t>
  </si>
  <si>
    <t>CHEMBL3329280</t>
  </si>
  <si>
    <t>CCNC(=O)Nc1ccc(C(=O)Nc2cccc(C(N)=O)c2)cn1</t>
  </si>
  <si>
    <t>CHEMBL4747775</t>
  </si>
  <si>
    <t>15b</t>
  </si>
  <si>
    <t>Cc1[nH]c(C(=O)Nc2nc3ccc(NC(N)=O)cc3s2)c(Cl)c1Cl</t>
  </si>
  <si>
    <t>CHEMBL4741205</t>
  </si>
  <si>
    <t>15d</t>
  </si>
  <si>
    <t>Cc1[nH]c(C(=O)Nc2nc3ccc(NC(=O)CCNC(=O)OC(C)(C)C)cc3s2)c(Cl)c1Cl</t>
  </si>
  <si>
    <t>CHEMBL4877862</t>
  </si>
  <si>
    <t>O=C(NO)c1ccc2nc(NC(=O)c3cc(Br)c(Br)[nH]3)sc2c1</t>
  </si>
  <si>
    <t>CHEMBL4866587</t>
  </si>
  <si>
    <t>6d</t>
  </si>
  <si>
    <t>Cc1[nH]c(C(=O)Nc2nc3ccc(C(=O)NCC#N)cc3s2)c(Cl)c1Cl</t>
  </si>
  <si>
    <t>CHEMBL4870243</t>
  </si>
  <si>
    <t>Cc1[nH]c(C(=O)Nc2nc3c(OCc4ccccc4)cc(C(=O)NCC#N)cc3s2)c(Cl)c1Cl</t>
  </si>
  <si>
    <t>CHEMBL3589539</t>
  </si>
  <si>
    <t>45</t>
  </si>
  <si>
    <t>CC(=O)Nc1nc2c(s1)C[C@@H](NC(=O)c1cc(Br)c(Br)[nH]1)CC2</t>
  </si>
  <si>
    <t>CHEMBL3589544</t>
  </si>
  <si>
    <t>CCOC(=O)C(=O)Nc1nc2c(s1)C[C@@H](NC(=O)c1cc3ccccc3[nH]1)CC2</t>
  </si>
  <si>
    <t>CHEMBL3589074</t>
  </si>
  <si>
    <t>Nc1nc2c(s1)C[C@@H](NC(=O)c1cc(Cl)c(Cl)[nH]1)CC2</t>
  </si>
  <si>
    <t>CHEMBL3085879</t>
  </si>
  <si>
    <t>Nc1nc2c(s1)C[C@@H](NC(=O)c1cc(Br)c[nH]1)CC2</t>
  </si>
  <si>
    <t>CHEMBL5093987</t>
  </si>
  <si>
    <t>O=C(CCN1CCN(c2cc3c(cc2F)c(=O)c(C(=O)O)cn3C2CC2)CC1)Nc1ccc(S(=O)(=O)Nc2ncccn2)cc1</t>
  </si>
  <si>
    <t>CHEMBL5076468</t>
  </si>
  <si>
    <t>Cc1cc(NS(=O)(=O)c2ccc(NC(=O)CCN3CCN(c4cc5c(cc4F)c(=O)c(C(=O)O)cn5C4CC4)CC3)cc2)no1</t>
  </si>
  <si>
    <t>CHEMBL3658989</t>
  </si>
  <si>
    <t>BDBM159922</t>
  </si>
  <si>
    <t>C[C@@H]1CN2c3c(cc4c(-c5ccncn5)noc4c3F)CC3(C(=O)NC(=O)NC3=O)[C@H]2[C@H](C)O1</t>
  </si>
  <si>
    <t>CHEMBL3659013</t>
  </si>
  <si>
    <t>BDBM159960</t>
  </si>
  <si>
    <t>C[C@@H]1CN2c3c(cc4c(OC(=O)OC(C)(C)C)noc4c3F)CC3(C(=O)NC(=O)NC3=O)[C@H]2[C@H](C)O1</t>
  </si>
  <si>
    <t>CHEMBL3659029</t>
  </si>
  <si>
    <t>BDBM159980</t>
  </si>
  <si>
    <t>Cc1cnc(-c2noc3c(Cl)c4c(nc23)CC2(C(=O)NC(=O)NC2=O)[C@H]2[C@H](C)O[C@H](C)CN42)s1</t>
  </si>
  <si>
    <t>CHEMBL5272437</t>
  </si>
  <si>
    <t>90</t>
  </si>
  <si>
    <t>CCNC(=O)Nc1nc2ccc(NC(=O)Cc3csc(NC(=O)OC(C)(C)C)n3)cc2s1</t>
  </si>
  <si>
    <t>CHEMBL4749621</t>
  </si>
  <si>
    <t>43a</t>
  </si>
  <si>
    <t>N#CCNC(=O)c1ccc(NC(=O)c2cc(Br)c(Br)[nH]2)cc1</t>
  </si>
  <si>
    <t>CHEMBL4873935</t>
  </si>
  <si>
    <t>I</t>
  </si>
  <si>
    <t>Cc1[nH]c(C(=O)Nc2nc3ccc(C(=O)O)cc3s2)c(Cl)c1Cl</t>
  </si>
  <si>
    <t>CHEMBL4876030</t>
  </si>
  <si>
    <t>Cc1[nH]c(C(=O)Nc2nc3c(OCCN4CCOCC4)cc(C(=O)NCC#N)cc3s2)c(Cl)c1Cl.Cl</t>
  </si>
  <si>
    <t>CHEMBL4798676</t>
  </si>
  <si>
    <t>CNc1cc(F)cc2cc(C(=O)Nc3ccc(C(=O)NCCN4CCOCC4)cc3)c(=O)[nH]c12</t>
  </si>
  <si>
    <t>CHEMBL4758336</t>
  </si>
  <si>
    <t>CNc1cc(F)cc2cc(C(=O)Nc3ccc(C(=O)O)cc3CN(CCO)C3CCCCC3)c(=O)[nH]c12.Cl</t>
  </si>
  <si>
    <t>CHEMBL4856321</t>
  </si>
  <si>
    <t>Cc1[nH]c(C(=O)Nc2nc3cc(C(=O)O)ccc3s2)c(Cl)c1Cl</t>
  </si>
  <si>
    <t>CHEMBL5253306</t>
  </si>
  <si>
    <t>Inhibition of Escherichia coli DNA gyrase ATPase activity assessed as decrease in release of inorganic phosphate using kinetoplast DNA as substrate incubated for 1 hr by malachite green dye based colorimetric assay</t>
  </si>
  <si>
    <t>NRFX</t>
  </si>
  <si>
    <t>CHEMBL3658969</t>
  </si>
  <si>
    <t>BDBM159901</t>
  </si>
  <si>
    <t>C[C@@H]1CN2c3c(cc4c(-n5cnc(C#N)n5)noc4c3F)CC3(C(=O)NC(=O)NC3=O)[C@H]2[C@H](C)O1</t>
  </si>
  <si>
    <t>CHEMBL3658974</t>
  </si>
  <si>
    <t>BDBM159906</t>
  </si>
  <si>
    <t>Cc1cnn(-c2noc3c(F)c4c(cc23)CC2(C(=O)NC(=O)NC2=O)[C@H]2[C@H](C)O[C@H](C)CN42)c1</t>
  </si>
  <si>
    <t>CHEMBL3658995</t>
  </si>
  <si>
    <t>BDBM159930</t>
  </si>
  <si>
    <t>C[C@@H]1CN2c3c(cc4c(-c5ccncc5)noc4c3F)CC3(C(=O)NC(=O)NC3=O)[C@H]2[C@H](C)O1</t>
  </si>
  <si>
    <t>CHEMBL3659020</t>
  </si>
  <si>
    <t>BDBM159968</t>
  </si>
  <si>
    <t>C[C@H]1CN2c3c(nc4c(-c5nccs5)noc4c3Cl)CC3(C(=O)NC(=O)NC3=O)[C@@H]2[C@@H](C)O1</t>
  </si>
  <si>
    <t>CHEMBL5274431</t>
  </si>
  <si>
    <t>CCn1cc(-c2nnc(Nc3ccc(OC)cc3)o2)c(=O)c2cc(Br)c(C)nc21</t>
  </si>
  <si>
    <t>CHEMBL5290499</t>
  </si>
  <si>
    <t>O=C1COc2cc(F)c(CNC3CCN(CCn4c(=O)c5nocc5c5ccc(F)cc54)CC3)nc2N1</t>
  </si>
  <si>
    <t>CHEMBL5280982</t>
  </si>
  <si>
    <t>Page No 17, R26C1</t>
  </si>
  <si>
    <t>COc1cc(C(=O)NCC(=O)O)ccc1NC(=O)c1cc(Cl)c(Cl)[nH]1</t>
  </si>
  <si>
    <t>CHEMBL4470688</t>
  </si>
  <si>
    <t>CCNC(=O)Nc1cc(N2CCC(N)C2)c(C(=O)Nc2cccnc2)cn1</t>
  </si>
  <si>
    <t>CHEMBL4741215</t>
  </si>
  <si>
    <t>26j</t>
  </si>
  <si>
    <t>CC[C@H]1OC(=O)[C@H](C)[C@@H](OC(=O)Cc2ccccn2)[C@H](C)[C@@H](O[C@@H]2O[C@H](C)C[C@H](N(C)C)[C@H]2O)[C@](C)(OC(=O)CCN2CCN(c3cc4c(cc3F)c(=O)c(C(=O)O)cn4C3CC3)CC2)C[C@@H](C)CN(C)[C@H](C)[C@@H](O)[C@]1(C)O</t>
  </si>
  <si>
    <t>CHEMBL4643875</t>
  </si>
  <si>
    <t>Cc1c(N2CC[C@@H]([C@H](C)N)C2)c(F)cc2cc(C(=O)O)c(=O)n(C3CC3)c12</t>
  </si>
  <si>
    <t>CHEMBL5182265</t>
  </si>
  <si>
    <t>COc1ccccc1-c1cccc(C(=O)N[C@H](CN)c2ccccc2)c1.Cl</t>
  </si>
  <si>
    <t>CHEMBL4588294</t>
  </si>
  <si>
    <t>NC[C@H](Oc1n[nH]c2ccc(-c3ccccc3Cl)cc12)c1ccccc1</t>
  </si>
  <si>
    <t>CHEMBL4783481</t>
  </si>
  <si>
    <t>CNCCCc1c(C(=O)Nc2ccc(C(=O)O)cc2)c(=O)[nH]c2c(NC)cc(F)cc12.O=C(O)C(F)(F)F</t>
  </si>
  <si>
    <t>CHEMBL4740882</t>
  </si>
  <si>
    <t>CNc1cc(F)cc2c(O)c(C(=O)Nc3ccc(C(=O)NS(=O)(=O)N(C)C)cc3)c(=O)[nH]c12</t>
  </si>
  <si>
    <t>CHEMBL4792659</t>
  </si>
  <si>
    <t>CNc1cc(F)cc2c(NCC3(N)CCC3)c(C(=O)Nc3ccc(C(=O)O)cc3)c(=O)[nH]c12.O=CO</t>
  </si>
  <si>
    <t>CHEMBL4741723</t>
  </si>
  <si>
    <t>CNc1cc(F)cc2c(NCC3CCNCC3)c(C(=O)Nc3ccc(C(=O)O)cc3)c(=O)[nH]c12.O=CO</t>
  </si>
  <si>
    <t>CHEMBL3317856</t>
  </si>
  <si>
    <t>GEPOTIDACIN</t>
  </si>
  <si>
    <t>GEP</t>
  </si>
  <si>
    <t>O=c1ccc2ncc(=O)n3c2n1C[C@H]3CN1CCC(NCc2cc3c(cn2)OCCC3)CC1</t>
  </si>
  <si>
    <t>CHEMBL5195268</t>
  </si>
  <si>
    <t>N#Cc1ccc2ccc(=O)n(CCN[C@H]3CC[C@H]4[C@H](C3)OC(=O)N4c3ccc4c(n3)NC(=O)CO4)c2c1</t>
  </si>
  <si>
    <t>CHEMBL3589079</t>
  </si>
  <si>
    <t>O=C(O)CC(=O)Nc1nc2c(s1)C[C@@H](NC(=O)c1cc(Cl)c(Cl)[nH]1)CC2</t>
  </si>
  <si>
    <t>CHEMBL3663180</t>
  </si>
  <si>
    <t>BDBM160005</t>
  </si>
  <si>
    <t>C[C@@H]1CN2c3c(cc4c(C(=O)N5CCS(=O)(=O)CC5)noc4c3F)CC3(C(=O)NC(=O)NC3=O)[C@H]2[C@H](C)O1</t>
  </si>
  <si>
    <t>CHEMBL5072607</t>
  </si>
  <si>
    <t>O=C(O)c1cn(C2CC2)c2cc(N3CCN(/N=N/c4ccc(S(=O)(=O)Nc5ncccn5)cc4)CC3)c(F)cc2c1=O</t>
  </si>
  <si>
    <t>CHEMBL5178214</t>
  </si>
  <si>
    <t>COc1ccc2ncc(F)c(CCCN3CCN(C/C=C/c4cc(F)ccc4F)C[C@@H]3C(=O)O)c2c1</t>
  </si>
  <si>
    <t>CHEMBL5090251</t>
  </si>
  <si>
    <t>O=C(O)c1cn(C2CC2)c2cc(N3CCN(/N=N/c4ccc(S(=O)(=O)Nc5cnc6ccccc6n5)cc4)CC3)c(F)cc2c1=O</t>
  </si>
  <si>
    <t>CHEMBL4851285</t>
  </si>
  <si>
    <t>Cc1[nH]c(C(=O)Nc2nc3ccc(C(=O)O)cc3s2)c(Cl)c1Br</t>
  </si>
  <si>
    <t>CHEMBL4592804</t>
  </si>
  <si>
    <t>Cn1nc(O[C@@H](CN)c2ccccc2)c2cc(-c3ccccc3Cl)ccc21</t>
  </si>
  <si>
    <t>CHEMBL5278136</t>
  </si>
  <si>
    <t>89</t>
  </si>
  <si>
    <t>Cc1ccc(-n2nc(C)c(C(=O)Oc3ncn(-c4ccccc4)n3)c2Cl)cc1</t>
  </si>
  <si>
    <t>CHEMBL4279352</t>
  </si>
  <si>
    <t>62</t>
  </si>
  <si>
    <t>Oc1ccc(Oc2ccc(C(F)(F)F)cc2)cc1</t>
  </si>
  <si>
    <t>CHEMBL5178485</t>
  </si>
  <si>
    <t>Cl.NC[C@H](NC(=O)c1cccc(-c2ccccc2)c1)c1ccccc1</t>
  </si>
  <si>
    <t>CHEMBL5182876</t>
  </si>
  <si>
    <t>CCOc1cccc(-c2cccc(C(=O)N[C@@H](CN)c3ccccc3)c2)c1F.Cl</t>
  </si>
  <si>
    <t>CHEMBL4639662</t>
  </si>
  <si>
    <t>7a; UIAA-I-133</t>
  </si>
  <si>
    <t>NCCn1c(=O)c2cc(F)c(N3CC[C@@H](CN)C3)cc2n(C2CC2)c1=O</t>
  </si>
  <si>
    <t>CHEMBL4751047</t>
  </si>
  <si>
    <t>26l</t>
  </si>
  <si>
    <t>CC[C@H]1OC(=O)[C@H](C)[C@@H](OC(=O)Cc2ccccn2)[C@H](C)[C@@H](O[C@@H]2O[C@H](C)C[C@H](N(C)C)[C@H]2O)[C@](C)(OC(=O)CCN2CCN(c3c(F)cc4c(=O)c(C(N)=O)cn(C5CC5)c4c3OC)CC2C)C[C@@H](C)CN(C)[C@H](C)[C@@H](O)[C@]1(C)O</t>
  </si>
  <si>
    <t>CHEMBL5287867</t>
  </si>
  <si>
    <t>67</t>
  </si>
  <si>
    <t>Nc1nc(=S)[nH]c2c1C(c1ccc(Cl)cc1)C=C(c1cc3ccccc3oc1=O)O2</t>
  </si>
  <si>
    <t>CHEMBL5243221</t>
  </si>
  <si>
    <t>CHEMBL5241112</t>
  </si>
  <si>
    <t>CHEMBL5184104</t>
  </si>
  <si>
    <t>COc1cnc2ccc(=O)n(CCN[C@H]3CC[C@H]4[C@H](C3)OC(=O)N4c3ccc4c(n3)NC(=O)CO4)c2c1</t>
  </si>
  <si>
    <t>CHEMBL4779138</t>
  </si>
  <si>
    <t>CNCCNc1c(C(=O)Nc2ccc(C(=O)O)cc2)c(=O)[nH]c2c(NC)cc(F)cc12.O=CO</t>
  </si>
  <si>
    <t>CHEMBL5179720</t>
  </si>
  <si>
    <t>COc1ccccc1-c1cccc(C(=O)NC(CN)c2ccc(O)cc2)c1.Cl</t>
  </si>
  <si>
    <t>CHEMBL5270590</t>
  </si>
  <si>
    <t>52a</t>
  </si>
  <si>
    <t>C[C@H](N)[C@@H]1CCN(c2cc3c4c(c2)c(=O)c(C(=O)O)cn4[C@@H](C)CO3)C1</t>
  </si>
  <si>
    <t>CHEMBL5244860</t>
  </si>
  <si>
    <t>CHEMBL5244219</t>
  </si>
  <si>
    <t>CHEMBL4449908</t>
  </si>
  <si>
    <t>CCNC(=O)Nc1cc(-n2cc(Br)cn2)c(C(=O)Nc2cccnc2)cn1</t>
  </si>
  <si>
    <t>CHEMBL5175139</t>
  </si>
  <si>
    <t>CCOc1cc(-c2cccc(C(=O)N[C@@H](CN)c3ccccc3)c2)ccc1F.Cl</t>
  </si>
  <si>
    <t>CHEMBL5177841</t>
  </si>
  <si>
    <t>Cl.NC[C@H](NC(=O)c1cccc(-c2cccc(Cl)c2)c1)c1ccccc1</t>
  </si>
  <si>
    <t>CHEMBL5203429</t>
  </si>
  <si>
    <t>Cc1ccc(C(=O)N[C@@H](CN)c2ccccc2)cc1.Cl</t>
  </si>
  <si>
    <t>CHEMBL5201677</t>
  </si>
  <si>
    <t>Cl.NC[C@@H](NC(=O)c1cccc(-c2ccccc2)c1)c1ccccc1</t>
  </si>
  <si>
    <t>CHEMBL5195410</t>
  </si>
  <si>
    <t>Cc1cccc(C(=O)N[C@@H](CN)c2ccccc2)c1.Cl</t>
  </si>
  <si>
    <t>CHEMBL5187606</t>
  </si>
  <si>
    <t>CCOc1cccc(-c2cccc(C(=O)N[C@H](CN)c3ccccc3)c2)c1.Cl</t>
  </si>
  <si>
    <t>CHEMBL5080786</t>
  </si>
  <si>
    <t>O=C(O)c1cn(C2CC2)c2cc(N3CCN(/N=N/c4ccc(S(=O)(=O)Nc5cncc(Cl)n5)cc4)CC3)c(F)cc2c1=O</t>
  </si>
  <si>
    <t>CHEMBL5087299</t>
  </si>
  <si>
    <t>Cc1cc(NS(=O)(=O)c2ccc(NC(=O)C(C)N3CCN(c4cc5c(cc4F)c(=O)c(C(=O)O)cn5C4CC4)CC3)cc2)no1</t>
  </si>
  <si>
    <t>CHEMBL4535844</t>
  </si>
  <si>
    <t>36d</t>
  </si>
  <si>
    <t>CCn1cc(-c2nc(/N=C/c3ccc(Br)cc3)n[nH]2)c(=O)c2cc(Br)c(C)nc21</t>
  </si>
  <si>
    <t>CHEMBL5246147</t>
  </si>
  <si>
    <t>Inhibition of Escherichia coli DNA gyrase supercoiling activity by Microplate Assay kit method</t>
  </si>
  <si>
    <t>CHEMBL5244255</t>
  </si>
  <si>
    <t>CHEMBL5275604</t>
  </si>
  <si>
    <t>Cc1[nH]c(C(=O)Nc2nc3c(N4CCOCC4C)cc(C(=O)O)cc3s2)c(Cl)c1Cl</t>
  </si>
  <si>
    <t>CHEMBL5251396</t>
  </si>
  <si>
    <t>Inhibition of Escherichia coli DNA gyrase supercoiling</t>
  </si>
  <si>
    <t>CHEMBL5247650</t>
  </si>
  <si>
    <t>CHEMBL5285251</t>
  </si>
  <si>
    <t>Cc1[nH]c(C(=O)Nc2nc3c(N4CCOC[C@@H]4C)cc(C(=O)O)cc3s2)c(Cl)c1Cl</t>
  </si>
  <si>
    <t>CHEMBL4757030</t>
  </si>
  <si>
    <t>CNc1cc(F)cc2cc(C(=O)Nc3ccc(C(=O)O)cc3CN(CC(=O)O)C3CCCCC3)c(=O)[nH]c12</t>
  </si>
  <si>
    <t>CHEMBL5271811</t>
  </si>
  <si>
    <t>7g</t>
  </si>
  <si>
    <t>Cc1[nH]c(C(=O)Nc2nc3c(N4C[C@H]5CC[C@@H](C4)O5)cc(C(=O)O)cc3s2)c(Cl)c1Cl</t>
  </si>
  <si>
    <t>CHEMBL5220268</t>
  </si>
  <si>
    <t>CSc1nc(NC(=O)CN2CCN(c3cc4c(cc3F)c(=O)c(C(=O)O)cn4C3CC3)CC2)cc(=O)[nH]1</t>
  </si>
  <si>
    <t>Table 1, R12C6</t>
  </si>
  <si>
    <t>CHEMBL5127353</t>
  </si>
  <si>
    <t>Inhibition of Escherichia coli DNA gyrase by isothermal titration calorimetry (ITC) assay</t>
  </si>
  <si>
    <t>CHEMBL5126516</t>
  </si>
  <si>
    <t>CHEMBL4784687</t>
  </si>
  <si>
    <t>CNc1cc(F)cc2cc(C(=O)Nc3ccc(C(=O)O)cc3CNC3CCCCC3)c(=O)[nH]c12.O=C(O)C(F)(F)F</t>
  </si>
  <si>
    <t>CHEMBL4570053</t>
  </si>
  <si>
    <t>CCn1cc(-c2nc(NC(=O)c3ccccc3)n[nH]2)c(=O)c2ccc(C)nc21</t>
  </si>
  <si>
    <t>CHEMBL5182200</t>
  </si>
  <si>
    <t>COc1ccc2ccc(=O)n(CCN[C@H]3CC[C@H]4[C@H](C3)OC(=O)N4c3ccc4c(n3)NC(=O)CS4)c2n1</t>
  </si>
  <si>
    <t>CHEMBL5195087</t>
  </si>
  <si>
    <t>Cl.NC[C@H](NC(=O)c1cccc(Br)c1)c1ccccc1</t>
  </si>
  <si>
    <t>CHEMBL303984</t>
  </si>
  <si>
    <t>CHLOROBIOCIN</t>
  </si>
  <si>
    <t>Clorobiocin</t>
  </si>
  <si>
    <t>CO[C@@H]1[C@@H](OC(=O)c2ccc(C)[nH]2)[C@@H](O)[C@H](Oc2ccc3c(O)c(NC(=O)c4ccc(O)c(CC=C(C)C)c4)c(=O)oc3c2Cl)OC1(C)C</t>
  </si>
  <si>
    <t>CHEMBL5187861</t>
  </si>
  <si>
    <t>CCOc1cccc(-c2cccc(C(=O)NC(CN)c3ccc(O)cc3)c2)c1F.Cl</t>
  </si>
  <si>
    <t>CHEMBL5170262</t>
  </si>
  <si>
    <t>CCOc1cc(C)cc(-c2cc(C(=O)N[C@@H](CN)c3ccccc3)ccc2C)c1.Cl</t>
  </si>
  <si>
    <t>CHEMBL5267594</t>
  </si>
  <si>
    <t>7i</t>
  </si>
  <si>
    <t>Cc1[nH]c(C(=O)Nc2nc3c(N4CCOC(C(F)(F)F)C4)cc(C(=O)O)cc3s2)c(Cl)c1Cl</t>
  </si>
  <si>
    <t>CHEMBL3658970</t>
  </si>
  <si>
    <t>BDBM159902</t>
  </si>
  <si>
    <t>C[C@@H]1CN2c3c(cc4c(-n5nccn5)noc4c3F)CC3(C(=O)NC(=O)NC3=O)[C@H]2[C@H](C)O1</t>
  </si>
  <si>
    <t>CHEMBL3658972</t>
  </si>
  <si>
    <t>BDBM159904</t>
  </si>
  <si>
    <t>C[C@@H]1CN2c3c(cc4c(-n5ccnc5)noc4c3F)CC3(C(=O)NC(=O)NC3=O)[C@H]2[C@H](C)O1</t>
  </si>
  <si>
    <t>CHEMBL3658976</t>
  </si>
  <si>
    <t>BDBM159908</t>
  </si>
  <si>
    <t>CSc1noc2c(F)c3c(cc12)CC1(C(=O)NC(=O)NC1=O)[C@H]1[C@H](C)O[C@H](C)CN31</t>
  </si>
  <si>
    <t>CHEMBL3658999</t>
  </si>
  <si>
    <t>BDBM159936</t>
  </si>
  <si>
    <t>C[C@@H]1CN2c3c(cc4c(-c5scnc5C#N)noc4c3F)CC3(C(=O)NC(=O)NC3=O)[C@H]2[C@H](C)O1</t>
  </si>
  <si>
    <t>CHEMBL3659009</t>
  </si>
  <si>
    <t>BDBM159956</t>
  </si>
  <si>
    <t>C[C@@H]1CN2c3c(cc4c(-c5cncs5)noc4c3F)CC3(C(=O)NC(=O)NC3=O)[C@H]2[C@H](C)O1</t>
  </si>
  <si>
    <t>CHEMBL3659018</t>
  </si>
  <si>
    <t>BDBM159966</t>
  </si>
  <si>
    <t>C[C@@H]1CN2c3c(nc4c(-c5cnccn5)noc4c3Cl)CC3(C(=O)NC(=O)NC3=O)[C@H]2[C@H](C)O1</t>
  </si>
  <si>
    <t>CHEMBL3659022</t>
  </si>
  <si>
    <t>BDBM159972</t>
  </si>
  <si>
    <t>C[C@@H]1CN2c3c(nc4c(-c5nccn5C)noc4c3Cl)CC3(C(=O)NC(=O)NC3=O)[C@H]2[C@H](C)O1</t>
  </si>
  <si>
    <t>CHEMBL3659023</t>
  </si>
  <si>
    <t>BDBM159973</t>
  </si>
  <si>
    <t>C[C@@H]1CN2c3c(nc4c(-c5cncs5)noc4c3Cl)CC3(C(=O)NC(=O)NC3=O)[C@H]2[C@H](C)O1</t>
  </si>
  <si>
    <t>CHEMBL5284613</t>
  </si>
  <si>
    <t>32c</t>
  </si>
  <si>
    <t>Cc1[nH]c(C(=O)N[C@H]2CCc3nc(NC(=O)CCNC(=O)c4cc(=O)c(O)c[nH]4)sc3C2)c(Cl)c1Cl</t>
  </si>
  <si>
    <t>CHEMBL4470336</t>
  </si>
  <si>
    <t>35c</t>
  </si>
  <si>
    <t>CCn1cc(-c2nc(/N=C/c3ccc(F)cc3)n[nH]2)c(=O)c2ccc(C)nc21</t>
  </si>
  <si>
    <t>CHEMBL5286715</t>
  </si>
  <si>
    <t>O=C1COc2ccc(CNC3CCN(CCn4c(=O)c5nocc5c5ccc(F)cc54)CC3)nc2N1</t>
  </si>
  <si>
    <t>CHEMBL5186332</t>
  </si>
  <si>
    <t>CCOc1cccc(-c2cccc(C(=O)NC(CN)c3cccc(O)c3)c2)c1F.Cl</t>
  </si>
  <si>
    <t>CHEMBL4555272</t>
  </si>
  <si>
    <t>Coumermycin A1</t>
  </si>
  <si>
    <t>CO[C@@H]1[C@@H](OC(=O)c2ccc(C)[nH]2)[C@@H](O)[C@H](Oc2ccc3c(O)c(NC(=O)c4c[nH]c(C(=O)Nc5c(O)c6ccc(O[C@@H]7OC(C)(C)[C@H](OC)[C@@H](OC(=O)c8ccc(C)[nH]8)[C@H]7O)c(C)c6oc5=O)c4C)c(=O)oc3c2C)OC1(C)C</t>
  </si>
  <si>
    <t>CHEMBL5172158</t>
  </si>
  <si>
    <t>N#Cc1cnc2ccc(=O)n(CCN[C@H]3CC[C@H]4[C@H](C3)OC(=O)N4c3ccc4c(n3)NC(=O)CO4)c2c1</t>
  </si>
  <si>
    <t>CHEMBL4740347</t>
  </si>
  <si>
    <t>CNc1cc(F)cc2cc(C(=O)Nc3ccc(C(=O)O)c(O)c3)c(=O)[nH]c12</t>
  </si>
  <si>
    <t>CHEMBL5272185</t>
  </si>
  <si>
    <t>52b</t>
  </si>
  <si>
    <t>C[C@H]1COc2cc(N3CC[C@@H](C(C)(C)N)C3)cc3c(=O)c(C(=O)O)cn1c23</t>
  </si>
  <si>
    <t>Levofloxacin</t>
  </si>
  <si>
    <t>CHEMBL5188460</t>
  </si>
  <si>
    <t>Cl.NCC(NC(=O)c1cccc(-c2cccs2)c1)c1ccc(O)cc1</t>
  </si>
  <si>
    <t>CHEMBL5194561</t>
  </si>
  <si>
    <t>Cl.NC[C@H](NC(=O)c1cccc(-c2ccccc2Cl)c1)c1ccccc1</t>
  </si>
  <si>
    <t>CHEMBL5198640</t>
  </si>
  <si>
    <t>CC(=O)c1cccc(-c2cccc(C(=O)N[C@@H](CN)c3ccccc3)c2)c1.Cl</t>
  </si>
  <si>
    <t>CHEMBL5078898</t>
  </si>
  <si>
    <t>O=C(CN1CCN(c2cc3c(cc2F)c(=O)c(C(=O)O)cn3C2CC2)CC1)Nc1ccc(S(=O)(=O)Nc2ncccn2)cc1</t>
  </si>
  <si>
    <t>CHEMBL5290661</t>
  </si>
  <si>
    <t>32a</t>
  </si>
  <si>
    <t>Cc1[nH]c(C(=O)N[C@H]2CCc3nc(NC(=O)[C@H](C)NC(=O)c4cc(=O)c(O)c[nH]4)sc3C2)c(Cl)c1Cl</t>
  </si>
  <si>
    <t>CHEMBL5282927</t>
  </si>
  <si>
    <t>Cc1[nH]c(C(=O)Nc2nc3c(N4CCOC[C@H]4C)cc(C(=O)O)cc3s2)c(Cl)c1Cl</t>
  </si>
  <si>
    <t>CHEMBL5269847</t>
  </si>
  <si>
    <t>Cc1[nH]c(C(=O)Nc2nc3c(N4CCOC(C)C4)cc(C(=O)O)cc3s2)c(Cl)c1Cl</t>
  </si>
  <si>
    <t>CHEMBL5268463</t>
  </si>
  <si>
    <t>7f</t>
  </si>
  <si>
    <t>Cc1[nH]c(C(=O)Nc2nc3c(N4CC(C)OC(C)C4)cc(C(=O)O)cc3s2)c(Cl)c1Cl</t>
  </si>
  <si>
    <t>CHEMBL5267215</t>
  </si>
  <si>
    <t>Page No 17, R24C2</t>
  </si>
  <si>
    <t>COC(=O)c1ccc(CNC(=O)[C@H](Cc2ccc(O)cc2)NC(=O)c2cc(Br)c(Br)[nH]2)cc1</t>
  </si>
  <si>
    <t>CHEMBL5276709</t>
  </si>
  <si>
    <t>7h</t>
  </si>
  <si>
    <t>Cc1[nH]c(C(=O)Nc2nc3c(N4[C@@H]5CC[C@H]4COC5)cc(C(=O)O)cc3s2)c(Cl)c1Cl</t>
  </si>
  <si>
    <t>CHEMBL5276758</t>
  </si>
  <si>
    <t>O=C(N[C@H]1CCc2nc(NCc3cc(=O)c(O)co3)sc2C1)c1cc(Br)c(Br)[nH]1</t>
  </si>
  <si>
    <t>CHEMBL5267495</t>
  </si>
  <si>
    <t>Kibdelomycin</t>
  </si>
  <si>
    <t>C=C1CC[C@@H](O[C@H]2C[C@@](O)([C@H](C)NC(=O)c3[nH]c(C)c(Cl)c3Cl)[C@H](O)[C@@H](C)O2)[C@@H]2CC[C@H](C)[C@H](/C(O)=C3\C(=O)[C@H](C(C)C)N([C@@H]4O[C@@H](C)[C@@H](OC(N)=O)[C@@H](OC(C)=O)[C@H]4OC)C3=O)[C@@H]12</t>
  </si>
  <si>
    <t>CHEMBL431453</t>
  </si>
  <si>
    <t>Cyclothialidine</t>
  </si>
  <si>
    <t>Cc1c(O)cc(O)c2c1C(=O)OC[C@H](NC(=O)[C@@H]1[C@H](O)CCN1C(=O)[C@@H](N)CO)C(=O)N[C@H](C(=O)N[C@@H](C)C(=O)O)CSC2</t>
  </si>
  <si>
    <t>CHEMBL1235413</t>
  </si>
  <si>
    <t>Cc1ccc(CCC(=O)O)cc1</t>
  </si>
  <si>
    <t>CHEMBL4280469</t>
  </si>
  <si>
    <t>65</t>
  </si>
  <si>
    <t>Cc1cc(Oc2ccc(Cl)cc2Cl)ccc1O</t>
  </si>
  <si>
    <t>CHEMBL3898662</t>
  </si>
  <si>
    <t>O=C(O)C(=O)Nc1nc2ccc(NC(=O)c3cc(Br)c(Br)[nH]3)cc2s1</t>
  </si>
  <si>
    <t>CHEMBL5285496</t>
  </si>
  <si>
    <t>Page No 21, R14C1</t>
  </si>
  <si>
    <t>CCNC(=O)Nc1nc2ccc(NC(=O)Cc3csc(NC(C)=O)n3)cc2s1</t>
  </si>
  <si>
    <t>CHEMBL5085647</t>
  </si>
  <si>
    <t>Cc1cc(NS(=O)(=O)c2ccc(NC(=O)CN3CCN(c4cc5c(cc4F)c(=O)c(C(=O)O)cn5C4CC4)CC3)cc2)no1</t>
  </si>
  <si>
    <t>CHEMBL5266830</t>
  </si>
  <si>
    <t>32b</t>
  </si>
  <si>
    <t>Cc1[nH]c(C(=O)N[C@H]2CCc3nc(NC(=O)[C@@H](NC(=O)c4cc(=O)c(O)c[nH]4)C(C)C)sc3C2)c(Cl)c1Cl</t>
  </si>
  <si>
    <t>CHEMBL5176134</t>
  </si>
  <si>
    <t>COc1ccc2ncc(F)c(CCCN3CCN(CCSc4cccs4)C[C@@H]3C(=O)O)c2c1</t>
  </si>
  <si>
    <t>CHEMBL5194394</t>
  </si>
  <si>
    <t>COc1ccccc1-c1cccc(C(=O)N[C@@H](CN)c2ccccc2)c1.Cl</t>
  </si>
  <si>
    <t>CHEMBL5188352</t>
  </si>
  <si>
    <t>CCOc1cccc(-c2cccc(C(=O)NC(CN)c3cccc(O)c3)c2)c1.Cl</t>
  </si>
  <si>
    <t>CHEMBL4557803</t>
  </si>
  <si>
    <t>O=C(Nc1ccc(OCc2n[nH]c(=O)o2)cc1)c1cc(Br)c(Br)[nH]1</t>
  </si>
  <si>
    <t>CHEMBL5253311</t>
  </si>
  <si>
    <t>Inhibition of Escherichia coli DNA gyrase ATPase activity</t>
  </si>
  <si>
    <t>CHEMBL5281739</t>
  </si>
  <si>
    <t>CC(C)COc1cc(C(=O)NCC(=O)O)ccc1NC(=O)c1cc(Cl)c(Cl)[nH]1</t>
  </si>
  <si>
    <t>CHEMBL5281268</t>
  </si>
  <si>
    <t>O=C(O)c1ccc(CNC(=O)[C@H](Cc2ccc(O)cc2)NC(=O)c2cc(Br)c(Br)[nH]2)cc1</t>
  </si>
  <si>
    <t>CHEMBL5288936</t>
  </si>
  <si>
    <t>O=C1COc2ccc(CNC3CCN(CCn4c(=O)c5ncoc5c5ccc(F)cc54)CC3)nc2N1</t>
  </si>
  <si>
    <t>CHEMBL3906178</t>
  </si>
  <si>
    <t>O=C(O)CNC(=O)Cc1csc(NC(=O)c2cc(Br)c(Br)[nH]2)n1</t>
  </si>
  <si>
    <t>CHEMBL5189606</t>
  </si>
  <si>
    <t>Cl.NC[C@H](NC(=O)c1cccc(-c2ccccc2C(F)(F)F)c1)c1ccccc1</t>
  </si>
  <si>
    <t>CHEMBL5188073</t>
  </si>
  <si>
    <t>Cl.NC[C@H](NC(=O)c1cccc(-c2cccc(O)c2)c1)c1ccccc1</t>
  </si>
  <si>
    <t>CHEMBL5113802</t>
  </si>
  <si>
    <t>Inhibition of Escherichia coli DNA gyrase assessed as inhibition of relaxation of supercoiled plasmid pBR322 DNA incubated for 2 hrs by ethidium bromide/bromophenol blue staining based agarose gel electrophoresis analysis</t>
  </si>
  <si>
    <t>CHEMBL3809184</t>
  </si>
  <si>
    <t>O=C(O)C(=O)Nc1ccc(NC(=O)c2cc(Br)c(Br)[nH]2)cc1</t>
  </si>
  <si>
    <t>CHEMBL5271712</t>
  </si>
  <si>
    <t>COC(=O)CNC(=O)c1ccc(NC(=O)c2cc(Cl)c(Cl)[nH]2)c(OCC(C)C)c1</t>
  </si>
  <si>
    <t>CHEMBL5288212</t>
  </si>
  <si>
    <t>Cc1[nH]c(C(=O)Nc2nc3c(N4CCOCC4)cc(C(=O)O)cc3s2)c(Cl)c1Cl</t>
  </si>
  <si>
    <t>Pic50</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</si>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</sst>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quotePrefix="1"/>
  </cellXfs>
  <cellStyles count="1">
    <cellStyle name="Normal" xfId="0" builtinId="0"/>
  </cellStyles>
  <dxfs count="37">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E192911-C9A2-47F2-AA44-B21ABAA9B0EF}" autoFormatId="16" applyNumberFormats="0" applyBorderFormats="0" applyFontFormats="0" applyPatternFormats="0" applyAlignmentFormats="0" applyWidthHeightFormats="0">
  <queryTableRefresh nextId="50">
    <queryTableFields count="49">
      <queryTableField id="1" name="Molecule ChEMBL ID" tableColumnId="1"/>
      <queryTableField id="2" name="Molecule Name" tableColumnId="2"/>
      <queryTableField id="3" name="Molecule Max Phase" tableColumnId="3"/>
      <queryTableField id="4" name="Molecular Weight" tableColumnId="4"/>
      <queryTableField id="5" name="#RO5 Violations" tableColumnId="5"/>
      <queryTableField id="6" name="AlogP" tableColumnId="6"/>
      <queryTableField id="7" name="Compound Key" tableColumnId="7"/>
      <queryTableField id="8" name="Smiles" tableColumnId="8"/>
      <queryTableField id="9" name="Standard Type" tableColumnId="9"/>
      <queryTableField id="10" name="Standard Relation" tableColumnId="10"/>
      <queryTableField id="11" name="Standard Value" tableColumnId="11"/>
      <queryTableField id="12" name="Standard Units" tableColumnId="12"/>
      <queryTableField id="48" dataBound="0" tableColumnId="48"/>
      <queryTableField id="49" dataBound="0" tableColumnId="49"/>
      <queryTableField id="13" name="pChEMBL Value" tableColumnId="13"/>
      <queryTableField id="14" name="Data Validity Comment" tableColumnId="14"/>
      <queryTableField id="15" name="Comment" tableColumnId="15"/>
      <queryTableField id="16" name="Uo Units" tableColumnId="16"/>
      <queryTableField id="17" name="Ligand Efficiency BEI" tableColumnId="17"/>
      <queryTableField id="18" name="Ligand Efficiency LE" tableColumnId="18"/>
      <queryTableField id="19" name="Ligand Efficiency LLE" tableColumnId="19"/>
      <queryTableField id="20" name="Ligand Efficiency SEI" tableColumnId="20"/>
      <queryTableField id="21" name="Potential Duplicate" tableColumnId="21"/>
      <queryTableField id="22" name="Assay ChEMBL ID" tableColumnId="22"/>
      <queryTableField id="23" name="Assay Description" tableColumnId="23"/>
      <queryTableField id="24" name="Assay Type" tableColumnId="24"/>
      <queryTableField id="25" name="BAO Format ID" tableColumnId="25"/>
      <queryTableField id="26" name="BAO Label" tableColumnId="26"/>
      <queryTableField id="27" name="Assay Organism" tableColumnId="27"/>
      <queryTableField id="28" name="Assay Tissue ChEMBL ID" tableColumnId="28"/>
      <queryTableField id="29" name="Assay Tissue Name" tableColumnId="29"/>
      <queryTableField id="30" name="Assay Cell Type" tableColumnId="30"/>
      <queryTableField id="31" name="Assay Subcellular Fraction" tableColumnId="31"/>
      <queryTableField id="32" name="Assay Parameters" tableColumnId="32"/>
      <queryTableField id="33" name="Assay Variant Accession" tableColumnId="33"/>
      <queryTableField id="34" name="Assay Variant Mutation" tableColumnId="34"/>
      <queryTableField id="35" name="Target ChEMBL ID" tableColumnId="35"/>
      <queryTableField id="36" name="Target Name" tableColumnId="36"/>
      <queryTableField id="37" name="Target Organism" tableColumnId="37"/>
      <queryTableField id="38" name="Target Type" tableColumnId="38"/>
      <queryTableField id="39" name="Document ChEMBL ID" tableColumnId="39"/>
      <queryTableField id="40" name="Source ID" tableColumnId="40"/>
      <queryTableField id="41" name="Source Description" tableColumnId="41"/>
      <queryTableField id="42" name="Document Journal" tableColumnId="42"/>
      <queryTableField id="43" name="Document Year" tableColumnId="43"/>
      <queryTableField id="44" name="Cell ChEMBL ID" tableColumnId="44"/>
      <queryTableField id="45" name="Properties" tableColumnId="45"/>
      <queryTableField id="46" name="Action Type" tableColumnId="46"/>
      <queryTableField id="47" name="Standard Text Value" tableColumnId="4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4ECB8D-B61D-42DC-A230-4946D4B968DD}" name="DOWNLOAD_2kLRbPnDtawQopEJ_UKtt22ud9U57gk8mqebZIeugNk" displayName="DOWNLOAD_2kLRbPnDtawQopEJ_UKtt22ud9U57gk8mqebZIeugNk" ref="A1:AW951" tableType="queryTable" totalsRowShown="0">
  <tableColumns count="49">
    <tableColumn id="1" xr3:uid="{349B2B94-CFB2-4A2C-8190-AD06032E90CB}" uniqueName="1" name="Molecule ChEMBL ID" queryTableFieldId="1" dataDxfId="36"/>
    <tableColumn id="2" xr3:uid="{91D0A10A-86C4-42F5-9752-B5D88BC49C8E}" uniqueName="2" name="Molecule Name" queryTableFieldId="2" dataDxfId="35"/>
    <tableColumn id="3" xr3:uid="{098E4AF1-E57A-452A-86BD-1E47B8C192D9}" uniqueName="3" name="Molecule Max Phase" queryTableFieldId="3" dataDxfId="34"/>
    <tableColumn id="4" xr3:uid="{CE3B0B6E-4E29-4E1C-AAA0-0E5DDD7F27D1}" uniqueName="4" name="Molecular Weight" queryTableFieldId="4"/>
    <tableColumn id="5" xr3:uid="{87FC5913-E019-4696-B3F9-F47996D20E66}" uniqueName="5" name="#RO5 Violations" queryTableFieldId="5"/>
    <tableColumn id="6" xr3:uid="{A1697FB7-3C00-4D3B-8988-15CAF09CAE28}" uniqueName="6" name="AlogP" queryTableFieldId="6"/>
    <tableColumn id="7" xr3:uid="{C5C9037F-5352-4512-82AC-1DB3FD9E21C2}" uniqueName="7" name="Compound Key" queryTableFieldId="7" dataDxfId="33"/>
    <tableColumn id="8" xr3:uid="{6E8479AE-657A-4AE9-B7BE-479592518BB4}" uniqueName="8" name="Smiles" queryTableFieldId="8" dataDxfId="32"/>
    <tableColumn id="9" xr3:uid="{105EA43E-AFFB-48FE-856E-FFB15A13F679}" uniqueName="9" name="Standard Type" queryTableFieldId="9" dataDxfId="31"/>
    <tableColumn id="10" xr3:uid="{89A2C86E-8D3D-4DFE-98AD-9D5E3D2686B9}" uniqueName="10" name="Standard Relation" queryTableFieldId="10" dataDxfId="30"/>
    <tableColumn id="11" xr3:uid="{2B568F81-4326-46C5-9CDC-64F0D5853D6E}" uniqueName="11" name="Standard Value" queryTableFieldId="11"/>
    <tableColumn id="12" xr3:uid="{38FDA94E-888F-4B75-8D52-7900D464C775}" uniqueName="12" name="Standard Units" queryTableFieldId="12" dataDxfId="29"/>
    <tableColumn id="48" xr3:uid="{369E85B9-CC5D-440D-969D-ED6FC9C491BE}" uniqueName="48" name="IC50" queryTableFieldId="48"/>
    <tableColumn id="49" xr3:uid="{093C0EA8-A13C-4CBC-8001-8F7D5EFBA054}" uniqueName="49" name="Pic50" queryTableFieldId="49" dataDxfId="28">
      <calculatedColumnFormula>-LOG(DOWNLOAD_2kLRbPnDtawQopEJ_UKtt22ud9U57gk8mqebZIeugNk[[#This Row],[IC50]]*POWER(10, -9), 10)</calculatedColumnFormula>
    </tableColumn>
    <tableColumn id="13" xr3:uid="{D2190579-4EA3-44F9-8C9B-FFFF1E40E656}" uniqueName="13" name="pChEMBL Value" queryTableFieldId="13"/>
    <tableColumn id="14" xr3:uid="{154C5C17-7E9A-4796-BAE3-83E2C41604BB}" uniqueName="14" name="Data Validity Comment" queryTableFieldId="14" dataDxfId="27"/>
    <tableColumn id="15" xr3:uid="{AFDFF2E1-33C1-45BE-A1BF-FA4D3EA3A635}" uniqueName="15" name="Comment" queryTableFieldId="15"/>
    <tableColumn id="16" xr3:uid="{8FCEED3D-A71D-4FCE-A24B-8913AD43A0A6}" uniqueName="16" name="Uo Units" queryTableFieldId="16" dataDxfId="26"/>
    <tableColumn id="17" xr3:uid="{60F78F2A-305F-4557-94C0-84B347B384D9}" uniqueName="17" name="Ligand Efficiency BEI" queryTableFieldId="17"/>
    <tableColumn id="18" xr3:uid="{10CF2DB4-4D1D-4F24-8102-7C12BD61F26F}" uniqueName="18" name="Ligand Efficiency LE" queryTableFieldId="18"/>
    <tableColumn id="19" xr3:uid="{29EE4DBB-DD68-4404-A6E9-B28527DEC2B3}" uniqueName="19" name="Ligand Efficiency LLE" queryTableFieldId="19"/>
    <tableColumn id="20" xr3:uid="{F7F2D553-30AE-4AB1-8379-53AF56C10705}" uniqueName="20" name="Ligand Efficiency SEI" queryTableFieldId="20"/>
    <tableColumn id="21" xr3:uid="{EA3C449D-55E8-4BA3-A37E-0CF9B91700D5}" uniqueName="21" name="Potential Duplicate" queryTableFieldId="21"/>
    <tableColumn id="22" xr3:uid="{742E4F2C-EF0C-4166-A7E6-C62D3E3DD06D}" uniqueName="22" name="Assay ChEMBL ID" queryTableFieldId="22" dataDxfId="25"/>
    <tableColumn id="23" xr3:uid="{DAC81012-0A42-48CE-9E8D-CA6D31AB23F2}" uniqueName="23" name="Assay Description" queryTableFieldId="23" dataDxfId="24"/>
    <tableColumn id="24" xr3:uid="{AFF4D353-9C5C-4B39-B0BE-785D6337111E}" uniqueName="24" name="Assay Type" queryTableFieldId="24" dataDxfId="23"/>
    <tableColumn id="25" xr3:uid="{D451382E-312F-42CD-90BD-5A101BC23BF4}" uniqueName="25" name="BAO Format ID" queryTableFieldId="25" dataDxfId="22"/>
    <tableColumn id="26" xr3:uid="{E3ACA70E-D4B0-4CEE-9173-F63A179B797C}" uniqueName="26" name="BAO Label" queryTableFieldId="26" dataDxfId="21"/>
    <tableColumn id="27" xr3:uid="{DD7CDA3E-4E5A-482E-91E4-FBA7308A942E}" uniqueName="27" name="Assay Organism" queryTableFieldId="27" dataDxfId="20"/>
    <tableColumn id="28" xr3:uid="{E4EF03B3-6383-4192-B18C-B85ED44296F2}" uniqueName="28" name="Assay Tissue ChEMBL ID" queryTableFieldId="28" dataDxfId="19"/>
    <tableColumn id="29" xr3:uid="{4ADD6E0E-7B31-4726-B39F-E6B79772903D}" uniqueName="29" name="Assay Tissue Name" queryTableFieldId="29" dataDxfId="18"/>
    <tableColumn id="30" xr3:uid="{959643F7-42B7-41EA-AAE9-4F63A51F3921}" uniqueName="30" name="Assay Cell Type" queryTableFieldId="30" dataDxfId="17"/>
    <tableColumn id="31" xr3:uid="{D45B440E-AB57-4E99-9C15-972AA5F0794C}" uniqueName="31" name="Assay Subcellular Fraction" queryTableFieldId="31" dataDxfId="16"/>
    <tableColumn id="32" xr3:uid="{C03BE90B-830A-4D07-BB49-C5189ACDBB7E}" uniqueName="32" name="Assay Parameters" queryTableFieldId="32" dataDxfId="15"/>
    <tableColumn id="33" xr3:uid="{EE30B371-E0C1-41AC-89F4-2927715FA97F}" uniqueName="33" name="Assay Variant Accession" queryTableFieldId="33" dataDxfId="14"/>
    <tableColumn id="34" xr3:uid="{6C9B2E70-B889-4257-8963-E64B100FDA03}" uniqueName="34" name="Assay Variant Mutation" queryTableFieldId="34" dataDxfId="13"/>
    <tableColumn id="35" xr3:uid="{A5CDEA9A-25A6-4AB6-98E7-BB8A0D28924A}" uniqueName="35" name="Target ChEMBL ID" queryTableFieldId="35" dataDxfId="12"/>
    <tableColumn id="36" xr3:uid="{A73C0111-5565-40EB-8B56-4B02F417AC58}" uniqueName="36" name="Target Name" queryTableFieldId="36" dataDxfId="11"/>
    <tableColumn id="37" xr3:uid="{2041967E-0538-41D4-AC99-3C99EB18D5BA}" uniqueName="37" name="Target Organism" queryTableFieldId="37" dataDxfId="10"/>
    <tableColumn id="38" xr3:uid="{28B4125A-FE74-4942-BF81-63E93E0DC56C}" uniqueName="38" name="Target Type" queryTableFieldId="38" dataDxfId="9"/>
    <tableColumn id="39" xr3:uid="{A300FB22-78CC-4A98-85BC-D256F600348D}" uniqueName="39" name="Document ChEMBL ID" queryTableFieldId="39" dataDxfId="8"/>
    <tableColumn id="40" xr3:uid="{F2DF1745-5D9C-4E37-B8D6-995660D21B40}" uniqueName="40" name="Source ID" queryTableFieldId="40"/>
    <tableColumn id="41" xr3:uid="{2B138225-CA46-4F6D-86A7-5C0B1789E44F}" uniqueName="41" name="Source Description" queryTableFieldId="41" dataDxfId="7"/>
    <tableColumn id="42" xr3:uid="{20776392-3E8B-4EEF-9FA7-F6195858C227}" uniqueName="42" name="Document Journal" queryTableFieldId="42" dataDxfId="6"/>
    <tableColumn id="43" xr3:uid="{50C2BBB1-98A8-45D1-8693-0136B9773F58}" uniqueName="43" name="Document Year" queryTableFieldId="43"/>
    <tableColumn id="44" xr3:uid="{FAB14D2A-AC5A-414C-A20D-9E5BF6A4D8B1}" uniqueName="44" name="Cell ChEMBL ID" queryTableFieldId="44" dataDxfId="5"/>
    <tableColumn id="45" xr3:uid="{FF593C0D-1BCA-40DB-9D02-4C7F4C272AD2}" uniqueName="45" name="Properties" queryTableFieldId="45" dataDxfId="4"/>
    <tableColumn id="46" xr3:uid="{0E9998B6-A18D-45F6-8D9D-E77B39663ADF}" uniqueName="46" name="Action Type" queryTableFieldId="46" dataDxfId="3"/>
    <tableColumn id="47" xr3:uid="{A9B58983-2A8F-4FB9-8DFA-97CDF5AB698E}" uniqueName="47" name="Standard Text Value" queryTableFieldId="47" dataDxfId="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819D6-63E5-4238-8770-A07BC217E042}">
  <dimension ref="A1:C763"/>
  <sheetViews>
    <sheetView tabSelected="1" workbookViewId="0">
      <selection activeCell="G9" sqref="G9"/>
    </sheetView>
  </sheetViews>
  <sheetFormatPr defaultRowHeight="14.4" x14ac:dyDescent="0.3"/>
  <cols>
    <col min="1" max="1" width="98.33203125" customWidth="1"/>
  </cols>
  <sheetData>
    <row r="1" spans="1:3" x14ac:dyDescent="0.3">
      <c r="A1" t="s">
        <v>7</v>
      </c>
      <c r="B1" t="s">
        <v>2535</v>
      </c>
    </row>
    <row r="2" spans="1:3" x14ac:dyDescent="0.3">
      <c r="A2" t="s">
        <v>51</v>
      </c>
      <c r="B2">
        <v>4.4838455995696203</v>
      </c>
      <c r="C2">
        <v>0</v>
      </c>
    </row>
    <row r="3" spans="1:3" x14ac:dyDescent="0.3">
      <c r="A3" t="s">
        <v>70</v>
      </c>
      <c r="B3">
        <v>2.7163706681963866</v>
      </c>
      <c r="C3">
        <v>0</v>
      </c>
    </row>
    <row r="4" spans="1:3" x14ac:dyDescent="0.3">
      <c r="A4" t="s">
        <v>79</v>
      </c>
      <c r="B4">
        <v>5.664466467579639</v>
      </c>
      <c r="C4">
        <v>0</v>
      </c>
    </row>
    <row r="5" spans="1:3" x14ac:dyDescent="0.3">
      <c r="A5" t="s">
        <v>85</v>
      </c>
      <c r="B5">
        <v>6.3576757168594851</v>
      </c>
      <c r="C5">
        <v>0</v>
      </c>
    </row>
    <row r="6" spans="1:3" x14ac:dyDescent="0.3">
      <c r="A6" t="s">
        <v>97</v>
      </c>
      <c r="B6">
        <v>4.821274319320505</v>
      </c>
      <c r="C6">
        <v>0</v>
      </c>
    </row>
    <row r="7" spans="1:3" x14ac:dyDescent="0.3">
      <c r="A7" t="s">
        <v>103</v>
      </c>
      <c r="B7">
        <v>5.1376072705046303</v>
      </c>
      <c r="C7">
        <v>0</v>
      </c>
    </row>
    <row r="8" spans="1:3" x14ac:dyDescent="0.3">
      <c r="A8" t="s">
        <v>106</v>
      </c>
      <c r="B8">
        <v>4.8032077485454909</v>
      </c>
      <c r="C8">
        <v>0</v>
      </c>
    </row>
    <row r="9" spans="1:3" x14ac:dyDescent="0.3">
      <c r="A9" t="s">
        <v>109</v>
      </c>
      <c r="B9">
        <v>2.6593456357461767</v>
      </c>
      <c r="C9">
        <v>0</v>
      </c>
    </row>
    <row r="10" spans="1:3" x14ac:dyDescent="0.3">
      <c r="A10" t="s">
        <v>114</v>
      </c>
      <c r="B10">
        <v>3.4819010473145249</v>
      </c>
      <c r="C10">
        <v>0</v>
      </c>
    </row>
    <row r="11" spans="1:3" x14ac:dyDescent="0.3">
      <c r="A11" t="s">
        <v>125</v>
      </c>
      <c r="B11">
        <v>7.5528419686577806</v>
      </c>
      <c r="C11">
        <v>1</v>
      </c>
    </row>
    <row r="12" spans="1:3" x14ac:dyDescent="0.3">
      <c r="A12" t="s">
        <v>134</v>
      </c>
      <c r="B12">
        <v>4.544527372242805</v>
      </c>
      <c r="C12">
        <v>0</v>
      </c>
    </row>
    <row r="13" spans="1:3" x14ac:dyDescent="0.3">
      <c r="A13" t="s">
        <v>140</v>
      </c>
      <c r="B13">
        <v>4.6812876338802942</v>
      </c>
      <c r="C13">
        <v>0</v>
      </c>
    </row>
    <row r="14" spans="1:3" x14ac:dyDescent="0.3">
      <c r="A14" t="s">
        <v>143</v>
      </c>
      <c r="B14">
        <v>5.0409586076789052</v>
      </c>
      <c r="C14">
        <v>0</v>
      </c>
    </row>
    <row r="15" spans="1:3" x14ac:dyDescent="0.3">
      <c r="A15" t="s">
        <v>149</v>
      </c>
      <c r="B15">
        <v>6.3665315444204129</v>
      </c>
      <c r="C15">
        <v>0</v>
      </c>
    </row>
    <row r="16" spans="1:3" x14ac:dyDescent="0.3">
      <c r="A16" t="s">
        <v>152</v>
      </c>
      <c r="B16">
        <v>7.3979400086720375</v>
      </c>
      <c r="C16">
        <v>1</v>
      </c>
    </row>
    <row r="17" spans="1:3" x14ac:dyDescent="0.3">
      <c r="A17" t="s">
        <v>155</v>
      </c>
      <c r="B17">
        <v>6.2596373105057559</v>
      </c>
      <c r="C17">
        <v>0</v>
      </c>
    </row>
    <row r="18" spans="1:3" x14ac:dyDescent="0.3">
      <c r="A18" t="s">
        <v>158</v>
      </c>
      <c r="B18">
        <v>4.8538719643217609</v>
      </c>
      <c r="C18">
        <v>0</v>
      </c>
    </row>
    <row r="19" spans="1:3" x14ac:dyDescent="0.3">
      <c r="A19" t="s">
        <v>161</v>
      </c>
      <c r="B19">
        <v>6.6102493963799311</v>
      </c>
      <c r="C19">
        <v>0</v>
      </c>
    </row>
    <row r="20" spans="1:3" x14ac:dyDescent="0.3">
      <c r="A20" t="s">
        <v>165</v>
      </c>
      <c r="B20">
        <v>6.195800057542197</v>
      </c>
      <c r="C20">
        <v>0</v>
      </c>
    </row>
    <row r="21" spans="1:3" x14ac:dyDescent="0.3">
      <c r="A21" t="s">
        <v>174</v>
      </c>
      <c r="B21">
        <v>5.0106123505672029</v>
      </c>
      <c r="C21">
        <v>0</v>
      </c>
    </row>
    <row r="22" spans="1:3" x14ac:dyDescent="0.3">
      <c r="A22" t="s">
        <v>177</v>
      </c>
      <c r="B22">
        <v>6.6478756734504643</v>
      </c>
      <c r="C22">
        <v>0</v>
      </c>
    </row>
    <row r="23" spans="1:3" x14ac:dyDescent="0.3">
      <c r="A23" t="s">
        <v>180</v>
      </c>
      <c r="B23">
        <v>4.068357147286501</v>
      </c>
      <c r="C23">
        <v>0</v>
      </c>
    </row>
    <row r="24" spans="1:3" x14ac:dyDescent="0.3">
      <c r="A24" t="s">
        <v>187</v>
      </c>
      <c r="B24">
        <v>3.8198399445152065</v>
      </c>
      <c r="C24">
        <v>0</v>
      </c>
    </row>
    <row r="25" spans="1:3" x14ac:dyDescent="0.3">
      <c r="A25" t="s">
        <v>189</v>
      </c>
      <c r="B25">
        <v>6.2676644317388579</v>
      </c>
      <c r="C25">
        <v>0</v>
      </c>
    </row>
    <row r="26" spans="1:3" x14ac:dyDescent="0.3">
      <c r="A26" t="s">
        <v>192</v>
      </c>
      <c r="B26">
        <v>4.3010299956639804</v>
      </c>
      <c r="C26">
        <v>0</v>
      </c>
    </row>
    <row r="27" spans="1:3" x14ac:dyDescent="0.3">
      <c r="A27" t="s">
        <v>198</v>
      </c>
      <c r="B27">
        <v>5.1107700277118049</v>
      </c>
      <c r="C27">
        <v>0</v>
      </c>
    </row>
    <row r="28" spans="1:3" x14ac:dyDescent="0.3">
      <c r="A28" t="s">
        <v>204</v>
      </c>
      <c r="B28">
        <v>5.5850266520291809</v>
      </c>
      <c r="C28">
        <v>0</v>
      </c>
    </row>
    <row r="29" spans="1:3" x14ac:dyDescent="0.3">
      <c r="A29" t="s">
        <v>206</v>
      </c>
      <c r="B29">
        <v>7.1611509092627434</v>
      </c>
      <c r="C29">
        <v>1</v>
      </c>
    </row>
    <row r="30" spans="1:3" x14ac:dyDescent="0.3">
      <c r="A30" t="s">
        <v>209</v>
      </c>
      <c r="B30">
        <v>6.3010299956639804</v>
      </c>
      <c r="C30">
        <v>0</v>
      </c>
    </row>
    <row r="31" spans="1:3" x14ac:dyDescent="0.3">
      <c r="A31" t="s">
        <v>212</v>
      </c>
      <c r="B31">
        <v>3.5686362358410122</v>
      </c>
      <c r="C31">
        <v>0</v>
      </c>
    </row>
    <row r="32" spans="1:3" x14ac:dyDescent="0.3">
      <c r="A32" t="s">
        <v>215</v>
      </c>
      <c r="B32">
        <v>6.3979400086720375</v>
      </c>
      <c r="C32">
        <v>0</v>
      </c>
    </row>
    <row r="33" spans="1:3" x14ac:dyDescent="0.3">
      <c r="A33" t="s">
        <v>218</v>
      </c>
      <c r="B33">
        <v>6.2291479883578553</v>
      </c>
      <c r="C33">
        <v>0</v>
      </c>
    </row>
    <row r="34" spans="1:3" x14ac:dyDescent="0.3">
      <c r="A34" t="s">
        <v>220</v>
      </c>
      <c r="B34">
        <v>5.1166188114945728</v>
      </c>
      <c r="C34">
        <v>0</v>
      </c>
    </row>
    <row r="35" spans="1:3" x14ac:dyDescent="0.3">
      <c r="A35" t="s">
        <v>222</v>
      </c>
      <c r="B35">
        <v>4.4144525602925917</v>
      </c>
      <c r="C35">
        <v>0</v>
      </c>
    </row>
    <row r="36" spans="1:3" x14ac:dyDescent="0.3">
      <c r="A36" t="s">
        <v>225</v>
      </c>
      <c r="B36">
        <v>4.3796628573595937</v>
      </c>
      <c r="C36">
        <v>0</v>
      </c>
    </row>
    <row r="37" spans="1:3" x14ac:dyDescent="0.3">
      <c r="A37" t="s">
        <v>231</v>
      </c>
      <c r="B37">
        <v>3.0257300024274167</v>
      </c>
      <c r="C37">
        <v>0</v>
      </c>
    </row>
    <row r="38" spans="1:3" x14ac:dyDescent="0.3">
      <c r="A38" t="s">
        <v>234</v>
      </c>
      <c r="B38">
        <v>4.1059697827124637</v>
      </c>
      <c r="C38">
        <v>0</v>
      </c>
    </row>
    <row r="39" spans="1:3" x14ac:dyDescent="0.3">
      <c r="A39" t="s">
        <v>250</v>
      </c>
      <c r="B39">
        <v>4.2924298239020633</v>
      </c>
      <c r="C39">
        <v>0</v>
      </c>
    </row>
    <row r="40" spans="1:3" x14ac:dyDescent="0.3">
      <c r="A40" t="s">
        <v>257</v>
      </c>
      <c r="B40">
        <v>5.5086383061657269</v>
      </c>
      <c r="C40">
        <v>0</v>
      </c>
    </row>
    <row r="41" spans="1:3" x14ac:dyDescent="0.3">
      <c r="A41" t="s">
        <v>260</v>
      </c>
      <c r="B41">
        <v>5.2365720064370622</v>
      </c>
      <c r="C41">
        <v>0</v>
      </c>
    </row>
    <row r="42" spans="1:3" x14ac:dyDescent="0.3">
      <c r="A42" t="s">
        <v>263</v>
      </c>
      <c r="B42">
        <v>8.1965428843515866</v>
      </c>
      <c r="C42">
        <v>1</v>
      </c>
    </row>
    <row r="43" spans="1:3" x14ac:dyDescent="0.3">
      <c r="A43" t="s">
        <v>272</v>
      </c>
      <c r="B43">
        <v>8.4341521813264819</v>
      </c>
      <c r="C43">
        <v>1</v>
      </c>
    </row>
    <row r="44" spans="1:3" x14ac:dyDescent="0.3">
      <c r="A44" t="s">
        <v>275</v>
      </c>
      <c r="B44">
        <v>8.6055483191737832</v>
      </c>
      <c r="C44">
        <v>1</v>
      </c>
    </row>
    <row r="45" spans="1:3" x14ac:dyDescent="0.3">
      <c r="A45" t="s">
        <v>278</v>
      </c>
      <c r="B45">
        <v>8.795880017344075</v>
      </c>
      <c r="C45">
        <v>1</v>
      </c>
    </row>
    <row r="46" spans="1:3" x14ac:dyDescent="0.3">
      <c r="A46" t="s">
        <v>280</v>
      </c>
      <c r="B46">
        <v>7.8368386250229811</v>
      </c>
      <c r="C46">
        <v>1</v>
      </c>
    </row>
    <row r="47" spans="1:3" x14ac:dyDescent="0.3">
      <c r="A47" t="s">
        <v>291</v>
      </c>
      <c r="B47">
        <v>6.5434057575549005</v>
      </c>
      <c r="C47">
        <v>0</v>
      </c>
    </row>
    <row r="48" spans="1:3" x14ac:dyDescent="0.3">
      <c r="A48" t="s">
        <v>294</v>
      </c>
      <c r="B48">
        <v>8</v>
      </c>
      <c r="C48">
        <v>1</v>
      </c>
    </row>
    <row r="49" spans="1:3" x14ac:dyDescent="0.3">
      <c r="A49" t="s">
        <v>307</v>
      </c>
      <c r="B49">
        <v>3.4598597061048251</v>
      </c>
      <c r="C49">
        <v>0</v>
      </c>
    </row>
    <row r="50" spans="1:3" x14ac:dyDescent="0.3">
      <c r="A50" t="s">
        <v>309</v>
      </c>
      <c r="B50">
        <v>4.0760211417835448</v>
      </c>
      <c r="C50">
        <v>0</v>
      </c>
    </row>
    <row r="51" spans="1:3" x14ac:dyDescent="0.3">
      <c r="A51" t="s">
        <v>319</v>
      </c>
      <c r="B51">
        <v>2.7547610251682744</v>
      </c>
      <c r="C51">
        <v>0</v>
      </c>
    </row>
    <row r="52" spans="1:3" x14ac:dyDescent="0.3">
      <c r="A52" t="s">
        <v>322</v>
      </c>
      <c r="B52">
        <v>5.7139580342609566</v>
      </c>
      <c r="C52">
        <v>0</v>
      </c>
    </row>
    <row r="53" spans="1:3" x14ac:dyDescent="0.3">
      <c r="A53" t="s">
        <v>325</v>
      </c>
      <c r="B53">
        <v>7.6989700043360179</v>
      </c>
      <c r="C53">
        <v>1</v>
      </c>
    </row>
    <row r="54" spans="1:3" x14ac:dyDescent="0.3">
      <c r="A54" t="s">
        <v>332</v>
      </c>
      <c r="B54">
        <v>6.0655015487564317</v>
      </c>
      <c r="C54">
        <v>0</v>
      </c>
    </row>
    <row r="55" spans="1:3" x14ac:dyDescent="0.3">
      <c r="A55" t="s">
        <v>339</v>
      </c>
      <c r="B55">
        <v>6.6989700043360187</v>
      </c>
      <c r="C55">
        <v>0</v>
      </c>
    </row>
    <row r="56" spans="1:3" x14ac:dyDescent="0.3">
      <c r="A56" t="s">
        <v>342</v>
      </c>
      <c r="B56">
        <v>5.6197887582883927</v>
      </c>
      <c r="C56">
        <v>0</v>
      </c>
    </row>
    <row r="57" spans="1:3" x14ac:dyDescent="0.3">
      <c r="A57" t="s">
        <v>345</v>
      </c>
      <c r="B57">
        <v>6.0969100130080562</v>
      </c>
      <c r="C57">
        <v>0</v>
      </c>
    </row>
    <row r="58" spans="1:3" x14ac:dyDescent="0.3">
      <c r="A58" t="s">
        <v>348</v>
      </c>
      <c r="B58">
        <v>4.0784313775704835</v>
      </c>
      <c r="C58">
        <v>0</v>
      </c>
    </row>
    <row r="59" spans="1:3" x14ac:dyDescent="0.3">
      <c r="A59" t="s">
        <v>355</v>
      </c>
      <c r="B59">
        <v>2.8591756588027231</v>
      </c>
      <c r="C59">
        <v>0</v>
      </c>
    </row>
    <row r="60" spans="1:3" x14ac:dyDescent="0.3">
      <c r="A60" t="s">
        <v>358</v>
      </c>
      <c r="B60">
        <v>5.1296361927269718</v>
      </c>
      <c r="C60">
        <v>0</v>
      </c>
    </row>
    <row r="61" spans="1:3" x14ac:dyDescent="0.3">
      <c r="A61" t="s">
        <v>363</v>
      </c>
      <c r="B61">
        <v>4.904542442000257</v>
      </c>
      <c r="C61">
        <v>0</v>
      </c>
    </row>
    <row r="62" spans="1:3" x14ac:dyDescent="0.3">
      <c r="A62" t="s">
        <v>368</v>
      </c>
      <c r="B62">
        <v>5.0369979686374799</v>
      </c>
      <c r="C62">
        <v>0</v>
      </c>
    </row>
    <row r="63" spans="1:3" x14ac:dyDescent="0.3">
      <c r="A63" t="s">
        <v>377</v>
      </c>
      <c r="B63">
        <v>4.8511359950115738</v>
      </c>
      <c r="C63">
        <v>0</v>
      </c>
    </row>
    <row r="64" spans="1:3" x14ac:dyDescent="0.3">
      <c r="A64" t="s">
        <v>387</v>
      </c>
      <c r="B64">
        <v>4.4127859363574373</v>
      </c>
      <c r="C64">
        <v>0</v>
      </c>
    </row>
    <row r="65" spans="1:3" x14ac:dyDescent="0.3">
      <c r="A65" t="s">
        <v>390</v>
      </c>
      <c r="B65">
        <v>4.7287144168618829</v>
      </c>
      <c r="C65">
        <v>0</v>
      </c>
    </row>
    <row r="66" spans="1:3" x14ac:dyDescent="0.3">
      <c r="A66" t="s">
        <v>394</v>
      </c>
      <c r="B66">
        <v>2.6780446760720822</v>
      </c>
      <c r="C66">
        <v>0</v>
      </c>
    </row>
    <row r="67" spans="1:3" x14ac:dyDescent="0.3">
      <c r="A67" t="s">
        <v>397</v>
      </c>
      <c r="B67">
        <v>5.5086383061657269</v>
      </c>
      <c r="C67">
        <v>0</v>
      </c>
    </row>
    <row r="68" spans="1:3" x14ac:dyDescent="0.3">
      <c r="A68" t="s">
        <v>401</v>
      </c>
      <c r="B68">
        <v>4.7369539537831455</v>
      </c>
      <c r="C68">
        <v>0</v>
      </c>
    </row>
    <row r="69" spans="1:3" x14ac:dyDescent="0.3">
      <c r="A69" t="s">
        <v>404</v>
      </c>
      <c r="B69">
        <v>4.4068913060494159</v>
      </c>
      <c r="C69">
        <v>0</v>
      </c>
    </row>
    <row r="70" spans="1:3" x14ac:dyDescent="0.3">
      <c r="A70" t="s">
        <v>408</v>
      </c>
      <c r="B70">
        <v>5.0494832531420863</v>
      </c>
      <c r="C70">
        <v>0</v>
      </c>
    </row>
    <row r="71" spans="1:3" x14ac:dyDescent="0.3">
      <c r="A71" t="s">
        <v>411</v>
      </c>
      <c r="B71">
        <v>5</v>
      </c>
      <c r="C71">
        <v>0</v>
      </c>
    </row>
    <row r="72" spans="1:3" x14ac:dyDescent="0.3">
      <c r="A72" t="s">
        <v>420</v>
      </c>
      <c r="B72">
        <v>4.6989700043360187</v>
      </c>
      <c r="C72">
        <v>0</v>
      </c>
    </row>
    <row r="73" spans="1:3" x14ac:dyDescent="0.3">
      <c r="A73" t="s">
        <v>423</v>
      </c>
      <c r="B73">
        <v>6.6989700043360187</v>
      </c>
      <c r="C73">
        <v>0</v>
      </c>
    </row>
    <row r="74" spans="1:3" x14ac:dyDescent="0.3">
      <c r="A74" t="s">
        <v>426</v>
      </c>
      <c r="B74">
        <v>5.769551078621725</v>
      </c>
      <c r="C74">
        <v>0</v>
      </c>
    </row>
    <row r="75" spans="1:3" x14ac:dyDescent="0.3">
      <c r="A75" t="s">
        <v>429</v>
      </c>
      <c r="B75">
        <v>4.7695510786217259</v>
      </c>
      <c r="C75">
        <v>0</v>
      </c>
    </row>
    <row r="76" spans="1:3" x14ac:dyDescent="0.3">
      <c r="A76" t="s">
        <v>435</v>
      </c>
      <c r="B76">
        <v>4.2518119729937984</v>
      </c>
      <c r="C76">
        <v>0</v>
      </c>
    </row>
    <row r="77" spans="1:3" x14ac:dyDescent="0.3">
      <c r="A77" t="s">
        <v>441</v>
      </c>
      <c r="B77">
        <v>5.8538719643217618</v>
      </c>
      <c r="C77">
        <v>0</v>
      </c>
    </row>
    <row r="78" spans="1:3" x14ac:dyDescent="0.3">
      <c r="A78" t="s">
        <v>444</v>
      </c>
      <c r="B78">
        <v>6.0969100130080562</v>
      </c>
      <c r="C78">
        <v>0</v>
      </c>
    </row>
    <row r="79" spans="1:3" x14ac:dyDescent="0.3">
      <c r="A79" t="s">
        <v>447</v>
      </c>
      <c r="B79">
        <v>5.5528419686577806</v>
      </c>
      <c r="C79">
        <v>0</v>
      </c>
    </row>
    <row r="80" spans="1:3" x14ac:dyDescent="0.3">
      <c r="A80" t="s">
        <v>449</v>
      </c>
      <c r="B80">
        <v>6.3872161432802645</v>
      </c>
      <c r="C80">
        <v>0</v>
      </c>
    </row>
    <row r="81" spans="1:3" x14ac:dyDescent="0.3">
      <c r="A81" t="s">
        <v>454</v>
      </c>
      <c r="B81">
        <v>7</v>
      </c>
      <c r="C81">
        <v>1</v>
      </c>
    </row>
    <row r="82" spans="1:3" x14ac:dyDescent="0.3">
      <c r="A82" t="s">
        <v>457</v>
      </c>
      <c r="B82">
        <v>2.9999999999999996</v>
      </c>
      <c r="C82">
        <v>0</v>
      </c>
    </row>
    <row r="83" spans="1:3" x14ac:dyDescent="0.3">
      <c r="A83" t="s">
        <v>467</v>
      </c>
      <c r="B83">
        <v>5.1159930547579826</v>
      </c>
      <c r="C83">
        <v>0</v>
      </c>
    </row>
    <row r="84" spans="1:3" x14ac:dyDescent="0.3">
      <c r="A84" t="s">
        <v>474</v>
      </c>
      <c r="B84">
        <v>7</v>
      </c>
      <c r="C84">
        <v>1</v>
      </c>
    </row>
    <row r="85" spans="1:3" x14ac:dyDescent="0.3">
      <c r="A85" t="s">
        <v>477</v>
      </c>
      <c r="B85">
        <v>5.9999999999999991</v>
      </c>
      <c r="C85">
        <v>0</v>
      </c>
    </row>
    <row r="86" spans="1:3" x14ac:dyDescent="0.3">
      <c r="A86" t="s">
        <v>480</v>
      </c>
      <c r="B86">
        <v>6.0457574905606748</v>
      </c>
      <c r="C86">
        <v>0</v>
      </c>
    </row>
    <row r="87" spans="1:3" x14ac:dyDescent="0.3">
      <c r="A87" t="s">
        <v>483</v>
      </c>
      <c r="B87">
        <v>5.3770511374475261</v>
      </c>
      <c r="C87">
        <v>0</v>
      </c>
    </row>
    <row r="88" spans="1:3" x14ac:dyDescent="0.3">
      <c r="A88" t="s">
        <v>487</v>
      </c>
      <c r="B88">
        <v>3.601802936285297</v>
      </c>
      <c r="C88">
        <v>0</v>
      </c>
    </row>
    <row r="89" spans="1:3" x14ac:dyDescent="0.3">
      <c r="A89" t="s">
        <v>489</v>
      </c>
      <c r="B89">
        <v>5.0760211417835448</v>
      </c>
      <c r="C89">
        <v>0</v>
      </c>
    </row>
    <row r="90" spans="1:3" x14ac:dyDescent="0.3">
      <c r="A90" t="s">
        <v>492</v>
      </c>
      <c r="B90">
        <v>5.3098039199714862</v>
      </c>
      <c r="C90">
        <v>0</v>
      </c>
    </row>
    <row r="91" spans="1:3" x14ac:dyDescent="0.3">
      <c r="A91" t="s">
        <v>495</v>
      </c>
      <c r="B91">
        <v>5.5287082889410613</v>
      </c>
      <c r="C91">
        <v>0</v>
      </c>
    </row>
    <row r="92" spans="1:3" x14ac:dyDescent="0.3">
      <c r="A92" t="s">
        <v>498</v>
      </c>
      <c r="B92">
        <v>4.2738023073020264</v>
      </c>
      <c r="C92">
        <v>0</v>
      </c>
    </row>
    <row r="93" spans="1:3" x14ac:dyDescent="0.3">
      <c r="A93" t="s">
        <v>501</v>
      </c>
      <c r="B93">
        <v>7.0043648054024485</v>
      </c>
      <c r="C93">
        <v>1</v>
      </c>
    </row>
    <row r="94" spans="1:3" x14ac:dyDescent="0.3">
      <c r="A94" t="s">
        <v>504</v>
      </c>
      <c r="B94">
        <v>6.6989700043360187</v>
      </c>
      <c r="C94">
        <v>0</v>
      </c>
    </row>
    <row r="95" spans="1:3" x14ac:dyDescent="0.3">
      <c r="A95" t="s">
        <v>507</v>
      </c>
      <c r="B95">
        <v>5.1135092748275177</v>
      </c>
      <c r="C95">
        <v>0</v>
      </c>
    </row>
    <row r="96" spans="1:3" x14ac:dyDescent="0.3">
      <c r="A96" t="s">
        <v>510</v>
      </c>
      <c r="B96">
        <v>7.4089353929734996</v>
      </c>
      <c r="C96">
        <v>1</v>
      </c>
    </row>
    <row r="97" spans="1:3" x14ac:dyDescent="0.3">
      <c r="A97" t="s">
        <v>512</v>
      </c>
      <c r="B97">
        <v>7.0087739243075049</v>
      </c>
      <c r="C97">
        <v>1</v>
      </c>
    </row>
    <row r="98" spans="1:3" x14ac:dyDescent="0.3">
      <c r="A98" t="s">
        <v>515</v>
      </c>
      <c r="B98">
        <v>3.8050652408509431</v>
      </c>
      <c r="C98">
        <v>0</v>
      </c>
    </row>
    <row r="99" spans="1:3" x14ac:dyDescent="0.3">
      <c r="A99" t="s">
        <v>518</v>
      </c>
      <c r="B99">
        <v>6.4685210829577446</v>
      </c>
      <c r="C99">
        <v>0</v>
      </c>
    </row>
    <row r="100" spans="1:3" x14ac:dyDescent="0.3">
      <c r="A100" t="s">
        <v>526</v>
      </c>
      <c r="B100">
        <v>5.2388241868442682</v>
      </c>
      <c r="C100">
        <v>0</v>
      </c>
    </row>
    <row r="101" spans="1:3" x14ac:dyDescent="0.3">
      <c r="A101" t="s">
        <v>532</v>
      </c>
      <c r="B101">
        <v>5.481486060122112</v>
      </c>
      <c r="C101">
        <v>0</v>
      </c>
    </row>
    <row r="102" spans="1:3" x14ac:dyDescent="0.3">
      <c r="A102" t="s">
        <v>535</v>
      </c>
      <c r="B102">
        <v>4.0809219076239254</v>
      </c>
      <c r="C102">
        <v>0</v>
      </c>
    </row>
    <row r="103" spans="1:3" x14ac:dyDescent="0.3">
      <c r="A103" t="s">
        <v>538</v>
      </c>
      <c r="B103">
        <v>5.9586073148417746</v>
      </c>
      <c r="C103">
        <v>0</v>
      </c>
    </row>
    <row r="104" spans="1:3" x14ac:dyDescent="0.3">
      <c r="A104" t="s">
        <v>548</v>
      </c>
      <c r="B104">
        <v>6.2218487496163553</v>
      </c>
      <c r="C104">
        <v>0</v>
      </c>
    </row>
    <row r="105" spans="1:3" x14ac:dyDescent="0.3">
      <c r="A105" t="s">
        <v>551</v>
      </c>
      <c r="B105">
        <v>5.769551078621725</v>
      </c>
      <c r="C105">
        <v>0</v>
      </c>
    </row>
    <row r="106" spans="1:3" x14ac:dyDescent="0.3">
      <c r="A106" t="s">
        <v>554</v>
      </c>
      <c r="B106">
        <v>5.6197887582883927</v>
      </c>
      <c r="C106">
        <v>0</v>
      </c>
    </row>
    <row r="107" spans="1:3" x14ac:dyDescent="0.3">
      <c r="A107" t="s">
        <v>556</v>
      </c>
      <c r="B107">
        <v>5.2204035087421747</v>
      </c>
      <c r="C107">
        <v>0</v>
      </c>
    </row>
    <row r="108" spans="1:3" x14ac:dyDescent="0.3">
      <c r="A108" t="s">
        <v>562</v>
      </c>
      <c r="B108">
        <v>6.7958800173440741</v>
      </c>
      <c r="C108">
        <v>0</v>
      </c>
    </row>
    <row r="109" spans="1:3" x14ac:dyDescent="0.3">
      <c r="A109" t="s">
        <v>568</v>
      </c>
      <c r="B109">
        <v>7.6989700043360179</v>
      </c>
      <c r="C109">
        <v>1</v>
      </c>
    </row>
    <row r="110" spans="1:3" x14ac:dyDescent="0.3">
      <c r="A110" t="s">
        <v>574</v>
      </c>
      <c r="B110">
        <v>3.8463951069862583</v>
      </c>
      <c r="C110">
        <v>0</v>
      </c>
    </row>
    <row r="111" spans="1:3" x14ac:dyDescent="0.3">
      <c r="A111" t="s">
        <v>576</v>
      </c>
      <c r="B111">
        <v>4.0763217956424915</v>
      </c>
      <c r="C111">
        <v>0</v>
      </c>
    </row>
    <row r="112" spans="1:3" x14ac:dyDescent="0.3">
      <c r="A112" t="s">
        <v>579</v>
      </c>
      <c r="B112">
        <v>5.920818753952374</v>
      </c>
      <c r="C112">
        <v>0</v>
      </c>
    </row>
    <row r="113" spans="1:3" x14ac:dyDescent="0.3">
      <c r="A113" t="s">
        <v>582</v>
      </c>
      <c r="B113">
        <v>5.8239087409443187</v>
      </c>
      <c r="C113">
        <v>0</v>
      </c>
    </row>
    <row r="114" spans="1:3" x14ac:dyDescent="0.3">
      <c r="A114" t="s">
        <v>589</v>
      </c>
      <c r="B114">
        <v>2.9999999999999996</v>
      </c>
      <c r="C114">
        <v>0</v>
      </c>
    </row>
    <row r="115" spans="1:3" x14ac:dyDescent="0.3">
      <c r="A115" t="s">
        <v>595</v>
      </c>
      <c r="B115">
        <v>6.0457574905606748</v>
      </c>
      <c r="C115">
        <v>0</v>
      </c>
    </row>
    <row r="116" spans="1:3" x14ac:dyDescent="0.3">
      <c r="A116" t="s">
        <v>601</v>
      </c>
      <c r="B116">
        <v>6.6989700043360187</v>
      </c>
      <c r="C116">
        <v>0</v>
      </c>
    </row>
    <row r="117" spans="1:3" x14ac:dyDescent="0.3">
      <c r="A117" t="s">
        <v>604</v>
      </c>
      <c r="B117">
        <v>5.0809219076239254</v>
      </c>
      <c r="C117">
        <v>0</v>
      </c>
    </row>
    <row r="118" spans="1:3" x14ac:dyDescent="0.3">
      <c r="A118" t="s">
        <v>608</v>
      </c>
      <c r="B118">
        <v>5.1465454258899932</v>
      </c>
      <c r="C118">
        <v>0</v>
      </c>
    </row>
    <row r="119" spans="1:3" x14ac:dyDescent="0.3">
      <c r="A119" t="s">
        <v>610</v>
      </c>
      <c r="B119">
        <v>5.1344533695812737</v>
      </c>
      <c r="C119">
        <v>0</v>
      </c>
    </row>
    <row r="120" spans="1:3" x14ac:dyDescent="0.3">
      <c r="A120" t="s">
        <v>616</v>
      </c>
      <c r="B120">
        <v>5.6817114684018071</v>
      </c>
      <c r="C120">
        <v>0</v>
      </c>
    </row>
    <row r="121" spans="1:3" x14ac:dyDescent="0.3">
      <c r="A121" t="s">
        <v>620</v>
      </c>
      <c r="B121">
        <v>4.7248607780823368</v>
      </c>
      <c r="C121">
        <v>0</v>
      </c>
    </row>
    <row r="122" spans="1:3" x14ac:dyDescent="0.3">
      <c r="A122" t="s">
        <v>622</v>
      </c>
      <c r="B122">
        <v>6.0969100130080562</v>
      </c>
      <c r="C122">
        <v>0</v>
      </c>
    </row>
    <row r="123" spans="1:3" x14ac:dyDescent="0.3">
      <c r="A123" t="s">
        <v>624</v>
      </c>
      <c r="B123">
        <v>9.5086383061657251</v>
      </c>
      <c r="C123">
        <v>1</v>
      </c>
    </row>
    <row r="124" spans="1:3" x14ac:dyDescent="0.3">
      <c r="A124" t="s">
        <v>627</v>
      </c>
      <c r="B124">
        <v>6.5228787452803365</v>
      </c>
      <c r="C124">
        <v>0</v>
      </c>
    </row>
    <row r="125" spans="1:3" x14ac:dyDescent="0.3">
      <c r="A125" t="s">
        <v>630</v>
      </c>
      <c r="B125">
        <v>5.1611509092627443</v>
      </c>
      <c r="C125">
        <v>0</v>
      </c>
    </row>
    <row r="126" spans="1:3" x14ac:dyDescent="0.3">
      <c r="A126" t="s">
        <v>633</v>
      </c>
      <c r="B126">
        <v>6.5228787452803365</v>
      </c>
      <c r="C126">
        <v>0</v>
      </c>
    </row>
    <row r="127" spans="1:3" x14ac:dyDescent="0.3">
      <c r="A127" t="s">
        <v>636</v>
      </c>
      <c r="B127">
        <v>4.5228787452803374</v>
      </c>
      <c r="C127">
        <v>0</v>
      </c>
    </row>
    <row r="128" spans="1:3" x14ac:dyDescent="0.3">
      <c r="A128" t="s">
        <v>639</v>
      </c>
      <c r="B128">
        <v>4.7212463990471703</v>
      </c>
      <c r="C128">
        <v>0</v>
      </c>
    </row>
    <row r="129" spans="1:3" x14ac:dyDescent="0.3">
      <c r="A129" t="s">
        <v>641</v>
      </c>
      <c r="B129">
        <v>4.3010299956639804</v>
      </c>
      <c r="C129">
        <v>0</v>
      </c>
    </row>
    <row r="130" spans="1:3" x14ac:dyDescent="0.3">
      <c r="A130" t="s">
        <v>644</v>
      </c>
      <c r="B130">
        <v>5.5228787452803374</v>
      </c>
      <c r="C130">
        <v>0</v>
      </c>
    </row>
    <row r="131" spans="1:3" x14ac:dyDescent="0.3">
      <c r="A131" t="s">
        <v>651</v>
      </c>
      <c r="B131">
        <v>5.4559319556497234</v>
      </c>
      <c r="C131">
        <v>0</v>
      </c>
    </row>
    <row r="132" spans="1:3" x14ac:dyDescent="0.3">
      <c r="A132" t="s">
        <v>657</v>
      </c>
      <c r="B132">
        <v>2.9999999999999996</v>
      </c>
      <c r="C132">
        <v>0</v>
      </c>
    </row>
    <row r="133" spans="1:3" x14ac:dyDescent="0.3">
      <c r="A133" t="s">
        <v>659</v>
      </c>
      <c r="B133">
        <v>5.4329736338409393</v>
      </c>
      <c r="C133">
        <v>0</v>
      </c>
    </row>
    <row r="134" spans="1:3" x14ac:dyDescent="0.3">
      <c r="A134" t="s">
        <v>661</v>
      </c>
      <c r="B134">
        <v>5.546681659952962</v>
      </c>
      <c r="C134">
        <v>0</v>
      </c>
    </row>
    <row r="135" spans="1:3" x14ac:dyDescent="0.3">
      <c r="A135" t="s">
        <v>664</v>
      </c>
      <c r="B135">
        <v>5.1938200260161125</v>
      </c>
      <c r="C135">
        <v>0</v>
      </c>
    </row>
    <row r="136" spans="1:3" x14ac:dyDescent="0.3">
      <c r="A136" t="s">
        <v>667</v>
      </c>
      <c r="B136">
        <v>5.8860566476931622</v>
      </c>
      <c r="C136">
        <v>0</v>
      </c>
    </row>
    <row r="137" spans="1:3" x14ac:dyDescent="0.3">
      <c r="A137" t="s">
        <v>670</v>
      </c>
      <c r="B137">
        <v>5.2471835688117281</v>
      </c>
      <c r="C137">
        <v>0</v>
      </c>
    </row>
    <row r="138" spans="1:3" x14ac:dyDescent="0.3">
      <c r="A138" t="s">
        <v>673</v>
      </c>
      <c r="B138">
        <v>5.6777807052660796</v>
      </c>
      <c r="C138">
        <v>0</v>
      </c>
    </row>
    <row r="139" spans="1:3" x14ac:dyDescent="0.3">
      <c r="A139" t="s">
        <v>675</v>
      </c>
      <c r="B139">
        <v>5.5228787452803374</v>
      </c>
      <c r="C139">
        <v>0</v>
      </c>
    </row>
    <row r="140" spans="1:3" x14ac:dyDescent="0.3">
      <c r="A140" t="s">
        <v>678</v>
      </c>
      <c r="B140">
        <v>5.1568392907103382</v>
      </c>
      <c r="C140">
        <v>0</v>
      </c>
    </row>
    <row r="141" spans="1:3" x14ac:dyDescent="0.3">
      <c r="A141" t="s">
        <v>683</v>
      </c>
      <c r="B141">
        <v>6.5376020021010435</v>
      </c>
      <c r="C141">
        <v>0</v>
      </c>
    </row>
    <row r="142" spans="1:3" x14ac:dyDescent="0.3">
      <c r="A142" t="s">
        <v>692</v>
      </c>
      <c r="B142">
        <v>2.6593456357461767</v>
      </c>
      <c r="C142">
        <v>0</v>
      </c>
    </row>
    <row r="143" spans="1:3" x14ac:dyDescent="0.3">
      <c r="A143" t="s">
        <v>695</v>
      </c>
      <c r="B143">
        <v>7.4436974992327123</v>
      </c>
      <c r="C143">
        <v>1</v>
      </c>
    </row>
    <row r="144" spans="1:3" x14ac:dyDescent="0.3">
      <c r="A144" t="s">
        <v>698</v>
      </c>
      <c r="B144">
        <v>6.8239087409443178</v>
      </c>
      <c r="C144">
        <v>0</v>
      </c>
    </row>
    <row r="145" spans="1:3" x14ac:dyDescent="0.3">
      <c r="A145" t="s">
        <v>704</v>
      </c>
      <c r="B145">
        <v>5.9030899869919429</v>
      </c>
      <c r="C145">
        <v>0</v>
      </c>
    </row>
    <row r="146" spans="1:3" x14ac:dyDescent="0.3">
      <c r="A146" t="s">
        <v>707</v>
      </c>
      <c r="B146">
        <v>4.8569851997459041</v>
      </c>
      <c r="C146">
        <v>0</v>
      </c>
    </row>
    <row r="147" spans="1:3" x14ac:dyDescent="0.3">
      <c r="A147" t="s">
        <v>713</v>
      </c>
      <c r="B147">
        <v>3.6989700043360187</v>
      </c>
      <c r="C147">
        <v>0</v>
      </c>
    </row>
    <row r="148" spans="1:3" x14ac:dyDescent="0.3">
      <c r="A148" t="s">
        <v>715</v>
      </c>
      <c r="B148">
        <v>7.3187587626244124</v>
      </c>
      <c r="C148">
        <v>1</v>
      </c>
    </row>
    <row r="149" spans="1:3" x14ac:dyDescent="0.3">
      <c r="A149" t="s">
        <v>721</v>
      </c>
      <c r="B149">
        <v>7.0087739243075049</v>
      </c>
      <c r="C149">
        <v>1</v>
      </c>
    </row>
    <row r="150" spans="1:3" x14ac:dyDescent="0.3">
      <c r="A150" t="s">
        <v>725</v>
      </c>
      <c r="B150">
        <v>5.1079053973095192</v>
      </c>
      <c r="C150">
        <v>0</v>
      </c>
    </row>
    <row r="151" spans="1:3" x14ac:dyDescent="0.3">
      <c r="A151" t="s">
        <v>728</v>
      </c>
      <c r="B151">
        <v>8</v>
      </c>
      <c r="C151">
        <v>1</v>
      </c>
    </row>
    <row r="152" spans="1:3" x14ac:dyDescent="0.3">
      <c r="A152" t="s">
        <v>731</v>
      </c>
      <c r="B152">
        <v>5.769551078621725</v>
      </c>
      <c r="C152">
        <v>0</v>
      </c>
    </row>
    <row r="153" spans="1:3" x14ac:dyDescent="0.3">
      <c r="A153" t="s">
        <v>734</v>
      </c>
      <c r="B153">
        <v>4.5228787452803374</v>
      </c>
      <c r="C153">
        <v>0</v>
      </c>
    </row>
    <row r="154" spans="1:3" x14ac:dyDescent="0.3">
      <c r="A154" t="s">
        <v>737</v>
      </c>
      <c r="B154">
        <v>5.481486060122112</v>
      </c>
      <c r="C154">
        <v>0</v>
      </c>
    </row>
    <row r="155" spans="1:3" x14ac:dyDescent="0.3">
      <c r="A155" t="s">
        <v>739</v>
      </c>
      <c r="B155">
        <v>5.924453038607469</v>
      </c>
      <c r="C155">
        <v>0</v>
      </c>
    </row>
    <row r="156" spans="1:3" x14ac:dyDescent="0.3">
      <c r="A156" t="s">
        <v>754</v>
      </c>
      <c r="B156">
        <v>5.6197887582883927</v>
      </c>
      <c r="C156">
        <v>0</v>
      </c>
    </row>
    <row r="157" spans="1:3" x14ac:dyDescent="0.3">
      <c r="A157" t="s">
        <v>756</v>
      </c>
      <c r="B157">
        <v>6.6989700043360187</v>
      </c>
      <c r="C157">
        <v>0</v>
      </c>
    </row>
    <row r="158" spans="1:3" x14ac:dyDescent="0.3">
      <c r="A158" t="s">
        <v>758</v>
      </c>
      <c r="B158">
        <v>7.0861861476162824</v>
      </c>
      <c r="C158">
        <v>1</v>
      </c>
    </row>
    <row r="159" spans="1:3" x14ac:dyDescent="0.3">
      <c r="A159" t="s">
        <v>761</v>
      </c>
      <c r="B159">
        <v>9.3665315444204111</v>
      </c>
      <c r="C159">
        <v>1</v>
      </c>
    </row>
    <row r="160" spans="1:3" x14ac:dyDescent="0.3">
      <c r="A160" t="s">
        <v>771</v>
      </c>
      <c r="B160">
        <v>6.0222763947111515</v>
      </c>
      <c r="C160">
        <v>0</v>
      </c>
    </row>
    <row r="161" spans="1:3" x14ac:dyDescent="0.3">
      <c r="A161" t="s">
        <v>773</v>
      </c>
      <c r="B161">
        <v>3.2757241303992104</v>
      </c>
      <c r="C161">
        <v>0</v>
      </c>
    </row>
    <row r="162" spans="1:3" x14ac:dyDescent="0.3">
      <c r="A162" t="s">
        <v>778</v>
      </c>
      <c r="B162">
        <v>5</v>
      </c>
      <c r="C162">
        <v>0</v>
      </c>
    </row>
    <row r="163" spans="1:3" x14ac:dyDescent="0.3">
      <c r="A163" t="s">
        <v>781</v>
      </c>
      <c r="B163">
        <v>6.9208187539523749</v>
      </c>
      <c r="C163">
        <v>0</v>
      </c>
    </row>
    <row r="164" spans="1:3" x14ac:dyDescent="0.3">
      <c r="A164" t="s">
        <v>784</v>
      </c>
      <c r="B164">
        <v>4.3010299956639804</v>
      </c>
      <c r="C164">
        <v>0</v>
      </c>
    </row>
    <row r="165" spans="1:3" x14ac:dyDescent="0.3">
      <c r="A165" t="s">
        <v>786</v>
      </c>
      <c r="B165">
        <v>4.3872161432802645</v>
      </c>
      <c r="C165">
        <v>0</v>
      </c>
    </row>
    <row r="166" spans="1:3" x14ac:dyDescent="0.3">
      <c r="A166" t="s">
        <v>788</v>
      </c>
      <c r="B166">
        <v>7.0177287669604302</v>
      </c>
      <c r="C166">
        <v>1</v>
      </c>
    </row>
    <row r="167" spans="1:3" x14ac:dyDescent="0.3">
      <c r="A167" t="s">
        <v>790</v>
      </c>
      <c r="B167">
        <v>7.2365720064370622</v>
      </c>
      <c r="C167">
        <v>1</v>
      </c>
    </row>
    <row r="168" spans="1:3" x14ac:dyDescent="0.3">
      <c r="A168" t="s">
        <v>793</v>
      </c>
      <c r="B168">
        <v>4.9208187539523749</v>
      </c>
      <c r="C168">
        <v>0</v>
      </c>
    </row>
    <row r="169" spans="1:3" x14ac:dyDescent="0.3">
      <c r="A169" t="s">
        <v>796</v>
      </c>
      <c r="B169">
        <v>5.769551078621725</v>
      </c>
      <c r="C169">
        <v>0</v>
      </c>
    </row>
    <row r="170" spans="1:3" x14ac:dyDescent="0.3">
      <c r="A170" t="s">
        <v>798</v>
      </c>
      <c r="B170">
        <v>6.3979400086720375</v>
      </c>
      <c r="C170">
        <v>0</v>
      </c>
    </row>
    <row r="171" spans="1:3" x14ac:dyDescent="0.3">
      <c r="A171" t="s">
        <v>800</v>
      </c>
      <c r="B171">
        <v>5.7500804113371</v>
      </c>
      <c r="C171">
        <v>0</v>
      </c>
    </row>
    <row r="172" spans="1:3" x14ac:dyDescent="0.3">
      <c r="A172" t="s">
        <v>802</v>
      </c>
      <c r="B172">
        <v>3.0222763947111519</v>
      </c>
      <c r="C172">
        <v>0</v>
      </c>
    </row>
    <row r="173" spans="1:3" x14ac:dyDescent="0.3">
      <c r="A173" t="s">
        <v>804</v>
      </c>
      <c r="B173">
        <v>6.3979400086720375</v>
      </c>
      <c r="C173">
        <v>0</v>
      </c>
    </row>
    <row r="174" spans="1:3" x14ac:dyDescent="0.3">
      <c r="A174" t="s">
        <v>811</v>
      </c>
      <c r="B174">
        <v>3.7213158806058986</v>
      </c>
      <c r="C174">
        <v>0</v>
      </c>
    </row>
    <row r="175" spans="1:3" x14ac:dyDescent="0.3">
      <c r="A175" t="s">
        <v>813</v>
      </c>
      <c r="B175">
        <v>4.4081657387206921</v>
      </c>
      <c r="C175">
        <v>0</v>
      </c>
    </row>
    <row r="176" spans="1:3" x14ac:dyDescent="0.3">
      <c r="A176" t="s">
        <v>816</v>
      </c>
      <c r="B176">
        <v>5.6777807052660796</v>
      </c>
      <c r="C176">
        <v>0</v>
      </c>
    </row>
    <row r="177" spans="1:3" x14ac:dyDescent="0.3">
      <c r="A177" t="s">
        <v>819</v>
      </c>
      <c r="B177">
        <v>5.6989700043360179</v>
      </c>
      <c r="C177">
        <v>0</v>
      </c>
    </row>
    <row r="178" spans="1:3" x14ac:dyDescent="0.3">
      <c r="A178" t="s">
        <v>822</v>
      </c>
      <c r="B178">
        <v>4.5086383061657269</v>
      </c>
      <c r="C178">
        <v>0</v>
      </c>
    </row>
    <row r="179" spans="1:3" x14ac:dyDescent="0.3">
      <c r="A179" t="s">
        <v>825</v>
      </c>
      <c r="B179">
        <v>5.9999999999999991</v>
      </c>
      <c r="C179">
        <v>0</v>
      </c>
    </row>
    <row r="180" spans="1:3" x14ac:dyDescent="0.3">
      <c r="A180" t="s">
        <v>827</v>
      </c>
      <c r="B180">
        <v>5.2076083105017457</v>
      </c>
      <c r="C180">
        <v>0</v>
      </c>
    </row>
    <row r="181" spans="1:3" x14ac:dyDescent="0.3">
      <c r="A181" t="s">
        <v>830</v>
      </c>
      <c r="B181">
        <v>6.7958800173440741</v>
      </c>
      <c r="C181">
        <v>0</v>
      </c>
    </row>
    <row r="182" spans="1:3" x14ac:dyDescent="0.3">
      <c r="A182" t="s">
        <v>833</v>
      </c>
      <c r="B182">
        <v>8.0043648054024494</v>
      </c>
      <c r="C182">
        <v>1</v>
      </c>
    </row>
    <row r="183" spans="1:3" x14ac:dyDescent="0.3">
      <c r="A183" t="s">
        <v>838</v>
      </c>
      <c r="B183">
        <v>6.5528419686577797</v>
      </c>
      <c r="C183">
        <v>0</v>
      </c>
    </row>
    <row r="184" spans="1:3" x14ac:dyDescent="0.3">
      <c r="A184" t="s">
        <v>841</v>
      </c>
      <c r="B184">
        <v>5.5555780727729545</v>
      </c>
      <c r="C184">
        <v>0</v>
      </c>
    </row>
    <row r="185" spans="1:3" x14ac:dyDescent="0.3">
      <c r="A185" t="s">
        <v>843</v>
      </c>
      <c r="B185">
        <v>4.8021436201196464</v>
      </c>
      <c r="C185">
        <v>0</v>
      </c>
    </row>
    <row r="186" spans="1:3" x14ac:dyDescent="0.3">
      <c r="A186" t="s">
        <v>845</v>
      </c>
      <c r="B186">
        <v>5.2441251443275076</v>
      </c>
      <c r="C186">
        <v>0</v>
      </c>
    </row>
    <row r="187" spans="1:3" x14ac:dyDescent="0.3">
      <c r="A187" t="s">
        <v>848</v>
      </c>
      <c r="B187">
        <v>5.5376020021010435</v>
      </c>
      <c r="C187">
        <v>0</v>
      </c>
    </row>
    <row r="188" spans="1:3" x14ac:dyDescent="0.3">
      <c r="A188" t="s">
        <v>851</v>
      </c>
      <c r="B188">
        <v>5.4317982759330041</v>
      </c>
      <c r="C188">
        <v>0</v>
      </c>
    </row>
    <row r="189" spans="1:3" x14ac:dyDescent="0.3">
      <c r="A189" t="s">
        <v>857</v>
      </c>
      <c r="B189">
        <v>6.0969100130080562</v>
      </c>
      <c r="C189">
        <v>0</v>
      </c>
    </row>
    <row r="190" spans="1:3" x14ac:dyDescent="0.3">
      <c r="A190" t="s">
        <v>860</v>
      </c>
      <c r="B190">
        <v>5.9999999999999991</v>
      </c>
      <c r="C190">
        <v>0</v>
      </c>
    </row>
    <row r="191" spans="1:3" x14ac:dyDescent="0.3">
      <c r="A191" t="s">
        <v>863</v>
      </c>
      <c r="B191">
        <v>6.3979400086720375</v>
      </c>
      <c r="C191">
        <v>0</v>
      </c>
    </row>
    <row r="192" spans="1:3" x14ac:dyDescent="0.3">
      <c r="A192" t="s">
        <v>866</v>
      </c>
      <c r="B192">
        <v>4.7695510786217259</v>
      </c>
      <c r="C192">
        <v>0</v>
      </c>
    </row>
    <row r="193" spans="1:3" x14ac:dyDescent="0.3">
      <c r="A193" t="s">
        <v>869</v>
      </c>
      <c r="B193">
        <v>5.5228787452803374</v>
      </c>
      <c r="C193">
        <v>0</v>
      </c>
    </row>
    <row r="194" spans="1:3" x14ac:dyDescent="0.3">
      <c r="A194" t="s">
        <v>872</v>
      </c>
      <c r="B194">
        <v>7.2365720064370622</v>
      </c>
      <c r="C194">
        <v>1</v>
      </c>
    </row>
    <row r="195" spans="1:3" x14ac:dyDescent="0.3">
      <c r="A195" t="s">
        <v>881</v>
      </c>
      <c r="B195">
        <v>5.0757207139381171</v>
      </c>
      <c r="C195">
        <v>0</v>
      </c>
    </row>
    <row r="196" spans="1:3" x14ac:dyDescent="0.3">
      <c r="A196" t="s">
        <v>884</v>
      </c>
      <c r="B196">
        <v>9.4202164033831899</v>
      </c>
      <c r="C196">
        <v>1</v>
      </c>
    </row>
    <row r="197" spans="1:3" x14ac:dyDescent="0.3">
      <c r="A197" t="s">
        <v>886</v>
      </c>
      <c r="B197">
        <v>5.4202164033831899</v>
      </c>
      <c r="C197">
        <v>0</v>
      </c>
    </row>
    <row r="198" spans="1:3" x14ac:dyDescent="0.3">
      <c r="A198" t="s">
        <v>889</v>
      </c>
      <c r="B198">
        <v>5.769551078621725</v>
      </c>
      <c r="C198">
        <v>0</v>
      </c>
    </row>
    <row r="199" spans="1:3" x14ac:dyDescent="0.3">
      <c r="A199" t="s">
        <v>893</v>
      </c>
      <c r="B199">
        <v>4.7825507979549773</v>
      </c>
      <c r="C199">
        <v>0</v>
      </c>
    </row>
    <row r="200" spans="1:3" x14ac:dyDescent="0.3">
      <c r="A200" t="s">
        <v>908</v>
      </c>
      <c r="B200">
        <v>2.7062738755272853</v>
      </c>
      <c r="C200">
        <v>0</v>
      </c>
    </row>
    <row r="201" spans="1:3" x14ac:dyDescent="0.3">
      <c r="A201" t="s">
        <v>910</v>
      </c>
      <c r="B201">
        <v>2.9999999999999996</v>
      </c>
      <c r="C201">
        <v>0</v>
      </c>
    </row>
    <row r="202" spans="1:3" x14ac:dyDescent="0.3">
      <c r="A202" t="s">
        <v>917</v>
      </c>
      <c r="B202">
        <v>5.8538719643217618</v>
      </c>
      <c r="C202">
        <v>0</v>
      </c>
    </row>
    <row r="203" spans="1:3" x14ac:dyDescent="0.3">
      <c r="A203" t="s">
        <v>920</v>
      </c>
      <c r="B203">
        <v>5.2676062401770309</v>
      </c>
      <c r="C203">
        <v>0</v>
      </c>
    </row>
    <row r="204" spans="1:3" x14ac:dyDescent="0.3">
      <c r="A204" t="s">
        <v>925</v>
      </c>
      <c r="B204">
        <v>6.1549019599857431</v>
      </c>
      <c r="C204">
        <v>0</v>
      </c>
    </row>
    <row r="205" spans="1:3" x14ac:dyDescent="0.3">
      <c r="A205" t="s">
        <v>930</v>
      </c>
      <c r="B205">
        <v>5.1120731320778381</v>
      </c>
      <c r="C205">
        <v>0</v>
      </c>
    </row>
    <row r="206" spans="1:3" x14ac:dyDescent="0.3">
      <c r="A206" t="s">
        <v>933</v>
      </c>
      <c r="B206">
        <v>4.1060952365149248</v>
      </c>
      <c r="C206">
        <v>0</v>
      </c>
    </row>
    <row r="207" spans="1:3" x14ac:dyDescent="0.3">
      <c r="A207" t="s">
        <v>935</v>
      </c>
      <c r="B207">
        <v>5.1279979492850565</v>
      </c>
      <c r="C207">
        <v>0</v>
      </c>
    </row>
    <row r="208" spans="1:3" x14ac:dyDescent="0.3">
      <c r="A208" t="s">
        <v>937</v>
      </c>
      <c r="B208">
        <v>4.9392038608241444</v>
      </c>
      <c r="C208">
        <v>0</v>
      </c>
    </row>
    <row r="209" spans="1:3" x14ac:dyDescent="0.3">
      <c r="A209" t="s">
        <v>940</v>
      </c>
      <c r="B209">
        <v>7.1804560644581317</v>
      </c>
      <c r="C209">
        <v>1</v>
      </c>
    </row>
    <row r="210" spans="1:3" x14ac:dyDescent="0.3">
      <c r="A210" t="s">
        <v>944</v>
      </c>
      <c r="B210">
        <v>4.4948500216800928</v>
      </c>
      <c r="C210">
        <v>0</v>
      </c>
    </row>
    <row r="211" spans="1:3" x14ac:dyDescent="0.3">
      <c r="A211" t="s">
        <v>947</v>
      </c>
      <c r="B211">
        <v>4.9952362102039354</v>
      </c>
      <c r="C211">
        <v>0</v>
      </c>
    </row>
    <row r="212" spans="1:3" x14ac:dyDescent="0.3">
      <c r="A212" t="s">
        <v>950</v>
      </c>
      <c r="B212">
        <v>2.8577183644992141</v>
      </c>
      <c r="C212">
        <v>0</v>
      </c>
    </row>
    <row r="213" spans="1:3" x14ac:dyDescent="0.3">
      <c r="A213" t="s">
        <v>953</v>
      </c>
      <c r="B213">
        <v>6.5514957428755975</v>
      </c>
      <c r="C213">
        <v>0</v>
      </c>
    </row>
    <row r="214" spans="1:3" x14ac:dyDescent="0.3">
      <c r="A214" t="s">
        <v>955</v>
      </c>
      <c r="B214">
        <v>7.0655015487564325</v>
      </c>
      <c r="C214">
        <v>1</v>
      </c>
    </row>
    <row r="215" spans="1:3" x14ac:dyDescent="0.3">
      <c r="A215" t="s">
        <v>957</v>
      </c>
      <c r="B215">
        <v>5.348888723071437</v>
      </c>
      <c r="C215">
        <v>0</v>
      </c>
    </row>
    <row r="216" spans="1:3" x14ac:dyDescent="0.3">
      <c r="A216" t="s">
        <v>959</v>
      </c>
      <c r="B216">
        <v>5.069165762508276</v>
      </c>
      <c r="C216">
        <v>0</v>
      </c>
    </row>
    <row r="217" spans="1:3" x14ac:dyDescent="0.3">
      <c r="A217" t="s">
        <v>965</v>
      </c>
      <c r="B217">
        <v>4.3010299956639804</v>
      </c>
      <c r="C217">
        <v>0</v>
      </c>
    </row>
    <row r="218" spans="1:3" x14ac:dyDescent="0.3">
      <c r="A218" t="s">
        <v>967</v>
      </c>
      <c r="B218">
        <v>6.5228787452803365</v>
      </c>
      <c r="C218">
        <v>0</v>
      </c>
    </row>
    <row r="219" spans="1:3" x14ac:dyDescent="0.3">
      <c r="A219" t="s">
        <v>970</v>
      </c>
      <c r="B219">
        <v>6.9586073148417746</v>
      </c>
      <c r="C219">
        <v>0</v>
      </c>
    </row>
    <row r="220" spans="1:3" x14ac:dyDescent="0.3">
      <c r="A220" t="s">
        <v>973</v>
      </c>
      <c r="B220">
        <v>6.1804560644581308</v>
      </c>
      <c r="C220">
        <v>0</v>
      </c>
    </row>
    <row r="221" spans="1:3" x14ac:dyDescent="0.3">
      <c r="A221" t="s">
        <v>976</v>
      </c>
      <c r="B221">
        <v>5.2890368810047237</v>
      </c>
      <c r="C221">
        <v>0</v>
      </c>
    </row>
    <row r="222" spans="1:3" x14ac:dyDescent="0.3">
      <c r="A222" t="s">
        <v>980</v>
      </c>
      <c r="B222">
        <v>6.0177287669604311</v>
      </c>
      <c r="C222">
        <v>0</v>
      </c>
    </row>
    <row r="223" spans="1:3" x14ac:dyDescent="0.3">
      <c r="A223" t="s">
        <v>984</v>
      </c>
      <c r="B223">
        <v>4.0124824250360822</v>
      </c>
      <c r="C223">
        <v>0</v>
      </c>
    </row>
    <row r="224" spans="1:3" x14ac:dyDescent="0.3">
      <c r="A224" t="s">
        <v>986</v>
      </c>
      <c r="B224">
        <v>4.7369539537831455</v>
      </c>
      <c r="C224">
        <v>0</v>
      </c>
    </row>
    <row r="225" spans="1:3" x14ac:dyDescent="0.3">
      <c r="A225" t="s">
        <v>988</v>
      </c>
      <c r="B225">
        <v>4.3685365756146419</v>
      </c>
      <c r="C225">
        <v>0</v>
      </c>
    </row>
    <row r="226" spans="1:3" x14ac:dyDescent="0.3">
      <c r="A226" t="s">
        <v>991</v>
      </c>
      <c r="B226">
        <v>5.368583989128461</v>
      </c>
      <c r="C226">
        <v>0</v>
      </c>
    </row>
    <row r="227" spans="1:3" x14ac:dyDescent="0.3">
      <c r="A227" t="s">
        <v>997</v>
      </c>
      <c r="B227">
        <v>5.0341603587474797</v>
      </c>
      <c r="C227">
        <v>0</v>
      </c>
    </row>
    <row r="228" spans="1:3" x14ac:dyDescent="0.3">
      <c r="A228" t="s">
        <v>1002</v>
      </c>
      <c r="B228">
        <v>6.6989700043360187</v>
      </c>
      <c r="C228">
        <v>0</v>
      </c>
    </row>
    <row r="229" spans="1:3" x14ac:dyDescent="0.3">
      <c r="A229" t="s">
        <v>1004</v>
      </c>
      <c r="B229">
        <v>2.5937511334385239</v>
      </c>
      <c r="C229">
        <v>0</v>
      </c>
    </row>
    <row r="230" spans="1:3" x14ac:dyDescent="0.3">
      <c r="A230" t="s">
        <v>1006</v>
      </c>
      <c r="B230">
        <v>5.1307701415271003</v>
      </c>
      <c r="C230">
        <v>0</v>
      </c>
    </row>
    <row r="231" spans="1:3" x14ac:dyDescent="0.3">
      <c r="A231" t="s">
        <v>1010</v>
      </c>
      <c r="B231">
        <v>7.3372421683184257</v>
      </c>
      <c r="C231">
        <v>1</v>
      </c>
    </row>
    <row r="232" spans="1:3" x14ac:dyDescent="0.3">
      <c r="A232" t="s">
        <v>1013</v>
      </c>
      <c r="B232">
        <v>4.4788619162959638</v>
      </c>
      <c r="C232">
        <v>0</v>
      </c>
    </row>
    <row r="233" spans="1:3" x14ac:dyDescent="0.3">
      <c r="A233" t="s">
        <v>1015</v>
      </c>
      <c r="B233">
        <v>4.4349379773095174</v>
      </c>
      <c r="C233">
        <v>0</v>
      </c>
    </row>
    <row r="234" spans="1:3" x14ac:dyDescent="0.3">
      <c r="A234" t="s">
        <v>1018</v>
      </c>
      <c r="B234">
        <v>2.9999999999999996</v>
      </c>
      <c r="C234">
        <v>0</v>
      </c>
    </row>
    <row r="235" spans="1:3" x14ac:dyDescent="0.3">
      <c r="A235" t="s">
        <v>1021</v>
      </c>
      <c r="B235">
        <v>7.8860566476931622</v>
      </c>
      <c r="C235">
        <v>1</v>
      </c>
    </row>
    <row r="236" spans="1:3" x14ac:dyDescent="0.3">
      <c r="A236" t="s">
        <v>1024</v>
      </c>
      <c r="B236">
        <v>5.3979400086720366</v>
      </c>
      <c r="C236">
        <v>0</v>
      </c>
    </row>
    <row r="237" spans="1:3" x14ac:dyDescent="0.3">
      <c r="A237" t="s">
        <v>1026</v>
      </c>
      <c r="B237">
        <v>6.2218487496163553</v>
      </c>
      <c r="C237">
        <v>0</v>
      </c>
    </row>
    <row r="238" spans="1:3" x14ac:dyDescent="0.3">
      <c r="A238" t="s">
        <v>1029</v>
      </c>
      <c r="B238">
        <v>3.2919869279837601</v>
      </c>
      <c r="C238">
        <v>0</v>
      </c>
    </row>
    <row r="239" spans="1:3" x14ac:dyDescent="0.3">
      <c r="A239" t="s">
        <v>1032</v>
      </c>
      <c r="B239">
        <v>6.3010299956639804</v>
      </c>
      <c r="C239">
        <v>0</v>
      </c>
    </row>
    <row r="240" spans="1:3" x14ac:dyDescent="0.3">
      <c r="A240" t="s">
        <v>1035</v>
      </c>
      <c r="B240">
        <v>5.8239087409443187</v>
      </c>
      <c r="C240">
        <v>0</v>
      </c>
    </row>
    <row r="241" spans="1:3" x14ac:dyDescent="0.3">
      <c r="A241" t="s">
        <v>1038</v>
      </c>
      <c r="B241">
        <v>5.9586073148417746</v>
      </c>
      <c r="C241">
        <v>0</v>
      </c>
    </row>
    <row r="242" spans="1:3" x14ac:dyDescent="0.3">
      <c r="A242" t="s">
        <v>1041</v>
      </c>
      <c r="B242">
        <v>6.3010299956639804</v>
      </c>
      <c r="C242">
        <v>0</v>
      </c>
    </row>
    <row r="243" spans="1:3" x14ac:dyDescent="0.3">
      <c r="A243" t="s">
        <v>1044</v>
      </c>
      <c r="B243">
        <v>5.6989700043360179</v>
      </c>
      <c r="C243">
        <v>0</v>
      </c>
    </row>
    <row r="244" spans="1:3" x14ac:dyDescent="0.3">
      <c r="A244" t="s">
        <v>1047</v>
      </c>
      <c r="B244">
        <v>6.1549019599857431</v>
      </c>
      <c r="C244">
        <v>0</v>
      </c>
    </row>
    <row r="245" spans="1:3" x14ac:dyDescent="0.3">
      <c r="A245" t="s">
        <v>1053</v>
      </c>
      <c r="B245">
        <v>4.414388326931074</v>
      </c>
      <c r="C245">
        <v>0</v>
      </c>
    </row>
    <row r="246" spans="1:3" x14ac:dyDescent="0.3">
      <c r="A246" t="s">
        <v>1056</v>
      </c>
      <c r="B246">
        <v>6.7695510786217259</v>
      </c>
      <c r="C246">
        <v>0</v>
      </c>
    </row>
    <row r="247" spans="1:3" x14ac:dyDescent="0.3">
      <c r="A247" t="s">
        <v>1060</v>
      </c>
      <c r="B247">
        <v>2.7785419396335533</v>
      </c>
      <c r="C247">
        <v>0</v>
      </c>
    </row>
    <row r="248" spans="1:3" x14ac:dyDescent="0.3">
      <c r="A248" t="s">
        <v>1063</v>
      </c>
      <c r="B248">
        <v>6.431798275933005</v>
      </c>
      <c r="C248">
        <v>0</v>
      </c>
    </row>
    <row r="249" spans="1:3" x14ac:dyDescent="0.3">
      <c r="A249" t="s">
        <v>1065</v>
      </c>
      <c r="B249">
        <v>5.3145810875862729</v>
      </c>
      <c r="C249">
        <v>0</v>
      </c>
    </row>
    <row r="250" spans="1:3" x14ac:dyDescent="0.3">
      <c r="A250" t="s">
        <v>1072</v>
      </c>
      <c r="B250">
        <v>6.1249387366082999</v>
      </c>
      <c r="C250">
        <v>0</v>
      </c>
    </row>
    <row r="251" spans="1:3" x14ac:dyDescent="0.3">
      <c r="A251" t="s">
        <v>1075</v>
      </c>
      <c r="B251">
        <v>5.1191864077192086</v>
      </c>
      <c r="C251">
        <v>0</v>
      </c>
    </row>
    <row r="252" spans="1:3" x14ac:dyDescent="0.3">
      <c r="A252" t="s">
        <v>1078</v>
      </c>
      <c r="B252">
        <v>6.1549019599857431</v>
      </c>
      <c r="C252">
        <v>0</v>
      </c>
    </row>
    <row r="253" spans="1:3" x14ac:dyDescent="0.3">
      <c r="A253" t="s">
        <v>1081</v>
      </c>
      <c r="B253">
        <v>5.7447274948966935</v>
      </c>
      <c r="C253">
        <v>0</v>
      </c>
    </row>
    <row r="254" spans="1:3" x14ac:dyDescent="0.3">
      <c r="A254" t="s">
        <v>1084</v>
      </c>
      <c r="B254">
        <v>5.5086383061657269</v>
      </c>
      <c r="C254">
        <v>0</v>
      </c>
    </row>
    <row r="255" spans="1:3" x14ac:dyDescent="0.3">
      <c r="A255" t="s">
        <v>1087</v>
      </c>
      <c r="B255">
        <v>4.7857710249010461</v>
      </c>
      <c r="C255">
        <v>0</v>
      </c>
    </row>
    <row r="256" spans="1:3" x14ac:dyDescent="0.3">
      <c r="A256" t="s">
        <v>1090</v>
      </c>
      <c r="B256">
        <v>5.4317982759330041</v>
      </c>
      <c r="C256">
        <v>0</v>
      </c>
    </row>
    <row r="257" spans="1:3" x14ac:dyDescent="0.3">
      <c r="A257" t="s">
        <v>1093</v>
      </c>
      <c r="B257">
        <v>5.6649990406428197</v>
      </c>
      <c r="C257">
        <v>0</v>
      </c>
    </row>
    <row r="258" spans="1:3" x14ac:dyDescent="0.3">
      <c r="A258" t="s">
        <v>1099</v>
      </c>
      <c r="B258">
        <v>5.8239087409443187</v>
      </c>
      <c r="C258">
        <v>0</v>
      </c>
    </row>
    <row r="259" spans="1:3" x14ac:dyDescent="0.3">
      <c r="A259" t="s">
        <v>1102</v>
      </c>
      <c r="B259">
        <v>4.4380490864680828</v>
      </c>
      <c r="C259">
        <v>0</v>
      </c>
    </row>
    <row r="260" spans="1:3" x14ac:dyDescent="0.3">
      <c r="A260" t="s">
        <v>1105</v>
      </c>
      <c r="B260">
        <v>3.5122173052336234</v>
      </c>
      <c r="C260">
        <v>0</v>
      </c>
    </row>
    <row r="261" spans="1:3" x14ac:dyDescent="0.3">
      <c r="A261" t="s">
        <v>1108</v>
      </c>
      <c r="B261">
        <v>5.6777807052660796</v>
      </c>
      <c r="C261">
        <v>0</v>
      </c>
    </row>
    <row r="262" spans="1:3" x14ac:dyDescent="0.3">
      <c r="A262" t="s">
        <v>1111</v>
      </c>
      <c r="B262">
        <v>6.1549019599857431</v>
      </c>
      <c r="C262">
        <v>0</v>
      </c>
    </row>
    <row r="263" spans="1:3" x14ac:dyDescent="0.3">
      <c r="A263" t="s">
        <v>1114</v>
      </c>
      <c r="B263">
        <v>5.0507663112330423</v>
      </c>
      <c r="C263">
        <v>0</v>
      </c>
    </row>
    <row r="264" spans="1:3" x14ac:dyDescent="0.3">
      <c r="A264" t="s">
        <v>1120</v>
      </c>
      <c r="B264">
        <v>6.0915149811213496</v>
      </c>
      <c r="C264">
        <v>0</v>
      </c>
    </row>
    <row r="265" spans="1:3" x14ac:dyDescent="0.3">
      <c r="A265" t="s">
        <v>1122</v>
      </c>
      <c r="B265">
        <v>4.8041718968826954</v>
      </c>
      <c r="C265">
        <v>0</v>
      </c>
    </row>
    <row r="266" spans="1:3" x14ac:dyDescent="0.3">
      <c r="A266" t="s">
        <v>1124</v>
      </c>
      <c r="B266">
        <v>2.9999999999999996</v>
      </c>
      <c r="C266">
        <v>0</v>
      </c>
    </row>
    <row r="267" spans="1:3" x14ac:dyDescent="0.3">
      <c r="A267" t="s">
        <v>1127</v>
      </c>
      <c r="B267">
        <v>3.4846556726169196</v>
      </c>
      <c r="C267">
        <v>0</v>
      </c>
    </row>
    <row r="268" spans="1:3" x14ac:dyDescent="0.3">
      <c r="A268" t="s">
        <v>1129</v>
      </c>
      <c r="B268">
        <v>5.1776219930735516</v>
      </c>
      <c r="C268">
        <v>0</v>
      </c>
    </row>
    <row r="269" spans="1:3" x14ac:dyDescent="0.3">
      <c r="A269" t="s">
        <v>1131</v>
      </c>
      <c r="B269">
        <v>6.3549403598710636</v>
      </c>
      <c r="C269">
        <v>0</v>
      </c>
    </row>
    <row r="270" spans="1:3" x14ac:dyDescent="0.3">
      <c r="A270" t="s">
        <v>1136</v>
      </c>
      <c r="B270">
        <v>5.9999999999999991</v>
      </c>
      <c r="C270">
        <v>0</v>
      </c>
    </row>
    <row r="271" spans="1:3" x14ac:dyDescent="0.3">
      <c r="A271" t="s">
        <v>1142</v>
      </c>
      <c r="B271">
        <v>5.8860566476931622</v>
      </c>
      <c r="C271">
        <v>0</v>
      </c>
    </row>
    <row r="272" spans="1:3" x14ac:dyDescent="0.3">
      <c r="A272" t="s">
        <v>1145</v>
      </c>
      <c r="B272">
        <v>8</v>
      </c>
      <c r="C272">
        <v>1</v>
      </c>
    </row>
    <row r="273" spans="1:3" x14ac:dyDescent="0.3">
      <c r="A273" t="s">
        <v>1148</v>
      </c>
      <c r="B273">
        <v>5.6989700043360179</v>
      </c>
      <c r="C273">
        <v>0</v>
      </c>
    </row>
    <row r="274" spans="1:3" x14ac:dyDescent="0.3">
      <c r="A274" t="s">
        <v>1150</v>
      </c>
      <c r="B274">
        <v>5.2218487496163561</v>
      </c>
      <c r="C274">
        <v>0</v>
      </c>
    </row>
    <row r="275" spans="1:3" x14ac:dyDescent="0.3">
      <c r="A275" t="s">
        <v>1152</v>
      </c>
      <c r="B275">
        <v>5.3925449767853308</v>
      </c>
      <c r="C275">
        <v>0</v>
      </c>
    </row>
    <row r="276" spans="1:3" x14ac:dyDescent="0.3">
      <c r="A276" t="s">
        <v>1155</v>
      </c>
      <c r="B276">
        <v>5.8538719643217618</v>
      </c>
      <c r="C276">
        <v>0</v>
      </c>
    </row>
    <row r="277" spans="1:3" x14ac:dyDescent="0.3">
      <c r="A277" t="s">
        <v>1158</v>
      </c>
      <c r="B277">
        <v>6.0457574905606748</v>
      </c>
      <c r="C277">
        <v>0</v>
      </c>
    </row>
    <row r="278" spans="1:3" x14ac:dyDescent="0.3">
      <c r="A278" t="s">
        <v>1161</v>
      </c>
      <c r="B278">
        <v>6.2218487496163553</v>
      </c>
      <c r="C278">
        <v>0</v>
      </c>
    </row>
    <row r="279" spans="1:3" x14ac:dyDescent="0.3">
      <c r="A279" t="s">
        <v>1164</v>
      </c>
      <c r="B279">
        <v>5.3565473235138121</v>
      </c>
      <c r="C279">
        <v>0</v>
      </c>
    </row>
    <row r="280" spans="1:3" x14ac:dyDescent="0.3">
      <c r="A280" t="s">
        <v>1166</v>
      </c>
      <c r="B280">
        <v>4.9378476975357728</v>
      </c>
      <c r="C280">
        <v>0</v>
      </c>
    </row>
    <row r="281" spans="1:3" x14ac:dyDescent="0.3">
      <c r="A281" t="s">
        <v>1171</v>
      </c>
      <c r="B281">
        <v>4.7549910972402465</v>
      </c>
      <c r="C281">
        <v>0</v>
      </c>
    </row>
    <row r="282" spans="1:3" x14ac:dyDescent="0.3">
      <c r="A282" t="s">
        <v>1173</v>
      </c>
      <c r="B282">
        <v>4.5376020021010435</v>
      </c>
      <c r="C282">
        <v>0</v>
      </c>
    </row>
    <row r="283" spans="1:3" x14ac:dyDescent="0.3">
      <c r="A283" t="s">
        <v>1176</v>
      </c>
      <c r="B283">
        <v>5.0409586076789052</v>
      </c>
      <c r="C283">
        <v>0</v>
      </c>
    </row>
    <row r="284" spans="1:3" x14ac:dyDescent="0.3">
      <c r="A284" t="s">
        <v>1178</v>
      </c>
      <c r="B284">
        <v>5.1191864077192086</v>
      </c>
      <c r="C284">
        <v>0</v>
      </c>
    </row>
    <row r="285" spans="1:3" x14ac:dyDescent="0.3">
      <c r="A285" t="s">
        <v>1180</v>
      </c>
      <c r="B285">
        <v>6.3010299956639804</v>
      </c>
      <c r="C285">
        <v>0</v>
      </c>
    </row>
    <row r="286" spans="1:3" x14ac:dyDescent="0.3">
      <c r="A286" t="s">
        <v>1182</v>
      </c>
      <c r="B286">
        <v>6.3010299956639804</v>
      </c>
      <c r="C286">
        <v>0</v>
      </c>
    </row>
    <row r="287" spans="1:3" x14ac:dyDescent="0.3">
      <c r="A287" t="s">
        <v>1185</v>
      </c>
      <c r="B287">
        <v>6.9030899869919429</v>
      </c>
      <c r="C287">
        <v>0</v>
      </c>
    </row>
    <row r="288" spans="1:3" x14ac:dyDescent="0.3">
      <c r="A288" t="s">
        <v>1189</v>
      </c>
      <c r="B288">
        <v>7</v>
      </c>
      <c r="C288">
        <v>1</v>
      </c>
    </row>
    <row r="289" spans="1:3" x14ac:dyDescent="0.3">
      <c r="A289" t="s">
        <v>1192</v>
      </c>
      <c r="B289">
        <v>6.6989700043360187</v>
      </c>
      <c r="C289">
        <v>0</v>
      </c>
    </row>
    <row r="290" spans="1:3" x14ac:dyDescent="0.3">
      <c r="A290" t="s">
        <v>1195</v>
      </c>
      <c r="B290">
        <v>6.2022858741762166</v>
      </c>
      <c r="C290">
        <v>0</v>
      </c>
    </row>
    <row r="291" spans="1:3" x14ac:dyDescent="0.3">
      <c r="A291" t="s">
        <v>1198</v>
      </c>
      <c r="B291">
        <v>5.6351946235981965</v>
      </c>
      <c r="C291">
        <v>0</v>
      </c>
    </row>
    <row r="292" spans="1:3" x14ac:dyDescent="0.3">
      <c r="A292" t="s">
        <v>1201</v>
      </c>
      <c r="B292">
        <v>4.9876427482357633</v>
      </c>
      <c r="C292">
        <v>0</v>
      </c>
    </row>
    <row r="293" spans="1:3" x14ac:dyDescent="0.3">
      <c r="A293" t="s">
        <v>1203</v>
      </c>
      <c r="B293">
        <v>5.0885916689436375</v>
      </c>
      <c r="C293">
        <v>0</v>
      </c>
    </row>
    <row r="294" spans="1:3" x14ac:dyDescent="0.3">
      <c r="A294" t="s">
        <v>1206</v>
      </c>
      <c r="B294">
        <v>5.3565473235138121</v>
      </c>
      <c r="C294">
        <v>0</v>
      </c>
    </row>
    <row r="295" spans="1:3" x14ac:dyDescent="0.3">
      <c r="A295" t="s">
        <v>1209</v>
      </c>
      <c r="B295">
        <v>5.8860566476931622</v>
      </c>
      <c r="C295">
        <v>0</v>
      </c>
    </row>
    <row r="296" spans="1:3" x14ac:dyDescent="0.3">
      <c r="A296" t="s">
        <v>1212</v>
      </c>
      <c r="B296">
        <v>5.6777807052660796</v>
      </c>
      <c r="C296">
        <v>0</v>
      </c>
    </row>
    <row r="297" spans="1:3" x14ac:dyDescent="0.3">
      <c r="A297" t="s">
        <v>1215</v>
      </c>
      <c r="B297">
        <v>6.0457574905606748</v>
      </c>
      <c r="C297">
        <v>0</v>
      </c>
    </row>
    <row r="298" spans="1:3" x14ac:dyDescent="0.3">
      <c r="A298" t="s">
        <v>1218</v>
      </c>
      <c r="B298">
        <v>4.7751305805232125</v>
      </c>
      <c r="C298">
        <v>0</v>
      </c>
    </row>
    <row r="299" spans="1:3" x14ac:dyDescent="0.3">
      <c r="A299" t="s">
        <v>1221</v>
      </c>
      <c r="B299">
        <v>7.5376020021010426</v>
      </c>
      <c r="C299">
        <v>1</v>
      </c>
    </row>
    <row r="300" spans="1:3" x14ac:dyDescent="0.3">
      <c r="A300" t="s">
        <v>1228</v>
      </c>
      <c r="B300">
        <v>4.0809219076239254</v>
      </c>
      <c r="C300">
        <v>0</v>
      </c>
    </row>
    <row r="301" spans="1:3" x14ac:dyDescent="0.3">
      <c r="A301" t="s">
        <v>1230</v>
      </c>
      <c r="B301">
        <v>5.0457574905606748</v>
      </c>
      <c r="C301">
        <v>0</v>
      </c>
    </row>
    <row r="302" spans="1:3" x14ac:dyDescent="0.3">
      <c r="A302" t="s">
        <v>1232</v>
      </c>
      <c r="B302">
        <v>5.6020599913279616</v>
      </c>
      <c r="C302">
        <v>0</v>
      </c>
    </row>
    <row r="303" spans="1:3" x14ac:dyDescent="0.3">
      <c r="A303" t="s">
        <v>1235</v>
      </c>
      <c r="B303">
        <v>8.0222763947111506</v>
      </c>
      <c r="C303">
        <v>1</v>
      </c>
    </row>
    <row r="304" spans="1:3" x14ac:dyDescent="0.3">
      <c r="A304" t="s">
        <v>1237</v>
      </c>
      <c r="B304">
        <v>7.0969100130080554</v>
      </c>
      <c r="C304">
        <v>1</v>
      </c>
    </row>
    <row r="305" spans="1:3" x14ac:dyDescent="0.3">
      <c r="A305" t="s">
        <v>1240</v>
      </c>
      <c r="B305">
        <v>5.1135092748275177</v>
      </c>
      <c r="C305">
        <v>0</v>
      </c>
    </row>
    <row r="306" spans="1:3" x14ac:dyDescent="0.3">
      <c r="A306" t="s">
        <v>1244</v>
      </c>
      <c r="B306">
        <v>4.030382838595254</v>
      </c>
      <c r="C306">
        <v>0</v>
      </c>
    </row>
    <row r="307" spans="1:3" x14ac:dyDescent="0.3">
      <c r="A307" t="s">
        <v>1247</v>
      </c>
      <c r="B307">
        <v>8</v>
      </c>
      <c r="C307">
        <v>1</v>
      </c>
    </row>
    <row r="308" spans="1:3" x14ac:dyDescent="0.3">
      <c r="A308" t="s">
        <v>1250</v>
      </c>
      <c r="B308">
        <v>8</v>
      </c>
      <c r="C308">
        <v>1</v>
      </c>
    </row>
    <row r="309" spans="1:3" x14ac:dyDescent="0.3">
      <c r="A309" t="s">
        <v>1253</v>
      </c>
      <c r="B309">
        <v>8</v>
      </c>
      <c r="C309">
        <v>1</v>
      </c>
    </row>
    <row r="310" spans="1:3" x14ac:dyDescent="0.3">
      <c r="A310" t="s">
        <v>1255</v>
      </c>
      <c r="B310">
        <v>4.3936186348893944</v>
      </c>
      <c r="C310">
        <v>0</v>
      </c>
    </row>
    <row r="311" spans="1:3" x14ac:dyDescent="0.3">
      <c r="A311" t="s">
        <v>1257</v>
      </c>
      <c r="B311">
        <v>5.0927323379699168</v>
      </c>
      <c r="C311">
        <v>0</v>
      </c>
    </row>
    <row r="312" spans="1:3" x14ac:dyDescent="0.3">
      <c r="A312" t="s">
        <v>1259</v>
      </c>
      <c r="B312">
        <v>4.0835809971781645</v>
      </c>
      <c r="C312">
        <v>0</v>
      </c>
    </row>
    <row r="313" spans="1:3" x14ac:dyDescent="0.3">
      <c r="A313" t="s">
        <v>1267</v>
      </c>
      <c r="B313">
        <v>6.7958800173440741</v>
      </c>
      <c r="C313">
        <v>0</v>
      </c>
    </row>
    <row r="314" spans="1:3" x14ac:dyDescent="0.3">
      <c r="A314" t="s">
        <v>1269</v>
      </c>
      <c r="B314">
        <v>5.362193351534458</v>
      </c>
      <c r="C314">
        <v>0</v>
      </c>
    </row>
    <row r="315" spans="1:3" x14ac:dyDescent="0.3">
      <c r="A315" t="s">
        <v>1272</v>
      </c>
      <c r="B315">
        <v>3.6967595086402798</v>
      </c>
      <c r="C315">
        <v>0</v>
      </c>
    </row>
    <row r="316" spans="1:3" x14ac:dyDescent="0.3">
      <c r="A316" t="s">
        <v>1275</v>
      </c>
      <c r="B316">
        <v>5.6989700043360179</v>
      </c>
      <c r="C316">
        <v>0</v>
      </c>
    </row>
    <row r="317" spans="1:3" x14ac:dyDescent="0.3">
      <c r="A317" t="s">
        <v>1278</v>
      </c>
      <c r="B317">
        <v>5.936915680945253</v>
      </c>
      <c r="C317">
        <v>0</v>
      </c>
    </row>
    <row r="318" spans="1:3" x14ac:dyDescent="0.3">
      <c r="A318" t="s">
        <v>1280</v>
      </c>
      <c r="B318">
        <v>5.1166409456611284</v>
      </c>
      <c r="C318">
        <v>0</v>
      </c>
    </row>
    <row r="319" spans="1:3" x14ac:dyDescent="0.3">
      <c r="A319" t="s">
        <v>1282</v>
      </c>
      <c r="B319">
        <v>4.7365133609092362</v>
      </c>
      <c r="C319">
        <v>0</v>
      </c>
    </row>
    <row r="320" spans="1:3" x14ac:dyDescent="0.3">
      <c r="A320" t="s">
        <v>1284</v>
      </c>
      <c r="B320">
        <v>3.3079557615685586</v>
      </c>
      <c r="C320">
        <v>0</v>
      </c>
    </row>
    <row r="321" spans="1:3" x14ac:dyDescent="0.3">
      <c r="A321" t="s">
        <v>1288</v>
      </c>
      <c r="B321">
        <v>5.4465149769256227</v>
      </c>
      <c r="C321">
        <v>0</v>
      </c>
    </row>
    <row r="322" spans="1:3" x14ac:dyDescent="0.3">
      <c r="A322" t="s">
        <v>1294</v>
      </c>
      <c r="B322">
        <v>4.1606647285205574</v>
      </c>
      <c r="C322">
        <v>0</v>
      </c>
    </row>
    <row r="323" spans="1:3" x14ac:dyDescent="0.3">
      <c r="A323" t="s">
        <v>1298</v>
      </c>
      <c r="B323">
        <v>3.3498777231729742</v>
      </c>
      <c r="C323">
        <v>0</v>
      </c>
    </row>
    <row r="324" spans="1:3" x14ac:dyDescent="0.3">
      <c r="A324" t="s">
        <v>1301</v>
      </c>
      <c r="B324">
        <v>6.8239087409443178</v>
      </c>
      <c r="C324">
        <v>0</v>
      </c>
    </row>
    <row r="325" spans="1:3" x14ac:dyDescent="0.3">
      <c r="A325" t="s">
        <v>1303</v>
      </c>
      <c r="B325">
        <v>4.8538719643217609</v>
      </c>
      <c r="C325">
        <v>0</v>
      </c>
    </row>
    <row r="326" spans="1:3" x14ac:dyDescent="0.3">
      <c r="A326" t="s">
        <v>1306</v>
      </c>
      <c r="B326">
        <v>3.6089430127644162</v>
      </c>
      <c r="C326">
        <v>0</v>
      </c>
    </row>
    <row r="327" spans="1:3" x14ac:dyDescent="0.3">
      <c r="A327" t="s">
        <v>1309</v>
      </c>
      <c r="B327">
        <v>5.1588327231214697</v>
      </c>
      <c r="C327">
        <v>0</v>
      </c>
    </row>
    <row r="328" spans="1:3" x14ac:dyDescent="0.3">
      <c r="A328" t="s">
        <v>1313</v>
      </c>
      <c r="B328">
        <v>4.4688050187120343</v>
      </c>
      <c r="C328">
        <v>0</v>
      </c>
    </row>
    <row r="329" spans="1:3" x14ac:dyDescent="0.3">
      <c r="A329" t="s">
        <v>1316</v>
      </c>
      <c r="B329">
        <v>4.8578027274574884</v>
      </c>
      <c r="C329">
        <v>0</v>
      </c>
    </row>
    <row r="330" spans="1:3" x14ac:dyDescent="0.3">
      <c r="A330" t="s">
        <v>1320</v>
      </c>
      <c r="B330">
        <v>2.7327796278909142</v>
      </c>
      <c r="C330">
        <v>0</v>
      </c>
    </row>
    <row r="331" spans="1:3" x14ac:dyDescent="0.3">
      <c r="A331" t="s">
        <v>1324</v>
      </c>
      <c r="B331">
        <v>5.8393146062541215</v>
      </c>
      <c r="C331">
        <v>0</v>
      </c>
    </row>
    <row r="332" spans="1:3" x14ac:dyDescent="0.3">
      <c r="A332" t="s">
        <v>1328</v>
      </c>
      <c r="B332">
        <v>3.5360853218165098</v>
      </c>
      <c r="C332">
        <v>0</v>
      </c>
    </row>
    <row r="333" spans="1:3" x14ac:dyDescent="0.3">
      <c r="A333" t="s">
        <v>1343</v>
      </c>
      <c r="B333">
        <v>6.3630852430393343</v>
      </c>
      <c r="C333">
        <v>0</v>
      </c>
    </row>
    <row r="334" spans="1:3" x14ac:dyDescent="0.3">
      <c r="A334" t="s">
        <v>1345</v>
      </c>
      <c r="B334">
        <v>6.2566676445178713</v>
      </c>
      <c r="C334">
        <v>0</v>
      </c>
    </row>
    <row r="335" spans="1:3" x14ac:dyDescent="0.3">
      <c r="A335" t="s">
        <v>1348</v>
      </c>
      <c r="B335">
        <v>3.3013639399187302</v>
      </c>
      <c r="C335">
        <v>0</v>
      </c>
    </row>
    <row r="336" spans="1:3" x14ac:dyDescent="0.3">
      <c r="A336" t="s">
        <v>1350</v>
      </c>
      <c r="B336">
        <v>7.3279021420642811</v>
      </c>
      <c r="C336">
        <v>1</v>
      </c>
    </row>
    <row r="337" spans="1:3" x14ac:dyDescent="0.3">
      <c r="A337" t="s">
        <v>1352</v>
      </c>
      <c r="B337">
        <v>6.6989700043360187</v>
      </c>
      <c r="C337">
        <v>0</v>
      </c>
    </row>
    <row r="338" spans="1:3" x14ac:dyDescent="0.3">
      <c r="A338" t="s">
        <v>1355</v>
      </c>
      <c r="B338">
        <v>4.3010299956639804</v>
      </c>
      <c r="C338">
        <v>0</v>
      </c>
    </row>
    <row r="339" spans="1:3" x14ac:dyDescent="0.3">
      <c r="A339" t="s">
        <v>1358</v>
      </c>
      <c r="B339">
        <v>5.1384655891409619</v>
      </c>
      <c r="C339">
        <v>0</v>
      </c>
    </row>
    <row r="340" spans="1:3" x14ac:dyDescent="0.3">
      <c r="A340" t="s">
        <v>1361</v>
      </c>
      <c r="B340">
        <v>5.9469215565165792</v>
      </c>
      <c r="C340">
        <v>0</v>
      </c>
    </row>
    <row r="341" spans="1:3" x14ac:dyDescent="0.3">
      <c r="A341" t="s">
        <v>1364</v>
      </c>
      <c r="B341">
        <v>4.7447274948966935</v>
      </c>
      <c r="C341">
        <v>0</v>
      </c>
    </row>
    <row r="342" spans="1:3" x14ac:dyDescent="0.3">
      <c r="A342" t="s">
        <v>1369</v>
      </c>
      <c r="B342">
        <v>4.7544873321858496</v>
      </c>
      <c r="C342">
        <v>0</v>
      </c>
    </row>
    <row r="343" spans="1:3" x14ac:dyDescent="0.3">
      <c r="A343" t="s">
        <v>1372</v>
      </c>
      <c r="B343">
        <v>5.0507180106733633</v>
      </c>
      <c r="C343">
        <v>0</v>
      </c>
    </row>
    <row r="344" spans="1:3" x14ac:dyDescent="0.3">
      <c r="A344" t="s">
        <v>1381</v>
      </c>
      <c r="B344">
        <v>5.8613671125396412</v>
      </c>
      <c r="C344">
        <v>0</v>
      </c>
    </row>
    <row r="345" spans="1:3" x14ac:dyDescent="0.3">
      <c r="A345" t="s">
        <v>1383</v>
      </c>
      <c r="B345">
        <v>4.9378476975357728</v>
      </c>
      <c r="C345">
        <v>0</v>
      </c>
    </row>
    <row r="346" spans="1:3" x14ac:dyDescent="0.3">
      <c r="A346" t="s">
        <v>1386</v>
      </c>
      <c r="B346">
        <v>6.0719335307136664</v>
      </c>
      <c r="C346">
        <v>0</v>
      </c>
    </row>
    <row r="347" spans="1:3" x14ac:dyDescent="0.3">
      <c r="A347" t="s">
        <v>1388</v>
      </c>
      <c r="B347">
        <v>3.7036137543417302</v>
      </c>
      <c r="C347">
        <v>0</v>
      </c>
    </row>
    <row r="348" spans="1:3" x14ac:dyDescent="0.3">
      <c r="A348" t="s">
        <v>1391</v>
      </c>
      <c r="B348">
        <v>5.6516171740949614</v>
      </c>
      <c r="C348">
        <v>0</v>
      </c>
    </row>
    <row r="349" spans="1:3" x14ac:dyDescent="0.3">
      <c r="A349" t="s">
        <v>1393</v>
      </c>
      <c r="B349">
        <v>3.6517333966103815</v>
      </c>
      <c r="C349">
        <v>0</v>
      </c>
    </row>
    <row r="350" spans="1:3" x14ac:dyDescent="0.3">
      <c r="A350" t="s">
        <v>1395</v>
      </c>
      <c r="B350">
        <v>5.0281262592590883</v>
      </c>
      <c r="C350">
        <v>0</v>
      </c>
    </row>
    <row r="351" spans="1:3" x14ac:dyDescent="0.3">
      <c r="A351" t="s">
        <v>1397</v>
      </c>
      <c r="B351">
        <v>4.4349379773095174</v>
      </c>
      <c r="C351">
        <v>0</v>
      </c>
    </row>
    <row r="352" spans="1:3" x14ac:dyDescent="0.3">
      <c r="A352" t="s">
        <v>1399</v>
      </c>
      <c r="B352">
        <v>4.4559319556497243</v>
      </c>
      <c r="C352">
        <v>0</v>
      </c>
    </row>
    <row r="353" spans="1:3" x14ac:dyDescent="0.3">
      <c r="A353" t="s">
        <v>1401</v>
      </c>
      <c r="B353">
        <v>4.8538719643217609</v>
      </c>
      <c r="C353">
        <v>0</v>
      </c>
    </row>
    <row r="354" spans="1:3" x14ac:dyDescent="0.3">
      <c r="A354" t="s">
        <v>1403</v>
      </c>
      <c r="B354">
        <v>4.4559319556497243</v>
      </c>
      <c r="C354">
        <v>0</v>
      </c>
    </row>
    <row r="355" spans="1:3" x14ac:dyDescent="0.3">
      <c r="A355" t="s">
        <v>1405</v>
      </c>
      <c r="B355">
        <v>4.8306469828150611</v>
      </c>
      <c r="C355">
        <v>0</v>
      </c>
    </row>
    <row r="356" spans="1:3" x14ac:dyDescent="0.3">
      <c r="A356" t="s">
        <v>1408</v>
      </c>
      <c r="B356">
        <v>6.4685210829577446</v>
      </c>
      <c r="C356">
        <v>0</v>
      </c>
    </row>
    <row r="357" spans="1:3" x14ac:dyDescent="0.3">
      <c r="A357" t="s">
        <v>1411</v>
      </c>
      <c r="B357">
        <v>5.1155301749703632</v>
      </c>
      <c r="C357">
        <v>0</v>
      </c>
    </row>
    <row r="358" spans="1:3" x14ac:dyDescent="0.3">
      <c r="A358" t="s">
        <v>1414</v>
      </c>
      <c r="B358">
        <v>3.6989700043360187</v>
      </c>
      <c r="C358">
        <v>0</v>
      </c>
    </row>
    <row r="359" spans="1:3" x14ac:dyDescent="0.3">
      <c r="A359" t="s">
        <v>1417</v>
      </c>
      <c r="B359">
        <v>4.9721906539840992</v>
      </c>
      <c r="C359">
        <v>0</v>
      </c>
    </row>
    <row r="360" spans="1:3" x14ac:dyDescent="0.3">
      <c r="A360" t="s">
        <v>1419</v>
      </c>
      <c r="B360">
        <v>4.7847260611308107</v>
      </c>
      <c r="C360">
        <v>0</v>
      </c>
    </row>
    <row r="361" spans="1:3" x14ac:dyDescent="0.3">
      <c r="A361" t="s">
        <v>1422</v>
      </c>
      <c r="B361">
        <v>7</v>
      </c>
      <c r="C361">
        <v>1</v>
      </c>
    </row>
    <row r="362" spans="1:3" x14ac:dyDescent="0.3">
      <c r="A362" t="s">
        <v>1424</v>
      </c>
      <c r="B362">
        <v>4.8032077485454909</v>
      </c>
      <c r="C362">
        <v>0</v>
      </c>
    </row>
    <row r="363" spans="1:3" x14ac:dyDescent="0.3">
      <c r="A363" t="s">
        <v>1427</v>
      </c>
      <c r="B363">
        <v>6.1586091802483764</v>
      </c>
      <c r="C363">
        <v>0</v>
      </c>
    </row>
    <row r="364" spans="1:3" x14ac:dyDescent="0.3">
      <c r="A364" t="s">
        <v>1430</v>
      </c>
      <c r="B364">
        <v>6.3853616377504867</v>
      </c>
      <c r="C364">
        <v>0</v>
      </c>
    </row>
    <row r="365" spans="1:3" x14ac:dyDescent="0.3">
      <c r="A365" t="s">
        <v>1434</v>
      </c>
      <c r="B365">
        <v>3.1505722476689977</v>
      </c>
      <c r="C365">
        <v>0</v>
      </c>
    </row>
    <row r="366" spans="1:3" x14ac:dyDescent="0.3">
      <c r="A366" t="s">
        <v>1437</v>
      </c>
      <c r="B366">
        <v>3.6020599913279621</v>
      </c>
      <c r="C366">
        <v>0</v>
      </c>
    </row>
    <row r="367" spans="1:3" x14ac:dyDescent="0.3">
      <c r="A367" t="s">
        <v>1442</v>
      </c>
      <c r="B367">
        <v>5.3178549236261672</v>
      </c>
      <c r="C367">
        <v>0</v>
      </c>
    </row>
    <row r="368" spans="1:3" x14ac:dyDescent="0.3">
      <c r="A368" t="s">
        <v>1444</v>
      </c>
      <c r="B368">
        <v>6.3767507096020992</v>
      </c>
      <c r="C368">
        <v>0</v>
      </c>
    </row>
    <row r="369" spans="1:3" x14ac:dyDescent="0.3">
      <c r="A369" t="s">
        <v>1446</v>
      </c>
      <c r="B369">
        <v>5.4685210829577438</v>
      </c>
      <c r="C369">
        <v>0</v>
      </c>
    </row>
    <row r="370" spans="1:3" x14ac:dyDescent="0.3">
      <c r="A370" t="s">
        <v>1448</v>
      </c>
      <c r="B370">
        <v>3.9018498000565396</v>
      </c>
      <c r="C370">
        <v>0</v>
      </c>
    </row>
    <row r="371" spans="1:3" x14ac:dyDescent="0.3">
      <c r="A371" t="s">
        <v>1450</v>
      </c>
      <c r="B371">
        <v>6.6367686426690309</v>
      </c>
      <c r="C371">
        <v>0</v>
      </c>
    </row>
    <row r="372" spans="1:3" x14ac:dyDescent="0.3">
      <c r="A372" t="s">
        <v>1453</v>
      </c>
      <c r="B372">
        <v>5.0408312721572761</v>
      </c>
      <c r="C372">
        <v>0</v>
      </c>
    </row>
    <row r="373" spans="1:3" x14ac:dyDescent="0.3">
      <c r="A373" t="s">
        <v>1456</v>
      </c>
      <c r="B373">
        <v>5.6805168093812544</v>
      </c>
      <c r="C373">
        <v>0</v>
      </c>
    </row>
    <row r="374" spans="1:3" x14ac:dyDescent="0.3">
      <c r="A374" t="s">
        <v>1458</v>
      </c>
      <c r="B374">
        <v>6.3010299956639804</v>
      </c>
      <c r="C374">
        <v>0</v>
      </c>
    </row>
    <row r="375" spans="1:3" x14ac:dyDescent="0.3">
      <c r="A375" t="s">
        <v>1460</v>
      </c>
      <c r="B375">
        <v>5.9999999999999991</v>
      </c>
      <c r="C375">
        <v>0</v>
      </c>
    </row>
    <row r="376" spans="1:3" x14ac:dyDescent="0.3">
      <c r="A376" t="s">
        <v>1465</v>
      </c>
      <c r="B376">
        <v>6.3010299956639804</v>
      </c>
      <c r="C376">
        <v>0</v>
      </c>
    </row>
    <row r="377" spans="1:3" x14ac:dyDescent="0.3">
      <c r="A377" t="s">
        <v>1469</v>
      </c>
      <c r="B377">
        <v>3.9208187539523749</v>
      </c>
      <c r="C377">
        <v>0</v>
      </c>
    </row>
    <row r="378" spans="1:3" x14ac:dyDescent="0.3">
      <c r="A378" t="s">
        <v>1472</v>
      </c>
      <c r="B378">
        <v>3.6197887582883936</v>
      </c>
      <c r="C378">
        <v>0</v>
      </c>
    </row>
    <row r="379" spans="1:3" x14ac:dyDescent="0.3">
      <c r="A379" t="s">
        <v>1474</v>
      </c>
      <c r="B379">
        <v>2.9999999999999996</v>
      </c>
      <c r="C379">
        <v>0</v>
      </c>
    </row>
    <row r="380" spans="1:3" x14ac:dyDescent="0.3">
      <c r="A380" t="s">
        <v>1476</v>
      </c>
      <c r="B380">
        <v>4.4357243734592151</v>
      </c>
      <c r="C380">
        <v>0</v>
      </c>
    </row>
    <row r="381" spans="1:3" x14ac:dyDescent="0.3">
      <c r="A381" t="s">
        <v>1478</v>
      </c>
      <c r="B381">
        <v>5.795880017344075</v>
      </c>
      <c r="C381">
        <v>0</v>
      </c>
    </row>
    <row r="382" spans="1:3" x14ac:dyDescent="0.3">
      <c r="A382" t="s">
        <v>1480</v>
      </c>
      <c r="B382">
        <v>6.5228787452803365</v>
      </c>
      <c r="C382">
        <v>0</v>
      </c>
    </row>
    <row r="383" spans="1:3" x14ac:dyDescent="0.3">
      <c r="A383" t="s">
        <v>1482</v>
      </c>
      <c r="B383">
        <v>7</v>
      </c>
      <c r="C383">
        <v>1</v>
      </c>
    </row>
    <row r="384" spans="1:3" x14ac:dyDescent="0.3">
      <c r="A384" t="s">
        <v>1484</v>
      </c>
      <c r="B384">
        <v>6.1549019599857431</v>
      </c>
      <c r="C384">
        <v>0</v>
      </c>
    </row>
    <row r="385" spans="1:3" x14ac:dyDescent="0.3">
      <c r="A385" t="s">
        <v>1486</v>
      </c>
      <c r="B385">
        <v>4.488794109640704</v>
      </c>
      <c r="C385">
        <v>0</v>
      </c>
    </row>
    <row r="386" spans="1:3" x14ac:dyDescent="0.3">
      <c r="A386" t="s">
        <v>1489</v>
      </c>
      <c r="B386">
        <v>4.9393021596463873</v>
      </c>
      <c r="C386">
        <v>0</v>
      </c>
    </row>
    <row r="387" spans="1:3" x14ac:dyDescent="0.3">
      <c r="A387" t="s">
        <v>1492</v>
      </c>
      <c r="B387">
        <v>5.2182446253475305</v>
      </c>
      <c r="C387">
        <v>0</v>
      </c>
    </row>
    <row r="388" spans="1:3" x14ac:dyDescent="0.3">
      <c r="A388" t="s">
        <v>1494</v>
      </c>
      <c r="B388">
        <v>4.7497363155690611</v>
      </c>
      <c r="C388">
        <v>0</v>
      </c>
    </row>
    <row r="389" spans="1:3" x14ac:dyDescent="0.3">
      <c r="A389" t="s">
        <v>1496</v>
      </c>
      <c r="B389">
        <v>5.7099653886374817</v>
      </c>
      <c r="C389">
        <v>0</v>
      </c>
    </row>
    <row r="390" spans="1:3" x14ac:dyDescent="0.3">
      <c r="A390" t="s">
        <v>1501</v>
      </c>
      <c r="B390">
        <v>6.1135092748275177</v>
      </c>
      <c r="C390">
        <v>0</v>
      </c>
    </row>
    <row r="391" spans="1:3" x14ac:dyDescent="0.3">
      <c r="A391" t="s">
        <v>1503</v>
      </c>
      <c r="B391">
        <v>6.0457574905606748</v>
      </c>
      <c r="C391">
        <v>0</v>
      </c>
    </row>
    <row r="392" spans="1:3" x14ac:dyDescent="0.3">
      <c r="A392" t="s">
        <v>1506</v>
      </c>
      <c r="B392">
        <v>4.6805168093812544</v>
      </c>
      <c r="C392">
        <v>0</v>
      </c>
    </row>
    <row r="393" spans="1:3" x14ac:dyDescent="0.3">
      <c r="A393" t="s">
        <v>1509</v>
      </c>
      <c r="B393">
        <v>5.4089353929735005</v>
      </c>
      <c r="C393">
        <v>0</v>
      </c>
    </row>
    <row r="394" spans="1:3" x14ac:dyDescent="0.3">
      <c r="A394" t="s">
        <v>1514</v>
      </c>
      <c r="B394">
        <v>6.3959002462010597</v>
      </c>
      <c r="C394">
        <v>0</v>
      </c>
    </row>
    <row r="395" spans="1:3" x14ac:dyDescent="0.3">
      <c r="A395" t="s">
        <v>1518</v>
      </c>
      <c r="B395">
        <v>3.4548790254871808</v>
      </c>
      <c r="C395">
        <v>0</v>
      </c>
    </row>
    <row r="396" spans="1:3" x14ac:dyDescent="0.3">
      <c r="A396" t="s">
        <v>1520</v>
      </c>
      <c r="B396">
        <v>9.1804560644581308</v>
      </c>
      <c r="C396">
        <v>1</v>
      </c>
    </row>
    <row r="397" spans="1:3" x14ac:dyDescent="0.3">
      <c r="A397" t="s">
        <v>1522</v>
      </c>
      <c r="B397">
        <v>4.7347103741391701</v>
      </c>
      <c r="C397">
        <v>0</v>
      </c>
    </row>
    <row r="398" spans="1:3" x14ac:dyDescent="0.3">
      <c r="A398" t="s">
        <v>1524</v>
      </c>
      <c r="B398">
        <v>5.0166265472274594</v>
      </c>
      <c r="C398">
        <v>0</v>
      </c>
    </row>
    <row r="399" spans="1:3" x14ac:dyDescent="0.3">
      <c r="A399" t="s">
        <v>1526</v>
      </c>
      <c r="B399">
        <v>4.8511359950115738</v>
      </c>
      <c r="C399">
        <v>0</v>
      </c>
    </row>
    <row r="400" spans="1:3" x14ac:dyDescent="0.3">
      <c r="A400" t="s">
        <v>1528</v>
      </c>
      <c r="B400">
        <v>4.7910553977304309</v>
      </c>
      <c r="C400">
        <v>0</v>
      </c>
    </row>
    <row r="401" spans="1:3" x14ac:dyDescent="0.3">
      <c r="A401" t="s">
        <v>1533</v>
      </c>
      <c r="B401">
        <v>6.4685210829577446</v>
      </c>
      <c r="C401">
        <v>0</v>
      </c>
    </row>
    <row r="402" spans="1:3" x14ac:dyDescent="0.3">
      <c r="A402" t="s">
        <v>1538</v>
      </c>
      <c r="B402">
        <v>5.2479515521805613</v>
      </c>
      <c r="C402">
        <v>0</v>
      </c>
    </row>
    <row r="403" spans="1:3" x14ac:dyDescent="0.3">
      <c r="A403" t="s">
        <v>1541</v>
      </c>
      <c r="B403">
        <v>6.3665315444204129</v>
      </c>
      <c r="C403">
        <v>0</v>
      </c>
    </row>
    <row r="404" spans="1:3" x14ac:dyDescent="0.3">
      <c r="A404" t="s">
        <v>1543</v>
      </c>
      <c r="B404">
        <v>7.2596373105057559</v>
      </c>
      <c r="C404">
        <v>1</v>
      </c>
    </row>
    <row r="405" spans="1:3" x14ac:dyDescent="0.3">
      <c r="A405" t="s">
        <v>1545</v>
      </c>
      <c r="B405">
        <v>4.1366771398795432</v>
      </c>
      <c r="C405">
        <v>0</v>
      </c>
    </row>
    <row r="406" spans="1:3" x14ac:dyDescent="0.3">
      <c r="A406" t="s">
        <v>1551</v>
      </c>
      <c r="B406">
        <v>4.3872161432802645</v>
      </c>
      <c r="C406">
        <v>0</v>
      </c>
    </row>
    <row r="407" spans="1:3" x14ac:dyDescent="0.3">
      <c r="A407" t="s">
        <v>1553</v>
      </c>
      <c r="B407">
        <v>3.9999999999999991</v>
      </c>
      <c r="C407">
        <v>0</v>
      </c>
    </row>
    <row r="408" spans="1:3" x14ac:dyDescent="0.3">
      <c r="A408" t="s">
        <v>1555</v>
      </c>
      <c r="B408">
        <v>4.2006594505464179</v>
      </c>
      <c r="C408">
        <v>0</v>
      </c>
    </row>
    <row r="409" spans="1:3" x14ac:dyDescent="0.3">
      <c r="A409" t="s">
        <v>1557</v>
      </c>
      <c r="B409">
        <v>4.3872161432802645</v>
      </c>
      <c r="C409">
        <v>0</v>
      </c>
    </row>
    <row r="410" spans="1:3" x14ac:dyDescent="0.3">
      <c r="A410" t="s">
        <v>1560</v>
      </c>
      <c r="B410">
        <v>6.3190167809700837</v>
      </c>
      <c r="C410">
        <v>0</v>
      </c>
    </row>
    <row r="411" spans="1:3" x14ac:dyDescent="0.3">
      <c r="A411" t="s">
        <v>1562</v>
      </c>
      <c r="B411">
        <v>7.0655015487564325</v>
      </c>
      <c r="C411">
        <v>1</v>
      </c>
    </row>
    <row r="412" spans="1:3" x14ac:dyDescent="0.3">
      <c r="A412" t="s">
        <v>1564</v>
      </c>
      <c r="B412">
        <v>9.4436974992327105</v>
      </c>
      <c r="C412">
        <v>1</v>
      </c>
    </row>
    <row r="413" spans="1:3" x14ac:dyDescent="0.3">
      <c r="A413" t="s">
        <v>1566</v>
      </c>
      <c r="B413">
        <v>5.9586073148417746</v>
      </c>
      <c r="C413">
        <v>0</v>
      </c>
    </row>
    <row r="414" spans="1:3" x14ac:dyDescent="0.3">
      <c r="A414" t="s">
        <v>1577</v>
      </c>
      <c r="B414">
        <v>7.2839966563651997</v>
      </c>
      <c r="C414">
        <v>1</v>
      </c>
    </row>
    <row r="415" spans="1:3" x14ac:dyDescent="0.3">
      <c r="A415" t="s">
        <v>1579</v>
      </c>
      <c r="B415">
        <v>5.2218487496163561</v>
      </c>
      <c r="C415">
        <v>0</v>
      </c>
    </row>
    <row r="416" spans="1:3" x14ac:dyDescent="0.3">
      <c r="A416" t="s">
        <v>1581</v>
      </c>
      <c r="B416">
        <v>5.8416375079047498</v>
      </c>
      <c r="C416">
        <v>0</v>
      </c>
    </row>
    <row r="417" spans="1:3" x14ac:dyDescent="0.3">
      <c r="A417" t="s">
        <v>1583</v>
      </c>
      <c r="B417">
        <v>7.3098039199714853</v>
      </c>
      <c r="C417">
        <v>1</v>
      </c>
    </row>
    <row r="418" spans="1:3" x14ac:dyDescent="0.3">
      <c r="A418" t="s">
        <v>1585</v>
      </c>
      <c r="B418">
        <v>5.0915149811213496</v>
      </c>
      <c r="C418">
        <v>0</v>
      </c>
    </row>
    <row r="419" spans="1:3" x14ac:dyDescent="0.3">
      <c r="A419" t="s">
        <v>1588</v>
      </c>
      <c r="B419">
        <v>6.5228787452803365</v>
      </c>
      <c r="C419">
        <v>0</v>
      </c>
    </row>
    <row r="420" spans="1:3" x14ac:dyDescent="0.3">
      <c r="A420" t="s">
        <v>1590</v>
      </c>
      <c r="B420">
        <v>4.9208187539523749</v>
      </c>
      <c r="C420">
        <v>0</v>
      </c>
    </row>
    <row r="421" spans="1:3" x14ac:dyDescent="0.3">
      <c r="A421" t="s">
        <v>1595</v>
      </c>
      <c r="B421">
        <v>3.3010299956639808</v>
      </c>
      <c r="C421">
        <v>0</v>
      </c>
    </row>
    <row r="422" spans="1:3" x14ac:dyDescent="0.3">
      <c r="A422" t="s">
        <v>1598</v>
      </c>
      <c r="B422">
        <v>4.6760760153875154</v>
      </c>
      <c r="C422">
        <v>0</v>
      </c>
    </row>
    <row r="423" spans="1:3" x14ac:dyDescent="0.3">
      <c r="A423" t="s">
        <v>1600</v>
      </c>
      <c r="B423">
        <v>3.3010299956639808</v>
      </c>
      <c r="C423">
        <v>0</v>
      </c>
    </row>
    <row r="424" spans="1:3" x14ac:dyDescent="0.3">
      <c r="A424" t="s">
        <v>1602</v>
      </c>
      <c r="B424">
        <v>5.6525901154095601</v>
      </c>
      <c r="C424">
        <v>0</v>
      </c>
    </row>
    <row r="425" spans="1:3" x14ac:dyDescent="0.3">
      <c r="A425" t="s">
        <v>1605</v>
      </c>
      <c r="B425">
        <v>6.0969100130080562</v>
      </c>
      <c r="C425">
        <v>0</v>
      </c>
    </row>
    <row r="426" spans="1:3" x14ac:dyDescent="0.3">
      <c r="A426" t="s">
        <v>1608</v>
      </c>
      <c r="B426">
        <v>6.3979400086720375</v>
      </c>
      <c r="C426">
        <v>0</v>
      </c>
    </row>
    <row r="427" spans="1:3" x14ac:dyDescent="0.3">
      <c r="A427" t="s">
        <v>1611</v>
      </c>
      <c r="B427">
        <v>6.0969100130080562</v>
      </c>
      <c r="C427">
        <v>0</v>
      </c>
    </row>
    <row r="428" spans="1:3" x14ac:dyDescent="0.3">
      <c r="A428" t="s">
        <v>1613</v>
      </c>
      <c r="B428">
        <v>4.4068913060494159</v>
      </c>
      <c r="C428">
        <v>0</v>
      </c>
    </row>
    <row r="429" spans="1:3" x14ac:dyDescent="0.3">
      <c r="A429" t="s">
        <v>1616</v>
      </c>
      <c r="B429">
        <v>4.0190830417499264</v>
      </c>
      <c r="C429">
        <v>0</v>
      </c>
    </row>
    <row r="430" spans="1:3" x14ac:dyDescent="0.3">
      <c r="A430" t="s">
        <v>1618</v>
      </c>
      <c r="B430">
        <v>4.7376595378677564</v>
      </c>
      <c r="C430">
        <v>0</v>
      </c>
    </row>
    <row r="431" spans="1:3" x14ac:dyDescent="0.3">
      <c r="A431" t="s">
        <v>1620</v>
      </c>
      <c r="B431">
        <v>5.0624064762516765</v>
      </c>
      <c r="C431">
        <v>0</v>
      </c>
    </row>
    <row r="432" spans="1:3" x14ac:dyDescent="0.3">
      <c r="A432" t="s">
        <v>1623</v>
      </c>
      <c r="B432">
        <v>6.9208187539523749</v>
      </c>
      <c r="C432">
        <v>0</v>
      </c>
    </row>
    <row r="433" spans="1:3" x14ac:dyDescent="0.3">
      <c r="A433" t="s">
        <v>1625</v>
      </c>
      <c r="B433">
        <v>7.1307682802690229</v>
      </c>
      <c r="C433">
        <v>1</v>
      </c>
    </row>
    <row r="434" spans="1:3" x14ac:dyDescent="0.3">
      <c r="A434" t="s">
        <v>1628</v>
      </c>
      <c r="B434">
        <v>2.7547610251682744</v>
      </c>
      <c r="C434">
        <v>0</v>
      </c>
    </row>
    <row r="435" spans="1:3" x14ac:dyDescent="0.3">
      <c r="A435" t="s">
        <v>1631</v>
      </c>
      <c r="B435">
        <v>2.8230686842642041</v>
      </c>
      <c r="C435">
        <v>0</v>
      </c>
    </row>
    <row r="436" spans="1:3" x14ac:dyDescent="0.3">
      <c r="A436" t="s">
        <v>1633</v>
      </c>
      <c r="B436">
        <v>3.7719088574352009</v>
      </c>
      <c r="C436">
        <v>0</v>
      </c>
    </row>
    <row r="437" spans="1:3" x14ac:dyDescent="0.3">
      <c r="A437" t="s">
        <v>1635</v>
      </c>
      <c r="B437">
        <v>5.6989700043360179</v>
      </c>
      <c r="C437">
        <v>0</v>
      </c>
    </row>
    <row r="438" spans="1:3" x14ac:dyDescent="0.3">
      <c r="A438" t="s">
        <v>1637</v>
      </c>
      <c r="B438">
        <v>5.4485500020271243</v>
      </c>
      <c r="C438">
        <v>0</v>
      </c>
    </row>
    <row r="439" spans="1:3" x14ac:dyDescent="0.3">
      <c r="A439" t="s">
        <v>1639</v>
      </c>
      <c r="B439">
        <v>6.8239087409443178</v>
      </c>
      <c r="C439">
        <v>0</v>
      </c>
    </row>
    <row r="440" spans="1:3" x14ac:dyDescent="0.3">
      <c r="A440" t="s">
        <v>1648</v>
      </c>
      <c r="B440">
        <v>5.8239087409443187</v>
      </c>
      <c r="C440">
        <v>0</v>
      </c>
    </row>
    <row r="441" spans="1:3" x14ac:dyDescent="0.3">
      <c r="A441" t="s">
        <v>1651</v>
      </c>
      <c r="B441">
        <v>5.8860566476931622</v>
      </c>
      <c r="C441">
        <v>0</v>
      </c>
    </row>
    <row r="442" spans="1:3" x14ac:dyDescent="0.3">
      <c r="A442" t="s">
        <v>1654</v>
      </c>
      <c r="B442">
        <v>5.8538719643217618</v>
      </c>
      <c r="C442">
        <v>0</v>
      </c>
    </row>
    <row r="443" spans="1:3" x14ac:dyDescent="0.3">
      <c r="A443" t="s">
        <v>1657</v>
      </c>
      <c r="B443">
        <v>5.9999999999999991</v>
      </c>
      <c r="C443">
        <v>0</v>
      </c>
    </row>
    <row r="444" spans="1:3" x14ac:dyDescent="0.3">
      <c r="A444" t="s">
        <v>1660</v>
      </c>
      <c r="B444">
        <v>5.9999999999999991</v>
      </c>
      <c r="C444">
        <v>0</v>
      </c>
    </row>
    <row r="445" spans="1:3" x14ac:dyDescent="0.3">
      <c r="A445" t="s">
        <v>1662</v>
      </c>
      <c r="B445">
        <v>6.200659450546417</v>
      </c>
      <c r="C445">
        <v>0</v>
      </c>
    </row>
    <row r="446" spans="1:3" x14ac:dyDescent="0.3">
      <c r="A446" t="s">
        <v>1665</v>
      </c>
      <c r="B446">
        <v>8.1611509092627443</v>
      </c>
      <c r="C446">
        <v>1</v>
      </c>
    </row>
    <row r="447" spans="1:3" x14ac:dyDescent="0.3">
      <c r="A447" t="s">
        <v>1667</v>
      </c>
      <c r="B447">
        <v>8.0268721464003008</v>
      </c>
      <c r="C447">
        <v>1</v>
      </c>
    </row>
    <row r="448" spans="1:3" x14ac:dyDescent="0.3">
      <c r="A448" t="s">
        <v>1669</v>
      </c>
      <c r="B448">
        <v>9.2218487496163561</v>
      </c>
      <c r="C448">
        <v>1</v>
      </c>
    </row>
    <row r="449" spans="1:3" x14ac:dyDescent="0.3">
      <c r="A449" t="s">
        <v>1671</v>
      </c>
      <c r="B449">
        <v>9.0969100130080545</v>
      </c>
      <c r="C449">
        <v>1</v>
      </c>
    </row>
    <row r="450" spans="1:3" x14ac:dyDescent="0.3">
      <c r="A450" t="s">
        <v>1673</v>
      </c>
      <c r="B450">
        <v>9.6777807052660787</v>
      </c>
      <c r="C450">
        <v>1</v>
      </c>
    </row>
    <row r="451" spans="1:3" x14ac:dyDescent="0.3">
      <c r="A451" t="s">
        <v>1676</v>
      </c>
      <c r="B451">
        <v>5.795880017344075</v>
      </c>
      <c r="C451">
        <v>0</v>
      </c>
    </row>
    <row r="452" spans="1:3" x14ac:dyDescent="0.3">
      <c r="A452" t="s">
        <v>1678</v>
      </c>
      <c r="B452">
        <v>4.6989700043360187</v>
      </c>
      <c r="C452">
        <v>0</v>
      </c>
    </row>
    <row r="453" spans="1:3" x14ac:dyDescent="0.3">
      <c r="A453" t="s">
        <v>1681</v>
      </c>
      <c r="B453">
        <v>4.7212463990471703</v>
      </c>
      <c r="C453">
        <v>0</v>
      </c>
    </row>
    <row r="454" spans="1:3" x14ac:dyDescent="0.3">
      <c r="A454" t="s">
        <v>1683</v>
      </c>
      <c r="B454">
        <v>6.2709861101067492</v>
      </c>
      <c r="C454">
        <v>0</v>
      </c>
    </row>
    <row r="455" spans="1:3" x14ac:dyDescent="0.3">
      <c r="A455" t="s">
        <v>1686</v>
      </c>
      <c r="B455">
        <v>6.6989700043360187</v>
      </c>
      <c r="C455">
        <v>0</v>
      </c>
    </row>
    <row r="456" spans="1:3" x14ac:dyDescent="0.3">
      <c r="A456" t="s">
        <v>1688</v>
      </c>
      <c r="B456">
        <v>5.5620812844111702</v>
      </c>
      <c r="C456">
        <v>0</v>
      </c>
    </row>
    <row r="457" spans="1:3" x14ac:dyDescent="0.3">
      <c r="A457" t="s">
        <v>1690</v>
      </c>
      <c r="B457">
        <v>5.795880017344075</v>
      </c>
      <c r="C457">
        <v>0</v>
      </c>
    </row>
    <row r="458" spans="1:3" x14ac:dyDescent="0.3">
      <c r="A458" t="s">
        <v>1693</v>
      </c>
      <c r="B458">
        <v>3.4186658130534751</v>
      </c>
      <c r="C458">
        <v>0</v>
      </c>
    </row>
    <row r="459" spans="1:3" x14ac:dyDescent="0.3">
      <c r="A459" t="s">
        <v>1700</v>
      </c>
      <c r="B459">
        <v>6.7212463990471703</v>
      </c>
      <c r="C459">
        <v>0</v>
      </c>
    </row>
    <row r="460" spans="1:3" x14ac:dyDescent="0.3">
      <c r="A460" t="s">
        <v>1703</v>
      </c>
      <c r="B460">
        <v>6.3872161432802645</v>
      </c>
      <c r="C460">
        <v>0</v>
      </c>
    </row>
    <row r="461" spans="1:3" x14ac:dyDescent="0.3">
      <c r="A461" t="s">
        <v>1706</v>
      </c>
      <c r="B461">
        <v>7.2757241303992108</v>
      </c>
      <c r="C461">
        <v>1</v>
      </c>
    </row>
    <row r="462" spans="1:3" x14ac:dyDescent="0.3">
      <c r="A462" t="s">
        <v>1708</v>
      </c>
      <c r="B462">
        <v>6.8885694482340192</v>
      </c>
      <c r="C462">
        <v>0</v>
      </c>
    </row>
    <row r="463" spans="1:3" x14ac:dyDescent="0.3">
      <c r="A463" t="s">
        <v>1710</v>
      </c>
      <c r="B463">
        <v>8.3526170298853781</v>
      </c>
      <c r="C463">
        <v>1</v>
      </c>
    </row>
    <row r="464" spans="1:3" x14ac:dyDescent="0.3">
      <c r="A464" t="s">
        <v>1713</v>
      </c>
      <c r="B464">
        <v>6.5228787452803365</v>
      </c>
      <c r="C464">
        <v>0</v>
      </c>
    </row>
    <row r="465" spans="1:3" x14ac:dyDescent="0.3">
      <c r="A465" t="s">
        <v>1715</v>
      </c>
      <c r="B465">
        <v>4.6197887582883936</v>
      </c>
      <c r="C465">
        <v>0</v>
      </c>
    </row>
    <row r="466" spans="1:3" x14ac:dyDescent="0.3">
      <c r="A466" t="s">
        <v>1717</v>
      </c>
      <c r="B466">
        <v>6.3665315444204129</v>
      </c>
      <c r="C466">
        <v>0</v>
      </c>
    </row>
    <row r="467" spans="1:3" x14ac:dyDescent="0.3">
      <c r="A467" t="s">
        <v>1719</v>
      </c>
      <c r="B467">
        <v>3.7695510786217254</v>
      </c>
      <c r="C467">
        <v>0</v>
      </c>
    </row>
    <row r="468" spans="1:3" x14ac:dyDescent="0.3">
      <c r="A468" t="s">
        <v>1721</v>
      </c>
      <c r="B468">
        <v>6.9208187539523749</v>
      </c>
      <c r="C468">
        <v>0</v>
      </c>
    </row>
    <row r="469" spans="1:3" x14ac:dyDescent="0.3">
      <c r="A469" t="s">
        <v>1725</v>
      </c>
      <c r="B469">
        <v>5.6777807052660796</v>
      </c>
      <c r="C469">
        <v>0</v>
      </c>
    </row>
    <row r="470" spans="1:3" x14ac:dyDescent="0.3">
      <c r="A470" t="s">
        <v>1735</v>
      </c>
      <c r="B470">
        <v>4.4559319556497243</v>
      </c>
      <c r="C470">
        <v>0</v>
      </c>
    </row>
    <row r="471" spans="1:3" x14ac:dyDescent="0.3">
      <c r="A471" t="s">
        <v>1737</v>
      </c>
      <c r="B471">
        <v>7.3979400086720375</v>
      </c>
      <c r="C471">
        <v>1</v>
      </c>
    </row>
    <row r="472" spans="1:3" x14ac:dyDescent="0.3">
      <c r="A472" t="s">
        <v>1739</v>
      </c>
      <c r="B472">
        <v>7.0655015487564325</v>
      </c>
      <c r="C472">
        <v>1</v>
      </c>
    </row>
    <row r="473" spans="1:3" x14ac:dyDescent="0.3">
      <c r="A473" t="s">
        <v>1742</v>
      </c>
      <c r="B473">
        <v>5.6020599913279616</v>
      </c>
      <c r="C473">
        <v>0</v>
      </c>
    </row>
    <row r="474" spans="1:3" x14ac:dyDescent="0.3">
      <c r="A474" t="s">
        <v>1745</v>
      </c>
      <c r="B474">
        <v>4.6989700043360187</v>
      </c>
      <c r="C474">
        <v>0</v>
      </c>
    </row>
    <row r="475" spans="1:3" x14ac:dyDescent="0.3">
      <c r="A475" t="s">
        <v>1748</v>
      </c>
      <c r="B475">
        <v>6.3010299956639804</v>
      </c>
      <c r="C475">
        <v>0</v>
      </c>
    </row>
    <row r="476" spans="1:3" x14ac:dyDescent="0.3">
      <c r="A476" t="s">
        <v>1751</v>
      </c>
      <c r="B476">
        <v>6.1549019599857431</v>
      </c>
      <c r="C476">
        <v>0</v>
      </c>
    </row>
    <row r="477" spans="1:3" x14ac:dyDescent="0.3">
      <c r="A477" t="s">
        <v>1754</v>
      </c>
      <c r="B477">
        <v>4.8860566476931631</v>
      </c>
      <c r="C477">
        <v>0</v>
      </c>
    </row>
    <row r="478" spans="1:3" x14ac:dyDescent="0.3">
      <c r="A478" t="s">
        <v>1756</v>
      </c>
      <c r="B478">
        <v>5.1135092748275177</v>
      </c>
      <c r="C478">
        <v>0</v>
      </c>
    </row>
    <row r="479" spans="1:3" x14ac:dyDescent="0.3">
      <c r="A479" t="s">
        <v>1758</v>
      </c>
      <c r="B479">
        <v>3.9208187539523749</v>
      </c>
      <c r="C479">
        <v>0</v>
      </c>
    </row>
    <row r="480" spans="1:3" x14ac:dyDescent="0.3">
      <c r="A480" t="s">
        <v>1761</v>
      </c>
      <c r="B480">
        <v>5.795880017344075</v>
      </c>
      <c r="C480">
        <v>0</v>
      </c>
    </row>
    <row r="481" spans="1:3" x14ac:dyDescent="0.3">
      <c r="A481" t="s">
        <v>1765</v>
      </c>
      <c r="B481">
        <v>2.9999999999999996</v>
      </c>
      <c r="C481">
        <v>0</v>
      </c>
    </row>
    <row r="482" spans="1:3" x14ac:dyDescent="0.3">
      <c r="A482" t="s">
        <v>1768</v>
      </c>
      <c r="B482">
        <v>7.5850266520291818</v>
      </c>
      <c r="C482">
        <v>1</v>
      </c>
    </row>
    <row r="483" spans="1:3" x14ac:dyDescent="0.3">
      <c r="A483" t="s">
        <v>1770</v>
      </c>
      <c r="B483">
        <v>3.5686362358410122</v>
      </c>
      <c r="C483">
        <v>0</v>
      </c>
    </row>
    <row r="484" spans="1:3" x14ac:dyDescent="0.3">
      <c r="A484" t="s">
        <v>1772</v>
      </c>
      <c r="B484">
        <v>6.7695510786217259</v>
      </c>
      <c r="C484">
        <v>0</v>
      </c>
    </row>
    <row r="485" spans="1:3" x14ac:dyDescent="0.3">
      <c r="A485" t="s">
        <v>1775</v>
      </c>
      <c r="B485">
        <v>5.8794260687941495</v>
      </c>
      <c r="C485">
        <v>0</v>
      </c>
    </row>
    <row r="486" spans="1:3" x14ac:dyDescent="0.3">
      <c r="A486" t="s">
        <v>1777</v>
      </c>
      <c r="B486">
        <v>6.3372421683184257</v>
      </c>
      <c r="C486">
        <v>0</v>
      </c>
    </row>
    <row r="487" spans="1:3" x14ac:dyDescent="0.3">
      <c r="A487" t="s">
        <v>1780</v>
      </c>
      <c r="B487">
        <v>5.6197887582883927</v>
      </c>
      <c r="C487">
        <v>0</v>
      </c>
    </row>
    <row r="488" spans="1:3" x14ac:dyDescent="0.3">
      <c r="A488" t="s">
        <v>1783</v>
      </c>
      <c r="B488">
        <v>5.9999999999999991</v>
      </c>
      <c r="C488">
        <v>0</v>
      </c>
    </row>
    <row r="489" spans="1:3" x14ac:dyDescent="0.3">
      <c r="A489" t="s">
        <v>1786</v>
      </c>
      <c r="B489">
        <v>6.3010299956639804</v>
      </c>
      <c r="C489">
        <v>0</v>
      </c>
    </row>
    <row r="490" spans="1:3" x14ac:dyDescent="0.3">
      <c r="A490" t="s">
        <v>1789</v>
      </c>
      <c r="B490">
        <v>6.0969100130080562</v>
      </c>
      <c r="C490">
        <v>0</v>
      </c>
    </row>
    <row r="491" spans="1:3" x14ac:dyDescent="0.3">
      <c r="A491" t="s">
        <v>1792</v>
      </c>
      <c r="B491">
        <v>6.0969100130080562</v>
      </c>
      <c r="C491">
        <v>0</v>
      </c>
    </row>
    <row r="492" spans="1:3" x14ac:dyDescent="0.3">
      <c r="A492" t="s">
        <v>1795</v>
      </c>
      <c r="B492">
        <v>5.3010299956639813</v>
      </c>
      <c r="C492">
        <v>0</v>
      </c>
    </row>
    <row r="493" spans="1:3" x14ac:dyDescent="0.3">
      <c r="A493" t="s">
        <v>1797</v>
      </c>
      <c r="B493">
        <v>7.769551078621725</v>
      </c>
      <c r="C493">
        <v>1</v>
      </c>
    </row>
    <row r="494" spans="1:3" x14ac:dyDescent="0.3">
      <c r="A494" t="s">
        <v>1800</v>
      </c>
      <c r="B494">
        <v>6.3010299956639804</v>
      </c>
      <c r="C494">
        <v>0</v>
      </c>
    </row>
    <row r="495" spans="1:3" x14ac:dyDescent="0.3">
      <c r="A495" t="s">
        <v>1803</v>
      </c>
      <c r="B495">
        <v>5.0315170514460643</v>
      </c>
      <c r="C495">
        <v>0</v>
      </c>
    </row>
    <row r="496" spans="1:3" x14ac:dyDescent="0.3">
      <c r="A496" t="s">
        <v>1806</v>
      </c>
      <c r="B496">
        <v>5.4948500216800937</v>
      </c>
      <c r="C496">
        <v>0</v>
      </c>
    </row>
    <row r="497" spans="1:3" x14ac:dyDescent="0.3">
      <c r="A497" t="s">
        <v>1809</v>
      </c>
      <c r="B497">
        <v>4.1870866433571443</v>
      </c>
      <c r="C497">
        <v>0</v>
      </c>
    </row>
    <row r="498" spans="1:3" x14ac:dyDescent="0.3">
      <c r="A498" t="s">
        <v>1812</v>
      </c>
      <c r="B498">
        <v>5.3872161432802637</v>
      </c>
      <c r="C498">
        <v>0</v>
      </c>
    </row>
    <row r="499" spans="1:3" x14ac:dyDescent="0.3">
      <c r="A499" t="s">
        <v>1819</v>
      </c>
      <c r="B499">
        <v>3.8153085691824007</v>
      </c>
      <c r="C499">
        <v>0</v>
      </c>
    </row>
    <row r="500" spans="1:3" x14ac:dyDescent="0.3">
      <c r="A500" t="s">
        <v>1822</v>
      </c>
      <c r="B500">
        <v>6.8538719643217609</v>
      </c>
      <c r="C500">
        <v>0</v>
      </c>
    </row>
    <row r="501" spans="1:3" x14ac:dyDescent="0.3">
      <c r="A501" t="s">
        <v>1824</v>
      </c>
      <c r="B501">
        <v>7.7212463990471711</v>
      </c>
      <c r="C501">
        <v>1</v>
      </c>
    </row>
    <row r="502" spans="1:3" x14ac:dyDescent="0.3">
      <c r="A502" t="s">
        <v>1826</v>
      </c>
      <c r="B502">
        <v>5.6126101736612704</v>
      </c>
      <c r="C502">
        <v>0</v>
      </c>
    </row>
    <row r="503" spans="1:3" x14ac:dyDescent="0.3">
      <c r="A503" t="s">
        <v>1828</v>
      </c>
      <c r="B503">
        <v>7.5376020021010426</v>
      </c>
      <c r="C503">
        <v>1</v>
      </c>
    </row>
    <row r="504" spans="1:3" x14ac:dyDescent="0.3">
      <c r="A504" t="s">
        <v>1831</v>
      </c>
      <c r="B504">
        <v>5.7212463990471711</v>
      </c>
      <c r="C504">
        <v>0</v>
      </c>
    </row>
    <row r="505" spans="1:3" x14ac:dyDescent="0.3">
      <c r="A505" t="s">
        <v>1833</v>
      </c>
      <c r="B505">
        <v>7.6989700043360179</v>
      </c>
      <c r="C505">
        <v>1</v>
      </c>
    </row>
    <row r="506" spans="1:3" x14ac:dyDescent="0.3">
      <c r="A506" t="s">
        <v>1835</v>
      </c>
      <c r="B506">
        <v>4.7958800173440741</v>
      </c>
      <c r="C506">
        <v>0</v>
      </c>
    </row>
    <row r="507" spans="1:3" x14ac:dyDescent="0.3">
      <c r="A507" t="s">
        <v>1837</v>
      </c>
      <c r="B507">
        <v>8.5751183633689312</v>
      </c>
      <c r="C507">
        <v>1</v>
      </c>
    </row>
    <row r="508" spans="1:3" x14ac:dyDescent="0.3">
      <c r="A508" t="s">
        <v>1839</v>
      </c>
      <c r="B508">
        <v>7.1487416512809245</v>
      </c>
      <c r="C508">
        <v>1</v>
      </c>
    </row>
    <row r="509" spans="1:3" x14ac:dyDescent="0.3">
      <c r="A509" t="s">
        <v>1845</v>
      </c>
      <c r="B509">
        <v>7.346787486224656</v>
      </c>
      <c r="C509">
        <v>1</v>
      </c>
    </row>
    <row r="510" spans="1:3" x14ac:dyDescent="0.3">
      <c r="A510" t="s">
        <v>1848</v>
      </c>
      <c r="B510">
        <v>2.9999999999999996</v>
      </c>
      <c r="C510">
        <v>0</v>
      </c>
    </row>
    <row r="511" spans="1:3" x14ac:dyDescent="0.3">
      <c r="A511" t="s">
        <v>1852</v>
      </c>
      <c r="B511">
        <v>7.1135092748275168</v>
      </c>
      <c r="C511">
        <v>1</v>
      </c>
    </row>
    <row r="512" spans="1:3" x14ac:dyDescent="0.3">
      <c r="A512" t="s">
        <v>1854</v>
      </c>
      <c r="B512">
        <v>6.9616580663463923</v>
      </c>
      <c r="C512">
        <v>0</v>
      </c>
    </row>
    <row r="513" spans="1:3" x14ac:dyDescent="0.3">
      <c r="A513" t="s">
        <v>1856</v>
      </c>
      <c r="B513">
        <v>9.0268721464003008</v>
      </c>
      <c r="C513">
        <v>1</v>
      </c>
    </row>
    <row r="514" spans="1:3" x14ac:dyDescent="0.3">
      <c r="A514" t="s">
        <v>1858</v>
      </c>
      <c r="B514">
        <v>9.2839966563651988</v>
      </c>
      <c r="C514">
        <v>1</v>
      </c>
    </row>
    <row r="515" spans="1:3" x14ac:dyDescent="0.3">
      <c r="A515" t="s">
        <v>1860</v>
      </c>
      <c r="B515">
        <v>7.3979400086720375</v>
      </c>
      <c r="C515">
        <v>1</v>
      </c>
    </row>
    <row r="516" spans="1:3" x14ac:dyDescent="0.3">
      <c r="A516" t="s">
        <v>1866</v>
      </c>
      <c r="B516">
        <v>5.6020599913279616</v>
      </c>
      <c r="C516">
        <v>0</v>
      </c>
    </row>
    <row r="517" spans="1:3" x14ac:dyDescent="0.3">
      <c r="A517" t="s">
        <v>1868</v>
      </c>
      <c r="B517">
        <v>5.3979400086720366</v>
      </c>
      <c r="C517">
        <v>0</v>
      </c>
    </row>
    <row r="518" spans="1:3" x14ac:dyDescent="0.3">
      <c r="A518" t="s">
        <v>1871</v>
      </c>
      <c r="B518">
        <v>5.259637310505755</v>
      </c>
      <c r="C518">
        <v>0</v>
      </c>
    </row>
    <row r="519" spans="1:3" x14ac:dyDescent="0.3">
      <c r="A519" t="s">
        <v>1875</v>
      </c>
      <c r="B519">
        <v>5.481486060122112</v>
      </c>
      <c r="C519">
        <v>0</v>
      </c>
    </row>
    <row r="520" spans="1:3" x14ac:dyDescent="0.3">
      <c r="A520" t="s">
        <v>1878</v>
      </c>
      <c r="B520">
        <v>5.9999999999999991</v>
      </c>
      <c r="C520">
        <v>0</v>
      </c>
    </row>
    <row r="521" spans="1:3" x14ac:dyDescent="0.3">
      <c r="A521" t="s">
        <v>1881</v>
      </c>
      <c r="B521">
        <v>6.0969100130080562</v>
      </c>
      <c r="C521">
        <v>0</v>
      </c>
    </row>
    <row r="522" spans="1:3" x14ac:dyDescent="0.3">
      <c r="A522" t="s">
        <v>1884</v>
      </c>
      <c r="B522">
        <v>5.1804560644581308</v>
      </c>
      <c r="C522">
        <v>0</v>
      </c>
    </row>
    <row r="523" spans="1:3" x14ac:dyDescent="0.3">
      <c r="A523" t="s">
        <v>1887</v>
      </c>
      <c r="B523">
        <v>6.1549019599857431</v>
      </c>
      <c r="C523">
        <v>0</v>
      </c>
    </row>
    <row r="524" spans="1:3" x14ac:dyDescent="0.3">
      <c r="A524" t="s">
        <v>1890</v>
      </c>
      <c r="B524">
        <v>6.1549019599857431</v>
      </c>
      <c r="C524">
        <v>0</v>
      </c>
    </row>
    <row r="525" spans="1:3" x14ac:dyDescent="0.3">
      <c r="A525" t="s">
        <v>1893</v>
      </c>
      <c r="B525">
        <v>5.6989700043360179</v>
      </c>
      <c r="C525">
        <v>0</v>
      </c>
    </row>
    <row r="526" spans="1:3" x14ac:dyDescent="0.3">
      <c r="A526" t="s">
        <v>1895</v>
      </c>
      <c r="B526">
        <v>6.5528419686577797</v>
      </c>
      <c r="C526">
        <v>0</v>
      </c>
    </row>
    <row r="527" spans="1:3" x14ac:dyDescent="0.3">
      <c r="A527" t="s">
        <v>1897</v>
      </c>
      <c r="B527">
        <v>7.0362121726544435</v>
      </c>
      <c r="C527">
        <v>1</v>
      </c>
    </row>
    <row r="528" spans="1:3" x14ac:dyDescent="0.3">
      <c r="A528" t="s">
        <v>1899</v>
      </c>
      <c r="B528">
        <v>6.2218487496163553</v>
      </c>
      <c r="C528">
        <v>0</v>
      </c>
    </row>
    <row r="529" spans="1:3" x14ac:dyDescent="0.3">
      <c r="A529" t="s">
        <v>1902</v>
      </c>
      <c r="B529">
        <v>8.3872161432802628</v>
      </c>
      <c r="C529">
        <v>1</v>
      </c>
    </row>
    <row r="530" spans="1:3" x14ac:dyDescent="0.3">
      <c r="A530" t="s">
        <v>1906</v>
      </c>
      <c r="B530">
        <v>5.124938736608299</v>
      </c>
      <c r="C530">
        <v>0</v>
      </c>
    </row>
    <row r="531" spans="1:3" x14ac:dyDescent="0.3">
      <c r="A531" t="s">
        <v>1908</v>
      </c>
      <c r="B531">
        <v>9.0222763947111524</v>
      </c>
      <c r="C531">
        <v>1</v>
      </c>
    </row>
    <row r="532" spans="1:3" x14ac:dyDescent="0.3">
      <c r="A532" t="s">
        <v>1910</v>
      </c>
      <c r="B532">
        <v>5.3979400086720366</v>
      </c>
      <c r="C532">
        <v>0</v>
      </c>
    </row>
    <row r="533" spans="1:3" x14ac:dyDescent="0.3">
      <c r="A533" t="s">
        <v>1912</v>
      </c>
      <c r="B533">
        <v>7.9208187539523749</v>
      </c>
      <c r="C533">
        <v>1</v>
      </c>
    </row>
    <row r="534" spans="1:3" x14ac:dyDescent="0.3">
      <c r="A534" t="s">
        <v>1914</v>
      </c>
      <c r="B534">
        <v>5.9999999999999991</v>
      </c>
      <c r="C534">
        <v>0</v>
      </c>
    </row>
    <row r="535" spans="1:3" x14ac:dyDescent="0.3">
      <c r="A535" t="s">
        <v>1917</v>
      </c>
      <c r="B535">
        <v>8</v>
      </c>
      <c r="C535">
        <v>1</v>
      </c>
    </row>
    <row r="536" spans="1:3" x14ac:dyDescent="0.3">
      <c r="A536" t="s">
        <v>1919</v>
      </c>
      <c r="B536">
        <v>8</v>
      </c>
      <c r="C536">
        <v>1</v>
      </c>
    </row>
    <row r="537" spans="1:3" x14ac:dyDescent="0.3">
      <c r="A537" t="s">
        <v>1921</v>
      </c>
      <c r="B537">
        <v>8</v>
      </c>
      <c r="C537">
        <v>1</v>
      </c>
    </row>
    <row r="538" spans="1:3" x14ac:dyDescent="0.3">
      <c r="A538" t="s">
        <v>1924</v>
      </c>
      <c r="B538">
        <v>8</v>
      </c>
      <c r="C538">
        <v>1</v>
      </c>
    </row>
    <row r="539" spans="1:3" x14ac:dyDescent="0.3">
      <c r="A539" t="s">
        <v>1926</v>
      </c>
      <c r="B539">
        <v>4.1549019599857431</v>
      </c>
      <c r="C539">
        <v>0</v>
      </c>
    </row>
    <row r="540" spans="1:3" x14ac:dyDescent="0.3">
      <c r="A540" t="s">
        <v>1928</v>
      </c>
      <c r="B540">
        <v>6.2596373105057559</v>
      </c>
      <c r="C540">
        <v>0</v>
      </c>
    </row>
    <row r="541" spans="1:3" x14ac:dyDescent="0.3">
      <c r="A541" t="s">
        <v>1930</v>
      </c>
      <c r="B541">
        <v>6.1249387366082999</v>
      </c>
      <c r="C541">
        <v>0</v>
      </c>
    </row>
    <row r="542" spans="1:3" x14ac:dyDescent="0.3">
      <c r="A542" t="s">
        <v>1932</v>
      </c>
      <c r="B542">
        <v>4.6197887582883936</v>
      </c>
      <c r="C542">
        <v>0</v>
      </c>
    </row>
    <row r="543" spans="1:3" x14ac:dyDescent="0.3">
      <c r="A543" t="s">
        <v>1934</v>
      </c>
      <c r="B543">
        <v>5.9999999999999991</v>
      </c>
      <c r="C543">
        <v>0</v>
      </c>
    </row>
    <row r="544" spans="1:3" x14ac:dyDescent="0.3">
      <c r="A544" t="s">
        <v>1937</v>
      </c>
      <c r="B544">
        <v>7.6197887582883927</v>
      </c>
      <c r="C544">
        <v>1</v>
      </c>
    </row>
    <row r="545" spans="1:3" x14ac:dyDescent="0.3">
      <c r="A545" t="s">
        <v>1940</v>
      </c>
      <c r="B545">
        <v>6.4948500216800928</v>
      </c>
      <c r="C545">
        <v>0</v>
      </c>
    </row>
    <row r="546" spans="1:3" x14ac:dyDescent="0.3">
      <c r="A546" t="s">
        <v>1943</v>
      </c>
      <c r="B546">
        <v>7.3372421683184257</v>
      </c>
      <c r="C546">
        <v>1</v>
      </c>
    </row>
    <row r="547" spans="1:3" x14ac:dyDescent="0.3">
      <c r="A547" t="s">
        <v>1946</v>
      </c>
      <c r="B547">
        <v>8</v>
      </c>
      <c r="C547">
        <v>1</v>
      </c>
    </row>
    <row r="548" spans="1:3" x14ac:dyDescent="0.3">
      <c r="A548" t="s">
        <v>1951</v>
      </c>
      <c r="B548">
        <v>8</v>
      </c>
      <c r="C548">
        <v>1</v>
      </c>
    </row>
    <row r="549" spans="1:3" x14ac:dyDescent="0.3">
      <c r="A549" t="s">
        <v>1955</v>
      </c>
      <c r="B549">
        <v>2.9999999999999996</v>
      </c>
      <c r="C549">
        <v>0</v>
      </c>
    </row>
    <row r="550" spans="1:3" x14ac:dyDescent="0.3">
      <c r="A550" t="s">
        <v>1957</v>
      </c>
      <c r="B550">
        <v>9.27572413039921</v>
      </c>
      <c r="C550">
        <v>1</v>
      </c>
    </row>
    <row r="551" spans="1:3" x14ac:dyDescent="0.3">
      <c r="A551" t="s">
        <v>1959</v>
      </c>
      <c r="B551">
        <v>7.0315170514460634</v>
      </c>
      <c r="C551">
        <v>1</v>
      </c>
    </row>
    <row r="552" spans="1:3" x14ac:dyDescent="0.3">
      <c r="A552" t="s">
        <v>1961</v>
      </c>
      <c r="B552">
        <v>4.6020599913279616</v>
      </c>
      <c r="C552">
        <v>0</v>
      </c>
    </row>
    <row r="553" spans="1:3" x14ac:dyDescent="0.3">
      <c r="A553" t="s">
        <v>1963</v>
      </c>
      <c r="B553">
        <v>4.6777807052660805</v>
      </c>
      <c r="C553">
        <v>0</v>
      </c>
    </row>
    <row r="554" spans="1:3" x14ac:dyDescent="0.3">
      <c r="A554" t="s">
        <v>1965</v>
      </c>
      <c r="B554">
        <v>6.0506099933550868</v>
      </c>
      <c r="C554">
        <v>0</v>
      </c>
    </row>
    <row r="555" spans="1:3" x14ac:dyDescent="0.3">
      <c r="A555" t="s">
        <v>1968</v>
      </c>
      <c r="B555">
        <v>5</v>
      </c>
      <c r="C555">
        <v>0</v>
      </c>
    </row>
    <row r="556" spans="1:3" x14ac:dyDescent="0.3">
      <c r="A556" t="s">
        <v>1972</v>
      </c>
      <c r="B556">
        <v>5.197226274708024</v>
      </c>
      <c r="C556">
        <v>0</v>
      </c>
    </row>
    <row r="557" spans="1:3" x14ac:dyDescent="0.3">
      <c r="A557" t="s">
        <v>1975</v>
      </c>
      <c r="B557">
        <v>6.7586207907838141</v>
      </c>
      <c r="C557">
        <v>0</v>
      </c>
    </row>
    <row r="558" spans="1:3" x14ac:dyDescent="0.3">
      <c r="A558" t="s">
        <v>1977</v>
      </c>
      <c r="B558">
        <v>6.8538719643217609</v>
      </c>
      <c r="C558">
        <v>0</v>
      </c>
    </row>
    <row r="559" spans="1:3" x14ac:dyDescent="0.3">
      <c r="A559" t="s">
        <v>1979</v>
      </c>
      <c r="B559">
        <v>8.7166987712964499</v>
      </c>
      <c r="C559">
        <v>1</v>
      </c>
    </row>
    <row r="560" spans="1:3" x14ac:dyDescent="0.3">
      <c r="A560" t="s">
        <v>1981</v>
      </c>
      <c r="B560">
        <v>5.1023729087095582</v>
      </c>
      <c r="C560">
        <v>0</v>
      </c>
    </row>
    <row r="561" spans="1:3" x14ac:dyDescent="0.3">
      <c r="A561" t="s">
        <v>1984</v>
      </c>
      <c r="B561">
        <v>5.5686362358410122</v>
      </c>
      <c r="C561">
        <v>0</v>
      </c>
    </row>
    <row r="562" spans="1:3" x14ac:dyDescent="0.3">
      <c r="A562" t="s">
        <v>1987</v>
      </c>
      <c r="B562">
        <v>6.3010299956639804</v>
      </c>
      <c r="C562">
        <v>0</v>
      </c>
    </row>
    <row r="563" spans="1:3" x14ac:dyDescent="0.3">
      <c r="A563" t="s">
        <v>1989</v>
      </c>
      <c r="B563">
        <v>7.7212463990471711</v>
      </c>
      <c r="C563">
        <v>1</v>
      </c>
    </row>
    <row r="564" spans="1:3" x14ac:dyDescent="0.3">
      <c r="A564" t="s">
        <v>1992</v>
      </c>
      <c r="B564">
        <v>8</v>
      </c>
      <c r="C564">
        <v>1</v>
      </c>
    </row>
    <row r="565" spans="1:3" x14ac:dyDescent="0.3">
      <c r="A565" t="s">
        <v>1995</v>
      </c>
      <c r="B565">
        <v>6.3979400086720375</v>
      </c>
      <c r="C565">
        <v>0</v>
      </c>
    </row>
    <row r="566" spans="1:3" x14ac:dyDescent="0.3">
      <c r="A566" t="s">
        <v>1998</v>
      </c>
      <c r="B566">
        <v>3.4089353929735</v>
      </c>
      <c r="C566">
        <v>0</v>
      </c>
    </row>
    <row r="567" spans="1:3" x14ac:dyDescent="0.3">
      <c r="A567" t="s">
        <v>2001</v>
      </c>
      <c r="B567">
        <v>5.9999999999999991</v>
      </c>
      <c r="C567">
        <v>0</v>
      </c>
    </row>
    <row r="568" spans="1:3" x14ac:dyDescent="0.3">
      <c r="A568" t="s">
        <v>2003</v>
      </c>
      <c r="B568">
        <v>8.3187587626244106</v>
      </c>
      <c r="C568">
        <v>1</v>
      </c>
    </row>
    <row r="569" spans="1:3" x14ac:dyDescent="0.3">
      <c r="A569" t="s">
        <v>2005</v>
      </c>
      <c r="B569">
        <v>5.1549019599857422</v>
      </c>
      <c r="C569">
        <v>0</v>
      </c>
    </row>
    <row r="570" spans="1:3" x14ac:dyDescent="0.3">
      <c r="A570" t="s">
        <v>2008</v>
      </c>
      <c r="B570">
        <v>6.9586073148417746</v>
      </c>
      <c r="C570">
        <v>0</v>
      </c>
    </row>
    <row r="571" spans="1:3" x14ac:dyDescent="0.3">
      <c r="A571" t="s">
        <v>2011</v>
      </c>
      <c r="B571">
        <v>4.3010299956639804</v>
      </c>
      <c r="C571">
        <v>0</v>
      </c>
    </row>
    <row r="572" spans="1:3" x14ac:dyDescent="0.3">
      <c r="A572" t="s">
        <v>2014</v>
      </c>
      <c r="B572">
        <v>5.2020403562628035</v>
      </c>
      <c r="C572">
        <v>0</v>
      </c>
    </row>
    <row r="573" spans="1:3" x14ac:dyDescent="0.3">
      <c r="A573" t="s">
        <v>2017</v>
      </c>
      <c r="B573">
        <v>5.920818753952374</v>
      </c>
      <c r="C573">
        <v>0</v>
      </c>
    </row>
    <row r="574" spans="1:3" x14ac:dyDescent="0.3">
      <c r="A574" t="s">
        <v>2026</v>
      </c>
      <c r="B574">
        <v>5.7212463990471711</v>
      </c>
      <c r="C574">
        <v>0</v>
      </c>
    </row>
    <row r="575" spans="1:3" x14ac:dyDescent="0.3">
      <c r="A575" t="s">
        <v>2029</v>
      </c>
      <c r="B575">
        <v>5.5376020021010435</v>
      </c>
      <c r="C575">
        <v>0</v>
      </c>
    </row>
    <row r="576" spans="1:3" x14ac:dyDescent="0.3">
      <c r="A576" t="s">
        <v>2032</v>
      </c>
      <c r="B576">
        <v>6.2218487496163553</v>
      </c>
      <c r="C576">
        <v>0</v>
      </c>
    </row>
    <row r="577" spans="1:3" x14ac:dyDescent="0.3">
      <c r="A577" t="s">
        <v>2035</v>
      </c>
      <c r="B577">
        <v>5.795880017344075</v>
      </c>
      <c r="C577">
        <v>0</v>
      </c>
    </row>
    <row r="578" spans="1:3" x14ac:dyDescent="0.3">
      <c r="A578" t="s">
        <v>2038</v>
      </c>
      <c r="B578">
        <v>6.5228787452803365</v>
      </c>
      <c r="C578">
        <v>0</v>
      </c>
    </row>
    <row r="579" spans="1:3" x14ac:dyDescent="0.3">
      <c r="A579" t="s">
        <v>2041</v>
      </c>
      <c r="B579">
        <v>5.6382721639824069</v>
      </c>
      <c r="C579">
        <v>0</v>
      </c>
    </row>
    <row r="580" spans="1:3" x14ac:dyDescent="0.3">
      <c r="A580" t="s">
        <v>2044</v>
      </c>
      <c r="B580">
        <v>4.5686362358410122</v>
      </c>
      <c r="C580">
        <v>0</v>
      </c>
    </row>
    <row r="581" spans="1:3" x14ac:dyDescent="0.3">
      <c r="A581" t="s">
        <v>2047</v>
      </c>
      <c r="B581">
        <v>5.1739251972991731</v>
      </c>
      <c r="C581">
        <v>0</v>
      </c>
    </row>
    <row r="582" spans="1:3" x14ac:dyDescent="0.3">
      <c r="A582" t="s">
        <v>2049</v>
      </c>
      <c r="B582">
        <v>4.3010299956639804</v>
      </c>
      <c r="C582">
        <v>0</v>
      </c>
    </row>
    <row r="583" spans="1:3" x14ac:dyDescent="0.3">
      <c r="A583" t="s">
        <v>2051</v>
      </c>
      <c r="B583">
        <v>5.009661145212398</v>
      </c>
      <c r="C583">
        <v>0</v>
      </c>
    </row>
    <row r="584" spans="1:3" x14ac:dyDescent="0.3">
      <c r="A584" t="s">
        <v>2054</v>
      </c>
      <c r="B584">
        <v>5.9586073148417746</v>
      </c>
      <c r="C584">
        <v>0</v>
      </c>
    </row>
    <row r="585" spans="1:3" x14ac:dyDescent="0.3">
      <c r="A585" t="s">
        <v>2057</v>
      </c>
      <c r="B585">
        <v>7</v>
      </c>
      <c r="C585">
        <v>1</v>
      </c>
    </row>
    <row r="586" spans="1:3" x14ac:dyDescent="0.3">
      <c r="A586" t="s">
        <v>2060</v>
      </c>
      <c r="B586">
        <v>4.7878123955960419</v>
      </c>
      <c r="C586">
        <v>0</v>
      </c>
    </row>
    <row r="587" spans="1:3" x14ac:dyDescent="0.3">
      <c r="A587" t="s">
        <v>2063</v>
      </c>
      <c r="B587">
        <v>5.0705810742857071</v>
      </c>
      <c r="C587">
        <v>0</v>
      </c>
    </row>
    <row r="588" spans="1:3" x14ac:dyDescent="0.3">
      <c r="A588" t="s">
        <v>2065</v>
      </c>
      <c r="B588">
        <v>5.7637147225519705</v>
      </c>
      <c r="C588">
        <v>0</v>
      </c>
    </row>
    <row r="589" spans="1:3" x14ac:dyDescent="0.3">
      <c r="A589" t="s">
        <v>2071</v>
      </c>
      <c r="B589">
        <v>5.4948500216800937</v>
      </c>
      <c r="C589">
        <v>0</v>
      </c>
    </row>
    <row r="590" spans="1:3" x14ac:dyDescent="0.3">
      <c r="A590" t="s">
        <v>2074</v>
      </c>
      <c r="B590">
        <v>5.1191864077192086</v>
      </c>
      <c r="C590">
        <v>0</v>
      </c>
    </row>
    <row r="591" spans="1:3" x14ac:dyDescent="0.3">
      <c r="A591" t="s">
        <v>2077</v>
      </c>
      <c r="B591">
        <v>5.5376020021010435</v>
      </c>
      <c r="C591">
        <v>0</v>
      </c>
    </row>
    <row r="592" spans="1:3" x14ac:dyDescent="0.3">
      <c r="A592" t="s">
        <v>2080</v>
      </c>
      <c r="B592">
        <v>6.0457574905606748</v>
      </c>
      <c r="C592">
        <v>0</v>
      </c>
    </row>
    <row r="593" spans="1:3" x14ac:dyDescent="0.3">
      <c r="A593" t="s">
        <v>2083</v>
      </c>
      <c r="B593">
        <v>5.4948500216800937</v>
      </c>
      <c r="C593">
        <v>0</v>
      </c>
    </row>
    <row r="594" spans="1:3" x14ac:dyDescent="0.3">
      <c r="A594" t="s">
        <v>2086</v>
      </c>
      <c r="B594">
        <v>4.3010299956639804</v>
      </c>
      <c r="C594">
        <v>0</v>
      </c>
    </row>
    <row r="595" spans="1:3" x14ac:dyDescent="0.3">
      <c r="A595" t="s">
        <v>2089</v>
      </c>
      <c r="B595">
        <v>6.3979400086720375</v>
      </c>
      <c r="C595">
        <v>0</v>
      </c>
    </row>
    <row r="596" spans="1:3" x14ac:dyDescent="0.3">
      <c r="A596" t="s">
        <v>2092</v>
      </c>
      <c r="B596">
        <v>5.6575773191777934</v>
      </c>
      <c r="C596">
        <v>0</v>
      </c>
    </row>
    <row r="597" spans="1:3" x14ac:dyDescent="0.3">
      <c r="A597" t="s">
        <v>2094</v>
      </c>
      <c r="B597">
        <v>7.9586073148417746</v>
      </c>
      <c r="C597">
        <v>1</v>
      </c>
    </row>
    <row r="598" spans="1:3" x14ac:dyDescent="0.3">
      <c r="A598" t="s">
        <v>2097</v>
      </c>
      <c r="B598">
        <v>5.9065783148377644</v>
      </c>
      <c r="C598">
        <v>0</v>
      </c>
    </row>
    <row r="599" spans="1:3" x14ac:dyDescent="0.3">
      <c r="A599" t="s">
        <v>2100</v>
      </c>
      <c r="B599">
        <v>5.6989700043360179</v>
      </c>
      <c r="C599">
        <v>0</v>
      </c>
    </row>
    <row r="600" spans="1:3" x14ac:dyDescent="0.3">
      <c r="A600" t="s">
        <v>2103</v>
      </c>
      <c r="B600">
        <v>5.920818753952374</v>
      </c>
      <c r="C600">
        <v>0</v>
      </c>
    </row>
    <row r="601" spans="1:3" x14ac:dyDescent="0.3">
      <c r="A601" t="s">
        <v>2106</v>
      </c>
      <c r="B601">
        <v>5.9999999999999991</v>
      </c>
      <c r="C601">
        <v>0</v>
      </c>
    </row>
    <row r="602" spans="1:3" x14ac:dyDescent="0.3">
      <c r="A602" t="s">
        <v>2109</v>
      </c>
      <c r="B602">
        <v>4.9208187539523749</v>
      </c>
      <c r="C602">
        <v>0</v>
      </c>
    </row>
    <row r="603" spans="1:3" x14ac:dyDescent="0.3">
      <c r="A603" t="s">
        <v>2112</v>
      </c>
      <c r="B603">
        <v>5.6777807052660796</v>
      </c>
      <c r="C603">
        <v>0</v>
      </c>
    </row>
    <row r="604" spans="1:3" x14ac:dyDescent="0.3">
      <c r="A604" t="s">
        <v>2115</v>
      </c>
      <c r="B604">
        <v>5.1487416512809245</v>
      </c>
      <c r="C604">
        <v>0</v>
      </c>
    </row>
    <row r="605" spans="1:3" x14ac:dyDescent="0.3">
      <c r="A605" t="s">
        <v>2118</v>
      </c>
      <c r="B605">
        <v>5.6575773191777934</v>
      </c>
      <c r="C605">
        <v>0</v>
      </c>
    </row>
    <row r="606" spans="1:3" x14ac:dyDescent="0.3">
      <c r="A606" t="s">
        <v>2121</v>
      </c>
      <c r="B606">
        <v>3.9999999999999991</v>
      </c>
      <c r="C606">
        <v>0</v>
      </c>
    </row>
    <row r="607" spans="1:3" x14ac:dyDescent="0.3">
      <c r="A607" t="s">
        <v>2124</v>
      </c>
      <c r="B607">
        <v>3.4948500216800937</v>
      </c>
      <c r="C607">
        <v>0</v>
      </c>
    </row>
    <row r="608" spans="1:3" x14ac:dyDescent="0.3">
      <c r="A608" t="s">
        <v>2126</v>
      </c>
      <c r="B608">
        <v>5.9393021596463882</v>
      </c>
      <c r="C608">
        <v>0</v>
      </c>
    </row>
    <row r="609" spans="1:3" x14ac:dyDescent="0.3">
      <c r="A609" t="s">
        <v>2128</v>
      </c>
      <c r="B609">
        <v>7.9586073148417746</v>
      </c>
      <c r="C609">
        <v>1</v>
      </c>
    </row>
    <row r="610" spans="1:3" x14ac:dyDescent="0.3">
      <c r="A610" t="s">
        <v>2131</v>
      </c>
      <c r="B610">
        <v>8</v>
      </c>
      <c r="C610">
        <v>1</v>
      </c>
    </row>
    <row r="611" spans="1:3" x14ac:dyDescent="0.3">
      <c r="A611" t="s">
        <v>2133</v>
      </c>
      <c r="B611">
        <v>8</v>
      </c>
      <c r="C611">
        <v>1</v>
      </c>
    </row>
    <row r="612" spans="1:3" x14ac:dyDescent="0.3">
      <c r="A612" t="s">
        <v>2136</v>
      </c>
      <c r="B612">
        <v>8.9586073148417729</v>
      </c>
      <c r="C612">
        <v>1</v>
      </c>
    </row>
    <row r="613" spans="1:3" x14ac:dyDescent="0.3">
      <c r="A613" t="s">
        <v>2138</v>
      </c>
      <c r="B613">
        <v>8.123205023799299</v>
      </c>
      <c r="C613">
        <v>1</v>
      </c>
    </row>
    <row r="614" spans="1:3" x14ac:dyDescent="0.3">
      <c r="A614" t="s">
        <v>2141</v>
      </c>
      <c r="B614">
        <v>6.3010299956639804</v>
      </c>
      <c r="C614">
        <v>0</v>
      </c>
    </row>
    <row r="615" spans="1:3" x14ac:dyDescent="0.3">
      <c r="A615" t="s">
        <v>2144</v>
      </c>
      <c r="B615">
        <v>5.8538719643217618</v>
      </c>
      <c r="C615">
        <v>0</v>
      </c>
    </row>
    <row r="616" spans="1:3" x14ac:dyDescent="0.3">
      <c r="A616" t="s">
        <v>2147</v>
      </c>
      <c r="B616">
        <v>5.3098039199714862</v>
      </c>
      <c r="C616">
        <v>0</v>
      </c>
    </row>
    <row r="617" spans="1:3" x14ac:dyDescent="0.3">
      <c r="A617" t="s">
        <v>2150</v>
      </c>
      <c r="B617">
        <v>5.6989700043360179</v>
      </c>
      <c r="C617">
        <v>0</v>
      </c>
    </row>
    <row r="618" spans="1:3" x14ac:dyDescent="0.3">
      <c r="A618" t="s">
        <v>2153</v>
      </c>
      <c r="B618">
        <v>5.481486060122112</v>
      </c>
      <c r="C618">
        <v>0</v>
      </c>
    </row>
    <row r="619" spans="1:3" x14ac:dyDescent="0.3">
      <c r="A619" t="s">
        <v>2156</v>
      </c>
      <c r="B619">
        <v>4.6345120151090997</v>
      </c>
      <c r="C619">
        <v>0</v>
      </c>
    </row>
    <row r="620" spans="1:3" x14ac:dyDescent="0.3">
      <c r="A620" t="s">
        <v>2159</v>
      </c>
      <c r="B620">
        <v>5.3098039199714862</v>
      </c>
      <c r="C620">
        <v>0</v>
      </c>
    </row>
    <row r="621" spans="1:3" x14ac:dyDescent="0.3">
      <c r="A621" t="s">
        <v>2162</v>
      </c>
      <c r="B621">
        <v>5.8538719643217618</v>
      </c>
      <c r="C621">
        <v>0</v>
      </c>
    </row>
    <row r="622" spans="1:3" x14ac:dyDescent="0.3">
      <c r="A622" t="s">
        <v>2165</v>
      </c>
      <c r="B622">
        <v>4.7695510786217259</v>
      </c>
      <c r="C622">
        <v>0</v>
      </c>
    </row>
    <row r="623" spans="1:3" x14ac:dyDescent="0.3">
      <c r="A623" t="s">
        <v>2168</v>
      </c>
      <c r="B623">
        <v>6.2218487496163553</v>
      </c>
      <c r="C623">
        <v>0</v>
      </c>
    </row>
    <row r="624" spans="1:3" x14ac:dyDescent="0.3">
      <c r="A624" t="s">
        <v>2171</v>
      </c>
      <c r="B624">
        <v>5.3010299956639813</v>
      </c>
      <c r="C624">
        <v>0</v>
      </c>
    </row>
    <row r="625" spans="1:3" x14ac:dyDescent="0.3">
      <c r="A625" t="s">
        <v>2174</v>
      </c>
      <c r="B625">
        <v>5.5686362358410122</v>
      </c>
      <c r="C625">
        <v>0</v>
      </c>
    </row>
    <row r="626" spans="1:3" x14ac:dyDescent="0.3">
      <c r="A626" t="s">
        <v>2176</v>
      </c>
      <c r="B626">
        <v>5.8239087409443187</v>
      </c>
      <c r="C626">
        <v>0</v>
      </c>
    </row>
    <row r="627" spans="1:3" x14ac:dyDescent="0.3">
      <c r="A627" t="s">
        <v>2178</v>
      </c>
      <c r="B627">
        <v>7.3187587626244124</v>
      </c>
      <c r="C627">
        <v>1</v>
      </c>
    </row>
    <row r="628" spans="1:3" x14ac:dyDescent="0.3">
      <c r="A628" t="s">
        <v>2181</v>
      </c>
      <c r="B628">
        <v>5.920818753952374</v>
      </c>
      <c r="C628">
        <v>0</v>
      </c>
    </row>
    <row r="629" spans="1:3" x14ac:dyDescent="0.3">
      <c r="A629" t="s">
        <v>2184</v>
      </c>
      <c r="B629">
        <v>5.5850266520291809</v>
      </c>
      <c r="C629">
        <v>0</v>
      </c>
    </row>
    <row r="630" spans="1:3" x14ac:dyDescent="0.3">
      <c r="A630" t="s">
        <v>2187</v>
      </c>
      <c r="B630">
        <v>5.3665315444204129</v>
      </c>
      <c r="C630">
        <v>0</v>
      </c>
    </row>
    <row r="631" spans="1:3" x14ac:dyDescent="0.3">
      <c r="A631" t="s">
        <v>2189</v>
      </c>
      <c r="B631">
        <v>7.5086383061657269</v>
      </c>
      <c r="C631">
        <v>1</v>
      </c>
    </row>
    <row r="632" spans="1:3" x14ac:dyDescent="0.3">
      <c r="A632" t="s">
        <v>2193</v>
      </c>
      <c r="B632">
        <v>7.0315170514460634</v>
      </c>
      <c r="C632">
        <v>1</v>
      </c>
    </row>
    <row r="633" spans="1:3" x14ac:dyDescent="0.3">
      <c r="A633" t="s">
        <v>2196</v>
      </c>
      <c r="B633">
        <v>5.5199930570428482</v>
      </c>
      <c r="C633">
        <v>0</v>
      </c>
    </row>
    <row r="634" spans="1:3" x14ac:dyDescent="0.3">
      <c r="A634" t="s">
        <v>2199</v>
      </c>
      <c r="B634">
        <v>6.2518119729937984</v>
      </c>
      <c r="C634">
        <v>0</v>
      </c>
    </row>
    <row r="635" spans="1:3" x14ac:dyDescent="0.3">
      <c r="A635" t="s">
        <v>2201</v>
      </c>
      <c r="B635">
        <v>5.2757241303992108</v>
      </c>
      <c r="C635">
        <v>0</v>
      </c>
    </row>
    <row r="636" spans="1:3" x14ac:dyDescent="0.3">
      <c r="A636" t="s">
        <v>2203</v>
      </c>
      <c r="B636">
        <v>5.4559319556497234</v>
      </c>
      <c r="C636">
        <v>0</v>
      </c>
    </row>
    <row r="637" spans="1:3" x14ac:dyDescent="0.3">
      <c r="A637" t="s">
        <v>2205</v>
      </c>
      <c r="B637">
        <v>4.6108339156354665</v>
      </c>
      <c r="C637">
        <v>0</v>
      </c>
    </row>
    <row r="638" spans="1:3" x14ac:dyDescent="0.3">
      <c r="A638" t="s">
        <v>2208</v>
      </c>
      <c r="B638">
        <v>7.5850266520291818</v>
      </c>
      <c r="C638">
        <v>1</v>
      </c>
    </row>
    <row r="639" spans="1:3" x14ac:dyDescent="0.3">
      <c r="A639" t="s">
        <v>2211</v>
      </c>
      <c r="B639">
        <v>6.9586073148417746</v>
      </c>
      <c r="C639">
        <v>0</v>
      </c>
    </row>
    <row r="640" spans="1:3" x14ac:dyDescent="0.3">
      <c r="A640" t="s">
        <v>2213</v>
      </c>
      <c r="B640">
        <v>7.0506099933550868</v>
      </c>
      <c r="C640">
        <v>1</v>
      </c>
    </row>
    <row r="641" spans="1:3" x14ac:dyDescent="0.3">
      <c r="A641" t="s">
        <v>2216</v>
      </c>
      <c r="B641">
        <v>7.7958800173440741</v>
      </c>
      <c r="C641">
        <v>1</v>
      </c>
    </row>
    <row r="642" spans="1:3" x14ac:dyDescent="0.3">
      <c r="A642" t="s">
        <v>2218</v>
      </c>
      <c r="B642">
        <v>8</v>
      </c>
      <c r="C642">
        <v>1</v>
      </c>
    </row>
    <row r="643" spans="1:3" x14ac:dyDescent="0.3">
      <c r="A643" t="s">
        <v>2221</v>
      </c>
      <c r="B643">
        <v>6.8239087409443178</v>
      </c>
      <c r="C643">
        <v>0</v>
      </c>
    </row>
    <row r="644" spans="1:3" x14ac:dyDescent="0.3">
      <c r="A644" t="s">
        <v>2223</v>
      </c>
      <c r="B644">
        <v>5</v>
      </c>
      <c r="C644">
        <v>0</v>
      </c>
    </row>
    <row r="645" spans="1:3" x14ac:dyDescent="0.3">
      <c r="A645" t="s">
        <v>2225</v>
      </c>
      <c r="B645">
        <v>4.9208187539523749</v>
      </c>
      <c r="C645">
        <v>0</v>
      </c>
    </row>
    <row r="646" spans="1:3" x14ac:dyDescent="0.3">
      <c r="A646" t="s">
        <v>2227</v>
      </c>
      <c r="B646">
        <v>3.2839966563652006</v>
      </c>
      <c r="C646">
        <v>0</v>
      </c>
    </row>
    <row r="647" spans="1:3" x14ac:dyDescent="0.3">
      <c r="A647" t="s">
        <v>2229</v>
      </c>
      <c r="B647">
        <v>5.7011469235902927</v>
      </c>
      <c r="C647">
        <v>0</v>
      </c>
    </row>
    <row r="648" spans="1:3" x14ac:dyDescent="0.3">
      <c r="A648" t="s">
        <v>2231</v>
      </c>
      <c r="B648">
        <v>5.1999706407558648</v>
      </c>
      <c r="C648">
        <v>0</v>
      </c>
    </row>
    <row r="649" spans="1:3" x14ac:dyDescent="0.3">
      <c r="A649" t="s">
        <v>2234</v>
      </c>
      <c r="B649">
        <v>6.5228787452803365</v>
      </c>
      <c r="C649">
        <v>0</v>
      </c>
    </row>
    <row r="650" spans="1:3" x14ac:dyDescent="0.3">
      <c r="A650" t="s">
        <v>2237</v>
      </c>
      <c r="B650">
        <v>5.5686362358410122</v>
      </c>
      <c r="C650">
        <v>0</v>
      </c>
    </row>
    <row r="651" spans="1:3" x14ac:dyDescent="0.3">
      <c r="A651" t="s">
        <v>2240</v>
      </c>
      <c r="B651">
        <v>6.3010299956639804</v>
      </c>
      <c r="C651">
        <v>0</v>
      </c>
    </row>
    <row r="652" spans="1:3" x14ac:dyDescent="0.3">
      <c r="A652" t="s">
        <v>2243</v>
      </c>
      <c r="B652">
        <v>5.4089353929735005</v>
      </c>
      <c r="C652">
        <v>0</v>
      </c>
    </row>
    <row r="653" spans="1:3" x14ac:dyDescent="0.3">
      <c r="A653" t="s">
        <v>2246</v>
      </c>
      <c r="B653">
        <v>6.0177287669604311</v>
      </c>
      <c r="C653">
        <v>0</v>
      </c>
    </row>
    <row r="654" spans="1:3" x14ac:dyDescent="0.3">
      <c r="A654" t="s">
        <v>2249</v>
      </c>
      <c r="B654">
        <v>7.8860566476931622</v>
      </c>
      <c r="C654">
        <v>1</v>
      </c>
    </row>
    <row r="655" spans="1:3" x14ac:dyDescent="0.3">
      <c r="A655" t="s">
        <v>2251</v>
      </c>
      <c r="B655">
        <v>8</v>
      </c>
      <c r="C655">
        <v>1</v>
      </c>
    </row>
    <row r="656" spans="1:3" x14ac:dyDescent="0.3">
      <c r="A656" t="s">
        <v>2253</v>
      </c>
      <c r="B656">
        <v>8.1372724716820244</v>
      </c>
      <c r="C656">
        <v>1</v>
      </c>
    </row>
    <row r="657" spans="1:3" x14ac:dyDescent="0.3">
      <c r="A657" t="s">
        <v>2255</v>
      </c>
      <c r="B657">
        <v>9.5376020021010426</v>
      </c>
      <c r="C657">
        <v>1</v>
      </c>
    </row>
    <row r="658" spans="1:3" x14ac:dyDescent="0.3">
      <c r="A658" t="s">
        <v>2257</v>
      </c>
      <c r="B658">
        <v>6.0809219076239254</v>
      </c>
      <c r="C658">
        <v>0</v>
      </c>
    </row>
    <row r="659" spans="1:3" x14ac:dyDescent="0.3">
      <c r="A659" t="s">
        <v>2263</v>
      </c>
      <c r="B659">
        <v>5.5850266520291809</v>
      </c>
      <c r="C659">
        <v>0</v>
      </c>
    </row>
    <row r="660" spans="1:3" x14ac:dyDescent="0.3">
      <c r="A660" t="s">
        <v>2266</v>
      </c>
      <c r="B660">
        <v>5.920818753952374</v>
      </c>
      <c r="C660">
        <v>0</v>
      </c>
    </row>
    <row r="661" spans="1:3" x14ac:dyDescent="0.3">
      <c r="A661" t="s">
        <v>2269</v>
      </c>
      <c r="B661">
        <v>6.6989700043360187</v>
      </c>
      <c r="C661">
        <v>0</v>
      </c>
    </row>
    <row r="662" spans="1:3" x14ac:dyDescent="0.3">
      <c r="A662" t="s">
        <v>2272</v>
      </c>
      <c r="B662">
        <v>4.0809219076239254</v>
      </c>
      <c r="C662">
        <v>0</v>
      </c>
    </row>
    <row r="663" spans="1:3" x14ac:dyDescent="0.3">
      <c r="A663" t="s">
        <v>2274</v>
      </c>
      <c r="B663">
        <v>5.0693008674469526</v>
      </c>
      <c r="C663">
        <v>0</v>
      </c>
    </row>
    <row r="664" spans="1:3" x14ac:dyDescent="0.3">
      <c r="A664" t="s">
        <v>2276</v>
      </c>
      <c r="B664">
        <v>6.3857764516890096</v>
      </c>
      <c r="C664">
        <v>0</v>
      </c>
    </row>
    <row r="665" spans="1:3" x14ac:dyDescent="0.3">
      <c r="A665" t="s">
        <v>2279</v>
      </c>
      <c r="B665">
        <v>6.9208187539523749</v>
      </c>
      <c r="C665">
        <v>0</v>
      </c>
    </row>
    <row r="666" spans="1:3" x14ac:dyDescent="0.3">
      <c r="A666" t="s">
        <v>2281</v>
      </c>
      <c r="B666">
        <v>7.0506099933550868</v>
      </c>
      <c r="C666">
        <v>1</v>
      </c>
    </row>
    <row r="667" spans="1:3" x14ac:dyDescent="0.3">
      <c r="A667" t="s">
        <v>2284</v>
      </c>
      <c r="B667">
        <v>4.3555614105321609</v>
      </c>
      <c r="C667">
        <v>0</v>
      </c>
    </row>
    <row r="668" spans="1:3" x14ac:dyDescent="0.3">
      <c r="A668" t="s">
        <v>2286</v>
      </c>
      <c r="B668">
        <v>5.5361070110140922</v>
      </c>
      <c r="C668">
        <v>0</v>
      </c>
    </row>
    <row r="669" spans="1:3" x14ac:dyDescent="0.3">
      <c r="A669" t="s">
        <v>2288</v>
      </c>
      <c r="B669">
        <v>4.4436974992327123</v>
      </c>
      <c r="C669">
        <v>0</v>
      </c>
    </row>
    <row r="670" spans="1:3" x14ac:dyDescent="0.3">
      <c r="A670" t="s">
        <v>2290</v>
      </c>
      <c r="B670">
        <v>5.795880017344075</v>
      </c>
      <c r="C670">
        <v>0</v>
      </c>
    </row>
    <row r="671" spans="1:3" x14ac:dyDescent="0.3">
      <c r="A671" t="s">
        <v>2292</v>
      </c>
      <c r="B671">
        <v>6.8823641826105053</v>
      </c>
      <c r="C671">
        <v>0</v>
      </c>
    </row>
    <row r="672" spans="1:3" x14ac:dyDescent="0.3">
      <c r="A672" t="s">
        <v>2294</v>
      </c>
      <c r="B672">
        <v>8.5751183633689312</v>
      </c>
      <c r="C672">
        <v>1</v>
      </c>
    </row>
    <row r="673" spans="1:3" x14ac:dyDescent="0.3">
      <c r="A673" t="s">
        <v>2296</v>
      </c>
      <c r="B673">
        <v>8.6675615400843942</v>
      </c>
      <c r="C673">
        <v>1</v>
      </c>
    </row>
    <row r="674" spans="1:3" x14ac:dyDescent="0.3">
      <c r="A674" t="s">
        <v>2298</v>
      </c>
      <c r="B674">
        <v>8.8827287043442347</v>
      </c>
      <c r="C674">
        <v>1</v>
      </c>
    </row>
    <row r="675" spans="1:3" x14ac:dyDescent="0.3">
      <c r="A675" t="s">
        <v>2302</v>
      </c>
      <c r="B675">
        <v>7.2218487496163553</v>
      </c>
      <c r="C675">
        <v>1</v>
      </c>
    </row>
    <row r="676" spans="1:3" x14ac:dyDescent="0.3">
      <c r="A676" t="s">
        <v>2304</v>
      </c>
      <c r="B676">
        <v>7.5228787452803374</v>
      </c>
      <c r="C676">
        <v>1</v>
      </c>
    </row>
    <row r="677" spans="1:3" x14ac:dyDescent="0.3">
      <c r="A677" t="s">
        <v>2306</v>
      </c>
      <c r="B677">
        <v>6.8860566476931631</v>
      </c>
      <c r="C677">
        <v>0</v>
      </c>
    </row>
    <row r="678" spans="1:3" x14ac:dyDescent="0.3">
      <c r="A678" t="s">
        <v>2309</v>
      </c>
      <c r="B678">
        <v>5.2839966563651997</v>
      </c>
      <c r="C678">
        <v>0</v>
      </c>
    </row>
    <row r="679" spans="1:3" x14ac:dyDescent="0.3">
      <c r="A679" t="s">
        <v>2311</v>
      </c>
      <c r="B679">
        <v>4.8927900303521312</v>
      </c>
      <c r="C679">
        <v>0</v>
      </c>
    </row>
    <row r="680" spans="1:3" x14ac:dyDescent="0.3">
      <c r="A680" t="s">
        <v>2313</v>
      </c>
      <c r="B680">
        <v>5.1897674820049158</v>
      </c>
      <c r="C680">
        <v>0</v>
      </c>
    </row>
    <row r="681" spans="1:3" x14ac:dyDescent="0.3">
      <c r="A681" t="s">
        <v>2315</v>
      </c>
      <c r="B681">
        <v>5.2321023839819087</v>
      </c>
      <c r="C681">
        <v>0</v>
      </c>
    </row>
    <row r="682" spans="1:3" x14ac:dyDescent="0.3">
      <c r="A682" t="s">
        <v>2317</v>
      </c>
      <c r="B682">
        <v>8</v>
      </c>
      <c r="C682">
        <v>1</v>
      </c>
    </row>
    <row r="683" spans="1:3" x14ac:dyDescent="0.3">
      <c r="A683" t="s">
        <v>2319</v>
      </c>
      <c r="B683">
        <v>5.3010299956639813</v>
      </c>
      <c r="C683">
        <v>0</v>
      </c>
    </row>
    <row r="684" spans="1:3" x14ac:dyDescent="0.3">
      <c r="A684" t="s">
        <v>2322</v>
      </c>
      <c r="B684">
        <v>4.4649750269490651</v>
      </c>
      <c r="C684">
        <v>0</v>
      </c>
    </row>
    <row r="685" spans="1:3" x14ac:dyDescent="0.3">
      <c r="A685" t="s">
        <v>2325</v>
      </c>
      <c r="B685">
        <v>3.7447274948966935</v>
      </c>
      <c r="C685">
        <v>0</v>
      </c>
    </row>
    <row r="686" spans="1:3" x14ac:dyDescent="0.3">
      <c r="A686" t="s">
        <v>2327</v>
      </c>
      <c r="B686">
        <v>4.2218487496163561</v>
      </c>
      <c r="C686">
        <v>0</v>
      </c>
    </row>
    <row r="687" spans="1:3" x14ac:dyDescent="0.3">
      <c r="A687" t="s">
        <v>2329</v>
      </c>
      <c r="B687">
        <v>4.9208187539523749</v>
      </c>
      <c r="C687">
        <v>0</v>
      </c>
    </row>
    <row r="688" spans="1:3" x14ac:dyDescent="0.3">
      <c r="A688" t="s">
        <v>2332</v>
      </c>
      <c r="B688">
        <v>4.3010299956639804</v>
      </c>
      <c r="C688">
        <v>0</v>
      </c>
    </row>
    <row r="689" spans="1:3" x14ac:dyDescent="0.3">
      <c r="A689" t="s">
        <v>2335</v>
      </c>
      <c r="B689">
        <v>5.0177287669604302</v>
      </c>
      <c r="C689">
        <v>0</v>
      </c>
    </row>
    <row r="690" spans="1:3" x14ac:dyDescent="0.3">
      <c r="A690" t="s">
        <v>2338</v>
      </c>
      <c r="B690">
        <v>8.3089185078770313</v>
      </c>
      <c r="C690">
        <v>1</v>
      </c>
    </row>
    <row r="691" spans="1:3" x14ac:dyDescent="0.3">
      <c r="A691" t="s">
        <v>2342</v>
      </c>
      <c r="B691">
        <v>6.6575773191777934</v>
      </c>
      <c r="C691">
        <v>0</v>
      </c>
    </row>
    <row r="692" spans="1:3" x14ac:dyDescent="0.3">
      <c r="A692" t="s">
        <v>2344</v>
      </c>
      <c r="B692">
        <v>8.6798537138889458</v>
      </c>
      <c r="C692">
        <v>1</v>
      </c>
    </row>
    <row r="693" spans="1:3" x14ac:dyDescent="0.3">
      <c r="A693" t="s">
        <v>2346</v>
      </c>
      <c r="B693">
        <v>4.346787486224656</v>
      </c>
      <c r="C693">
        <v>0</v>
      </c>
    </row>
    <row r="694" spans="1:3" x14ac:dyDescent="0.3">
      <c r="A694" t="s">
        <v>2349</v>
      </c>
      <c r="B694">
        <v>4.7469867255121576</v>
      </c>
      <c r="C694">
        <v>0</v>
      </c>
    </row>
    <row r="695" spans="1:3" x14ac:dyDescent="0.3">
      <c r="A695" t="s">
        <v>2353</v>
      </c>
      <c r="B695">
        <v>7.431798275933005</v>
      </c>
      <c r="C695">
        <v>1</v>
      </c>
    </row>
    <row r="696" spans="1:3" x14ac:dyDescent="0.3">
      <c r="A696" t="s">
        <v>2355</v>
      </c>
      <c r="B696">
        <v>4.7695510786217259</v>
      </c>
      <c r="C696">
        <v>0</v>
      </c>
    </row>
    <row r="697" spans="1:3" x14ac:dyDescent="0.3">
      <c r="A697" t="s">
        <v>2357</v>
      </c>
      <c r="B697">
        <v>4.4089353929735005</v>
      </c>
      <c r="C697">
        <v>0</v>
      </c>
    </row>
    <row r="698" spans="1:3" x14ac:dyDescent="0.3">
      <c r="A698" t="s">
        <v>2359</v>
      </c>
      <c r="B698">
        <v>3.9999999999999991</v>
      </c>
      <c r="C698">
        <v>0</v>
      </c>
    </row>
    <row r="699" spans="1:3" x14ac:dyDescent="0.3">
      <c r="A699" t="s">
        <v>2361</v>
      </c>
      <c r="B699">
        <v>4.1191864077192077</v>
      </c>
      <c r="C699">
        <v>0</v>
      </c>
    </row>
    <row r="700" spans="1:3" x14ac:dyDescent="0.3">
      <c r="A700" t="s">
        <v>2363</v>
      </c>
      <c r="B700">
        <v>3.9999999999999991</v>
      </c>
      <c r="C700">
        <v>0</v>
      </c>
    </row>
    <row r="701" spans="1:3" x14ac:dyDescent="0.3">
      <c r="A701" t="s">
        <v>2365</v>
      </c>
      <c r="B701">
        <v>3.7447274948966935</v>
      </c>
      <c r="C701">
        <v>0</v>
      </c>
    </row>
    <row r="702" spans="1:3" x14ac:dyDescent="0.3">
      <c r="A702" t="s">
        <v>2367</v>
      </c>
      <c r="B702">
        <v>4.8860566476931631</v>
      </c>
      <c r="C702">
        <v>0</v>
      </c>
    </row>
    <row r="703" spans="1:3" x14ac:dyDescent="0.3">
      <c r="A703" t="s">
        <v>2369</v>
      </c>
      <c r="B703">
        <v>5.8961962790440428</v>
      </c>
      <c r="C703">
        <v>0</v>
      </c>
    </row>
    <row r="704" spans="1:3" x14ac:dyDescent="0.3">
      <c r="A704" t="s">
        <v>2377</v>
      </c>
      <c r="B704">
        <v>8</v>
      </c>
      <c r="C704">
        <v>1</v>
      </c>
    </row>
    <row r="705" spans="1:3" x14ac:dyDescent="0.3">
      <c r="A705" t="s">
        <v>2382</v>
      </c>
      <c r="B705">
        <v>7.769551078621725</v>
      </c>
      <c r="C705">
        <v>1</v>
      </c>
    </row>
    <row r="706" spans="1:3" x14ac:dyDescent="0.3">
      <c r="A706" t="s">
        <v>2384</v>
      </c>
      <c r="B706">
        <v>9.2441251443275068</v>
      </c>
      <c r="C706">
        <v>1</v>
      </c>
    </row>
    <row r="707" spans="1:3" x14ac:dyDescent="0.3">
      <c r="A707" t="s">
        <v>2387</v>
      </c>
      <c r="B707">
        <v>8</v>
      </c>
      <c r="C707">
        <v>1</v>
      </c>
    </row>
    <row r="708" spans="1:3" x14ac:dyDescent="0.3">
      <c r="A708" t="s">
        <v>2389</v>
      </c>
      <c r="B708">
        <v>5.242831807785727</v>
      </c>
      <c r="C708">
        <v>0</v>
      </c>
    </row>
    <row r="709" spans="1:3" x14ac:dyDescent="0.3">
      <c r="A709" t="s">
        <v>2395</v>
      </c>
      <c r="B709">
        <v>9.5850266520291818</v>
      </c>
      <c r="C709">
        <v>1</v>
      </c>
    </row>
    <row r="710" spans="1:3" x14ac:dyDescent="0.3">
      <c r="A710" t="s">
        <v>2397</v>
      </c>
      <c r="B710">
        <v>4.9833862387403594</v>
      </c>
      <c r="C710">
        <v>0</v>
      </c>
    </row>
    <row r="711" spans="1:3" x14ac:dyDescent="0.3">
      <c r="A711" t="s">
        <v>2399</v>
      </c>
      <c r="B711">
        <v>6.9788107009300617</v>
      </c>
      <c r="C711">
        <v>0</v>
      </c>
    </row>
    <row r="712" spans="1:3" x14ac:dyDescent="0.3">
      <c r="A712" t="s">
        <v>2401</v>
      </c>
      <c r="B712">
        <v>3.6989700043360187</v>
      </c>
      <c r="C712">
        <v>0</v>
      </c>
    </row>
    <row r="713" spans="1:3" x14ac:dyDescent="0.3">
      <c r="A713" t="s">
        <v>2405</v>
      </c>
      <c r="B713">
        <v>7.5228787452803374</v>
      </c>
      <c r="C713">
        <v>1</v>
      </c>
    </row>
    <row r="714" spans="1:3" x14ac:dyDescent="0.3">
      <c r="A714" t="s">
        <v>2407</v>
      </c>
      <c r="B714">
        <v>3.6989700043360187</v>
      </c>
      <c r="C714">
        <v>0</v>
      </c>
    </row>
    <row r="715" spans="1:3" x14ac:dyDescent="0.3">
      <c r="A715" t="s">
        <v>2409</v>
      </c>
      <c r="B715">
        <v>4.2518119729937984</v>
      </c>
      <c r="C715">
        <v>0</v>
      </c>
    </row>
    <row r="716" spans="1:3" x14ac:dyDescent="0.3">
      <c r="A716" t="s">
        <v>2412</v>
      </c>
      <c r="B716">
        <v>8</v>
      </c>
      <c r="C716">
        <v>1</v>
      </c>
    </row>
    <row r="717" spans="1:3" x14ac:dyDescent="0.3">
      <c r="A717" t="s">
        <v>2415</v>
      </c>
      <c r="B717">
        <v>6.1549019599857431</v>
      </c>
      <c r="C717">
        <v>0</v>
      </c>
    </row>
    <row r="718" spans="1:3" x14ac:dyDescent="0.3">
      <c r="A718" t="s">
        <v>2418</v>
      </c>
      <c r="B718">
        <v>6.3010299956639804</v>
      </c>
      <c r="C718">
        <v>0</v>
      </c>
    </row>
    <row r="719" spans="1:3" x14ac:dyDescent="0.3">
      <c r="A719" t="s">
        <v>2421</v>
      </c>
      <c r="B719">
        <v>6.0457574905606748</v>
      </c>
      <c r="C719">
        <v>0</v>
      </c>
    </row>
    <row r="720" spans="1:3" x14ac:dyDescent="0.3">
      <c r="A720" t="s">
        <v>2424</v>
      </c>
      <c r="B720">
        <v>5.920818753952374</v>
      </c>
      <c r="C720">
        <v>0</v>
      </c>
    </row>
    <row r="721" spans="1:3" x14ac:dyDescent="0.3">
      <c r="A721" t="s">
        <v>2427</v>
      </c>
      <c r="B721">
        <v>6.3979400086720375</v>
      </c>
      <c r="C721">
        <v>0</v>
      </c>
    </row>
    <row r="722" spans="1:3" x14ac:dyDescent="0.3">
      <c r="A722" t="s">
        <v>2430</v>
      </c>
      <c r="B722">
        <v>5.5228787452803374</v>
      </c>
      <c r="C722">
        <v>0</v>
      </c>
    </row>
    <row r="723" spans="1:3" x14ac:dyDescent="0.3">
      <c r="A723" t="s">
        <v>2433</v>
      </c>
      <c r="B723">
        <v>5.2839966563651997</v>
      </c>
      <c r="C723">
        <v>0</v>
      </c>
    </row>
    <row r="724" spans="1:3" x14ac:dyDescent="0.3">
      <c r="A724" t="s">
        <v>2436</v>
      </c>
      <c r="B724">
        <v>5.9586073148417746</v>
      </c>
      <c r="C724">
        <v>0</v>
      </c>
    </row>
    <row r="725" spans="1:3" x14ac:dyDescent="0.3">
      <c r="A725" t="s">
        <v>2439</v>
      </c>
      <c r="B725">
        <v>6.4559319556497243</v>
      </c>
      <c r="C725">
        <v>0</v>
      </c>
    </row>
    <row r="726" spans="1:3" x14ac:dyDescent="0.3">
      <c r="A726" t="s">
        <v>2442</v>
      </c>
      <c r="B726">
        <v>5.0109720122392867</v>
      </c>
      <c r="C726">
        <v>0</v>
      </c>
    </row>
    <row r="727" spans="1:3" x14ac:dyDescent="0.3">
      <c r="A727" t="s">
        <v>2444</v>
      </c>
      <c r="B727">
        <v>6.3701957581722564</v>
      </c>
      <c r="C727">
        <v>0</v>
      </c>
    </row>
    <row r="728" spans="1:3" x14ac:dyDescent="0.3">
      <c r="A728" t="s">
        <v>2446</v>
      </c>
      <c r="B728">
        <v>4.2076083105017457</v>
      </c>
      <c r="C728">
        <v>0</v>
      </c>
    </row>
    <row r="729" spans="1:3" x14ac:dyDescent="0.3">
      <c r="A729" t="s">
        <v>2449</v>
      </c>
      <c r="B729">
        <v>7.5228787452803374</v>
      </c>
      <c r="C729">
        <v>1</v>
      </c>
    </row>
    <row r="730" spans="1:3" x14ac:dyDescent="0.3">
      <c r="A730" t="s">
        <v>2451</v>
      </c>
      <c r="B730">
        <v>7.0457574905606739</v>
      </c>
      <c r="C730">
        <v>1</v>
      </c>
    </row>
    <row r="731" spans="1:3" x14ac:dyDescent="0.3">
      <c r="A731" t="s">
        <v>2453</v>
      </c>
      <c r="B731">
        <v>8.6882461389442458</v>
      </c>
      <c r="C731">
        <v>1</v>
      </c>
    </row>
    <row r="732" spans="1:3" x14ac:dyDescent="0.3">
      <c r="A732" t="s">
        <v>2456</v>
      </c>
      <c r="B732">
        <v>5.0647386923382109</v>
      </c>
      <c r="C732">
        <v>0</v>
      </c>
    </row>
    <row r="733" spans="1:3" x14ac:dyDescent="0.3">
      <c r="A733" t="s">
        <v>2459</v>
      </c>
      <c r="B733">
        <v>6.5228787452803365</v>
      </c>
      <c r="C733">
        <v>0</v>
      </c>
    </row>
    <row r="734" spans="1:3" x14ac:dyDescent="0.3">
      <c r="A734" t="s">
        <v>2461</v>
      </c>
      <c r="B734">
        <v>4.4559319556497243</v>
      </c>
      <c r="C734">
        <v>0</v>
      </c>
    </row>
    <row r="735" spans="1:3" x14ac:dyDescent="0.3">
      <c r="A735" t="s">
        <v>2463</v>
      </c>
      <c r="B735">
        <v>4.3767507096020992</v>
      </c>
      <c r="C735">
        <v>0</v>
      </c>
    </row>
    <row r="736" spans="1:3" x14ac:dyDescent="0.3">
      <c r="A736" t="s">
        <v>2465</v>
      </c>
      <c r="B736">
        <v>5.5421181032660076</v>
      </c>
      <c r="C736">
        <v>0</v>
      </c>
    </row>
    <row r="737" spans="1:3" x14ac:dyDescent="0.3">
      <c r="A737" t="s">
        <v>2468</v>
      </c>
      <c r="B737">
        <v>6.5850266520291818</v>
      </c>
      <c r="C737">
        <v>0</v>
      </c>
    </row>
    <row r="738" spans="1:3" x14ac:dyDescent="0.3">
      <c r="A738" t="s">
        <v>2470</v>
      </c>
      <c r="B738">
        <v>7.769551078621725</v>
      </c>
      <c r="C738">
        <v>1</v>
      </c>
    </row>
    <row r="739" spans="1:3" x14ac:dyDescent="0.3">
      <c r="A739" t="s">
        <v>2472</v>
      </c>
      <c r="B739">
        <v>8</v>
      </c>
      <c r="C739">
        <v>1</v>
      </c>
    </row>
    <row r="740" spans="1:3" x14ac:dyDescent="0.3">
      <c r="A740" t="s">
        <v>2475</v>
      </c>
      <c r="B740">
        <v>8</v>
      </c>
      <c r="C740">
        <v>1</v>
      </c>
    </row>
    <row r="741" spans="1:3" x14ac:dyDescent="0.3">
      <c r="A741" t="s">
        <v>2478</v>
      </c>
      <c r="B741">
        <v>6.0132282657337548</v>
      </c>
      <c r="C741">
        <v>0</v>
      </c>
    </row>
    <row r="742" spans="1:3" x14ac:dyDescent="0.3">
      <c r="A742" t="s">
        <v>2481</v>
      </c>
      <c r="B742">
        <v>7.8860566476931622</v>
      </c>
      <c r="C742">
        <v>1</v>
      </c>
    </row>
    <row r="743" spans="1:3" x14ac:dyDescent="0.3">
      <c r="A743" t="s">
        <v>2483</v>
      </c>
      <c r="B743">
        <v>6.7447274948966927</v>
      </c>
      <c r="C743">
        <v>0</v>
      </c>
    </row>
    <row r="744" spans="1:3" x14ac:dyDescent="0.3">
      <c r="A744" t="s">
        <v>2489</v>
      </c>
      <c r="B744">
        <v>7.3010299956639804</v>
      </c>
      <c r="C744">
        <v>1</v>
      </c>
    </row>
    <row r="745" spans="1:3" x14ac:dyDescent="0.3">
      <c r="A745" t="s">
        <v>2491</v>
      </c>
      <c r="B745">
        <v>3.9208187539523749</v>
      </c>
      <c r="C745">
        <v>0</v>
      </c>
    </row>
    <row r="746" spans="1:3" x14ac:dyDescent="0.3">
      <c r="A746" t="s">
        <v>2494</v>
      </c>
      <c r="B746">
        <v>4.075720713938118</v>
      </c>
      <c r="C746">
        <v>0</v>
      </c>
    </row>
    <row r="747" spans="1:3" x14ac:dyDescent="0.3">
      <c r="A747" t="s">
        <v>2496</v>
      </c>
      <c r="B747">
        <v>7.2365720064370622</v>
      </c>
      <c r="C747">
        <v>1</v>
      </c>
    </row>
    <row r="748" spans="1:3" x14ac:dyDescent="0.3">
      <c r="A748" t="s">
        <v>2499</v>
      </c>
      <c r="B748">
        <v>5.2518119729937993</v>
      </c>
      <c r="C748">
        <v>0</v>
      </c>
    </row>
    <row r="749" spans="1:3" x14ac:dyDescent="0.3">
      <c r="A749" t="s">
        <v>2501</v>
      </c>
      <c r="B749">
        <v>5.8761483590329133</v>
      </c>
      <c r="C749">
        <v>0</v>
      </c>
    </row>
    <row r="750" spans="1:3" x14ac:dyDescent="0.3">
      <c r="A750" t="s">
        <v>2504</v>
      </c>
      <c r="B750">
        <v>6.1938200260161116</v>
      </c>
      <c r="C750">
        <v>0</v>
      </c>
    </row>
    <row r="751" spans="1:3" x14ac:dyDescent="0.3">
      <c r="A751" t="s">
        <v>2506</v>
      </c>
      <c r="B751">
        <v>5.2676062401770309</v>
      </c>
      <c r="C751">
        <v>0</v>
      </c>
    </row>
    <row r="752" spans="1:3" x14ac:dyDescent="0.3">
      <c r="A752" t="s">
        <v>2508</v>
      </c>
      <c r="B752">
        <v>4.6989700043360187</v>
      </c>
      <c r="C752">
        <v>0</v>
      </c>
    </row>
    <row r="753" spans="1:3" x14ac:dyDescent="0.3">
      <c r="A753" t="s">
        <v>2510</v>
      </c>
      <c r="B753">
        <v>4.3872161432802645</v>
      </c>
      <c r="C753">
        <v>0</v>
      </c>
    </row>
    <row r="754" spans="1:3" x14ac:dyDescent="0.3">
      <c r="A754" t="s">
        <v>2512</v>
      </c>
      <c r="B754">
        <v>5.0655015487564317</v>
      </c>
      <c r="C754">
        <v>0</v>
      </c>
    </row>
    <row r="755" spans="1:3" x14ac:dyDescent="0.3">
      <c r="A755" t="s">
        <v>2516</v>
      </c>
      <c r="B755">
        <v>4.327902142064282</v>
      </c>
      <c r="C755">
        <v>0</v>
      </c>
    </row>
    <row r="756" spans="1:3" x14ac:dyDescent="0.3">
      <c r="A756" t="s">
        <v>2518</v>
      </c>
      <c r="B756">
        <v>6.2083093509798815</v>
      </c>
      <c r="C756">
        <v>0</v>
      </c>
    </row>
    <row r="757" spans="1:3" x14ac:dyDescent="0.3">
      <c r="A757" t="s">
        <v>2520</v>
      </c>
      <c r="B757">
        <v>6.3701957581722564</v>
      </c>
      <c r="C757">
        <v>0</v>
      </c>
    </row>
    <row r="758" spans="1:3" x14ac:dyDescent="0.3">
      <c r="A758" t="s">
        <v>2522</v>
      </c>
      <c r="B758">
        <v>4.7986028756795482</v>
      </c>
      <c r="C758">
        <v>0</v>
      </c>
    </row>
    <row r="759" spans="1:3" x14ac:dyDescent="0.3">
      <c r="A759" t="s">
        <v>2524</v>
      </c>
      <c r="B759">
        <v>4.6777807052660805</v>
      </c>
      <c r="C759">
        <v>0</v>
      </c>
    </row>
    <row r="760" spans="1:3" x14ac:dyDescent="0.3">
      <c r="A760" t="s">
        <v>2526</v>
      </c>
      <c r="B760">
        <v>4.3372421683184257</v>
      </c>
      <c r="C760">
        <v>0</v>
      </c>
    </row>
    <row r="761" spans="1:3" x14ac:dyDescent="0.3">
      <c r="A761" t="s">
        <v>2530</v>
      </c>
      <c r="B761">
        <v>6.7447274948966927</v>
      </c>
      <c r="C761">
        <v>0</v>
      </c>
    </row>
    <row r="762" spans="1:3" x14ac:dyDescent="0.3">
      <c r="A762" t="s">
        <v>2532</v>
      </c>
      <c r="B762">
        <v>5.6382721639824069</v>
      </c>
      <c r="C762">
        <v>0</v>
      </c>
    </row>
    <row r="763" spans="1:3" x14ac:dyDescent="0.3">
      <c r="A763" t="s">
        <v>2534</v>
      </c>
      <c r="B763">
        <v>8</v>
      </c>
      <c r="C763">
        <v>1</v>
      </c>
    </row>
  </sheetData>
  <conditionalFormatting sqref="A1:A1048576">
    <cfRule type="duplicateValues" dxfId="1"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93674-5580-437B-A9D0-CAA4361945F5}">
  <dimension ref="A1:B763"/>
  <sheetViews>
    <sheetView workbookViewId="0">
      <selection sqref="A1:A1048576"/>
    </sheetView>
  </sheetViews>
  <sheetFormatPr defaultRowHeight="14.4" x14ac:dyDescent="0.3"/>
  <cols>
    <col min="1" max="1" width="98.33203125" customWidth="1"/>
    <col min="4" max="4" width="8.88671875" customWidth="1"/>
  </cols>
  <sheetData>
    <row r="1" spans="1:2" x14ac:dyDescent="0.3">
      <c r="A1" t="s">
        <v>7</v>
      </c>
      <c r="B1" t="s">
        <v>2535</v>
      </c>
    </row>
    <row r="2" spans="1:2" x14ac:dyDescent="0.3">
      <c r="A2" t="s">
        <v>51</v>
      </c>
      <c r="B2">
        <v>4.4838455995696203</v>
      </c>
    </row>
    <row r="3" spans="1:2" x14ac:dyDescent="0.3">
      <c r="A3" t="s">
        <v>70</v>
      </c>
      <c r="B3">
        <v>2.7163706681963866</v>
      </c>
    </row>
    <row r="4" spans="1:2" x14ac:dyDescent="0.3">
      <c r="A4" t="s">
        <v>79</v>
      </c>
      <c r="B4">
        <v>5.664466467579639</v>
      </c>
    </row>
    <row r="5" spans="1:2" x14ac:dyDescent="0.3">
      <c r="A5" t="s">
        <v>85</v>
      </c>
      <c r="B5">
        <v>6.3576757168594851</v>
      </c>
    </row>
    <row r="6" spans="1:2" x14ac:dyDescent="0.3">
      <c r="A6" t="s">
        <v>97</v>
      </c>
      <c r="B6">
        <v>4.821274319320505</v>
      </c>
    </row>
    <row r="7" spans="1:2" x14ac:dyDescent="0.3">
      <c r="A7" t="s">
        <v>103</v>
      </c>
      <c r="B7">
        <v>5.1376072705046303</v>
      </c>
    </row>
    <row r="8" spans="1:2" x14ac:dyDescent="0.3">
      <c r="A8" t="s">
        <v>106</v>
      </c>
      <c r="B8">
        <v>4.8032077485454909</v>
      </c>
    </row>
    <row r="9" spans="1:2" x14ac:dyDescent="0.3">
      <c r="A9" t="s">
        <v>109</v>
      </c>
      <c r="B9">
        <v>2.6593456357461767</v>
      </c>
    </row>
    <row r="10" spans="1:2" x14ac:dyDescent="0.3">
      <c r="A10" t="s">
        <v>114</v>
      </c>
      <c r="B10">
        <v>3.4819010473145249</v>
      </c>
    </row>
    <row r="11" spans="1:2" x14ac:dyDescent="0.3">
      <c r="A11" t="s">
        <v>125</v>
      </c>
      <c r="B11">
        <v>7.5528419686577806</v>
      </c>
    </row>
    <row r="12" spans="1:2" x14ac:dyDescent="0.3">
      <c r="A12" t="s">
        <v>134</v>
      </c>
      <c r="B12">
        <v>4.544527372242805</v>
      </c>
    </row>
    <row r="13" spans="1:2" x14ac:dyDescent="0.3">
      <c r="A13" t="s">
        <v>140</v>
      </c>
      <c r="B13">
        <v>4.6812876338802942</v>
      </c>
    </row>
    <row r="14" spans="1:2" x14ac:dyDescent="0.3">
      <c r="A14" t="s">
        <v>143</v>
      </c>
      <c r="B14">
        <v>5.0409586076789052</v>
      </c>
    </row>
    <row r="15" spans="1:2" x14ac:dyDescent="0.3">
      <c r="A15" t="s">
        <v>149</v>
      </c>
      <c r="B15">
        <v>6.3665315444204129</v>
      </c>
    </row>
    <row r="16" spans="1:2" x14ac:dyDescent="0.3">
      <c r="A16" t="s">
        <v>152</v>
      </c>
      <c r="B16">
        <v>7.3979400086720375</v>
      </c>
    </row>
    <row r="17" spans="1:2" x14ac:dyDescent="0.3">
      <c r="A17" t="s">
        <v>155</v>
      </c>
      <c r="B17">
        <v>6.2596373105057559</v>
      </c>
    </row>
    <row r="18" spans="1:2" x14ac:dyDescent="0.3">
      <c r="A18" t="s">
        <v>158</v>
      </c>
      <c r="B18">
        <v>4.8538719643217609</v>
      </c>
    </row>
    <row r="19" spans="1:2" x14ac:dyDescent="0.3">
      <c r="A19" t="s">
        <v>161</v>
      </c>
      <c r="B19">
        <v>6.6102493963799311</v>
      </c>
    </row>
    <row r="20" spans="1:2" x14ac:dyDescent="0.3">
      <c r="A20" t="s">
        <v>165</v>
      </c>
      <c r="B20">
        <v>6.195800057542197</v>
      </c>
    </row>
    <row r="21" spans="1:2" x14ac:dyDescent="0.3">
      <c r="A21" t="s">
        <v>174</v>
      </c>
      <c r="B21">
        <v>5.0106123505672029</v>
      </c>
    </row>
    <row r="22" spans="1:2" x14ac:dyDescent="0.3">
      <c r="A22" t="s">
        <v>177</v>
      </c>
      <c r="B22">
        <v>6.6478756734504643</v>
      </c>
    </row>
    <row r="23" spans="1:2" x14ac:dyDescent="0.3">
      <c r="A23" t="s">
        <v>180</v>
      </c>
      <c r="B23">
        <v>4.068357147286501</v>
      </c>
    </row>
    <row r="24" spans="1:2" x14ac:dyDescent="0.3">
      <c r="A24" t="s">
        <v>187</v>
      </c>
      <c r="B24">
        <v>3.8198399445152065</v>
      </c>
    </row>
    <row r="25" spans="1:2" x14ac:dyDescent="0.3">
      <c r="A25" t="s">
        <v>189</v>
      </c>
      <c r="B25">
        <v>6.2676644317388579</v>
      </c>
    </row>
    <row r="26" spans="1:2" x14ac:dyDescent="0.3">
      <c r="A26" t="s">
        <v>192</v>
      </c>
      <c r="B26">
        <v>4.3010299956639804</v>
      </c>
    </row>
    <row r="27" spans="1:2" x14ac:dyDescent="0.3">
      <c r="A27" t="s">
        <v>198</v>
      </c>
      <c r="B27">
        <v>5.1107700277118049</v>
      </c>
    </row>
    <row r="28" spans="1:2" x14ac:dyDescent="0.3">
      <c r="A28" t="s">
        <v>204</v>
      </c>
      <c r="B28">
        <v>5.5850266520291809</v>
      </c>
    </row>
    <row r="29" spans="1:2" x14ac:dyDescent="0.3">
      <c r="A29" t="s">
        <v>206</v>
      </c>
      <c r="B29">
        <v>7.1611509092627434</v>
      </c>
    </row>
    <row r="30" spans="1:2" x14ac:dyDescent="0.3">
      <c r="A30" t="s">
        <v>209</v>
      </c>
      <c r="B30">
        <v>6.3010299956639804</v>
      </c>
    </row>
    <row r="31" spans="1:2" x14ac:dyDescent="0.3">
      <c r="A31" t="s">
        <v>212</v>
      </c>
      <c r="B31">
        <v>3.5686362358410122</v>
      </c>
    </row>
    <row r="32" spans="1:2" x14ac:dyDescent="0.3">
      <c r="A32" t="s">
        <v>215</v>
      </c>
      <c r="B32">
        <v>6.3979400086720375</v>
      </c>
    </row>
    <row r="33" spans="1:2" x14ac:dyDescent="0.3">
      <c r="A33" t="s">
        <v>218</v>
      </c>
      <c r="B33">
        <v>6.2291479883578553</v>
      </c>
    </row>
    <row r="34" spans="1:2" x14ac:dyDescent="0.3">
      <c r="A34" t="s">
        <v>220</v>
      </c>
      <c r="B34">
        <v>5.1166188114945728</v>
      </c>
    </row>
    <row r="35" spans="1:2" x14ac:dyDescent="0.3">
      <c r="A35" t="s">
        <v>222</v>
      </c>
      <c r="B35">
        <v>4.4144525602925917</v>
      </c>
    </row>
    <row r="36" spans="1:2" x14ac:dyDescent="0.3">
      <c r="A36" t="s">
        <v>225</v>
      </c>
      <c r="B36">
        <v>4.3796628573595937</v>
      </c>
    </row>
    <row r="37" spans="1:2" x14ac:dyDescent="0.3">
      <c r="A37" t="s">
        <v>231</v>
      </c>
      <c r="B37">
        <v>3.0257300024274167</v>
      </c>
    </row>
    <row r="38" spans="1:2" x14ac:dyDescent="0.3">
      <c r="A38" t="s">
        <v>234</v>
      </c>
      <c r="B38">
        <v>4.1059697827124637</v>
      </c>
    </row>
    <row r="39" spans="1:2" x14ac:dyDescent="0.3">
      <c r="A39" t="s">
        <v>250</v>
      </c>
      <c r="B39">
        <v>4.2924298239020633</v>
      </c>
    </row>
    <row r="40" spans="1:2" x14ac:dyDescent="0.3">
      <c r="A40" t="s">
        <v>257</v>
      </c>
      <c r="B40">
        <v>5.5086383061657269</v>
      </c>
    </row>
    <row r="41" spans="1:2" x14ac:dyDescent="0.3">
      <c r="A41" t="s">
        <v>260</v>
      </c>
      <c r="B41">
        <v>5.2365720064370622</v>
      </c>
    </row>
    <row r="42" spans="1:2" x14ac:dyDescent="0.3">
      <c r="A42" t="s">
        <v>263</v>
      </c>
      <c r="B42">
        <v>8.1965428843515866</v>
      </c>
    </row>
    <row r="43" spans="1:2" x14ac:dyDescent="0.3">
      <c r="A43" t="s">
        <v>272</v>
      </c>
      <c r="B43">
        <v>8.4341521813264819</v>
      </c>
    </row>
    <row r="44" spans="1:2" x14ac:dyDescent="0.3">
      <c r="A44" t="s">
        <v>275</v>
      </c>
      <c r="B44">
        <v>8.6055483191737832</v>
      </c>
    </row>
    <row r="45" spans="1:2" x14ac:dyDescent="0.3">
      <c r="A45" t="s">
        <v>278</v>
      </c>
      <c r="B45">
        <v>8.795880017344075</v>
      </c>
    </row>
    <row r="46" spans="1:2" x14ac:dyDescent="0.3">
      <c r="A46" t="s">
        <v>280</v>
      </c>
      <c r="B46">
        <v>7.8368386250229811</v>
      </c>
    </row>
    <row r="47" spans="1:2" x14ac:dyDescent="0.3">
      <c r="A47" t="s">
        <v>291</v>
      </c>
      <c r="B47">
        <v>6.5434057575549005</v>
      </c>
    </row>
    <row r="48" spans="1:2" x14ac:dyDescent="0.3">
      <c r="A48" t="s">
        <v>294</v>
      </c>
      <c r="B48">
        <v>8</v>
      </c>
    </row>
    <row r="49" spans="1:2" x14ac:dyDescent="0.3">
      <c r="A49" t="s">
        <v>307</v>
      </c>
      <c r="B49">
        <v>3.4598597061048251</v>
      </c>
    </row>
    <row r="50" spans="1:2" x14ac:dyDescent="0.3">
      <c r="A50" t="s">
        <v>309</v>
      </c>
      <c r="B50">
        <v>4.0760211417835448</v>
      </c>
    </row>
    <row r="51" spans="1:2" x14ac:dyDescent="0.3">
      <c r="A51" t="s">
        <v>319</v>
      </c>
      <c r="B51">
        <v>2.7547610251682744</v>
      </c>
    </row>
    <row r="52" spans="1:2" x14ac:dyDescent="0.3">
      <c r="A52" t="s">
        <v>322</v>
      </c>
      <c r="B52">
        <v>5.7139580342609566</v>
      </c>
    </row>
    <row r="53" spans="1:2" x14ac:dyDescent="0.3">
      <c r="A53" t="s">
        <v>325</v>
      </c>
      <c r="B53">
        <v>7.6989700043360179</v>
      </c>
    </row>
    <row r="54" spans="1:2" x14ac:dyDescent="0.3">
      <c r="A54" t="s">
        <v>332</v>
      </c>
      <c r="B54">
        <v>6.0655015487564317</v>
      </c>
    </row>
    <row r="55" spans="1:2" x14ac:dyDescent="0.3">
      <c r="A55" t="s">
        <v>339</v>
      </c>
      <c r="B55">
        <v>6.6989700043360187</v>
      </c>
    </row>
    <row r="56" spans="1:2" x14ac:dyDescent="0.3">
      <c r="A56" t="s">
        <v>342</v>
      </c>
      <c r="B56">
        <v>5.6197887582883927</v>
      </c>
    </row>
    <row r="57" spans="1:2" x14ac:dyDescent="0.3">
      <c r="A57" t="s">
        <v>345</v>
      </c>
      <c r="B57">
        <v>6.0969100130080562</v>
      </c>
    </row>
    <row r="58" spans="1:2" x14ac:dyDescent="0.3">
      <c r="A58" t="s">
        <v>348</v>
      </c>
      <c r="B58">
        <v>4.0784313775704835</v>
      </c>
    </row>
    <row r="59" spans="1:2" x14ac:dyDescent="0.3">
      <c r="A59" t="s">
        <v>355</v>
      </c>
      <c r="B59">
        <v>2.8591756588027231</v>
      </c>
    </row>
    <row r="60" spans="1:2" x14ac:dyDescent="0.3">
      <c r="A60" t="s">
        <v>358</v>
      </c>
      <c r="B60">
        <v>5.1296361927269718</v>
      </c>
    </row>
    <row r="61" spans="1:2" x14ac:dyDescent="0.3">
      <c r="A61" t="s">
        <v>363</v>
      </c>
      <c r="B61">
        <v>4.904542442000257</v>
      </c>
    </row>
    <row r="62" spans="1:2" x14ac:dyDescent="0.3">
      <c r="A62" t="s">
        <v>368</v>
      </c>
      <c r="B62">
        <v>5.0369979686374799</v>
      </c>
    </row>
    <row r="63" spans="1:2" x14ac:dyDescent="0.3">
      <c r="A63" t="s">
        <v>377</v>
      </c>
      <c r="B63">
        <v>4.8511359950115738</v>
      </c>
    </row>
    <row r="64" spans="1:2" x14ac:dyDescent="0.3">
      <c r="A64" t="s">
        <v>387</v>
      </c>
      <c r="B64">
        <v>4.4127859363574373</v>
      </c>
    </row>
    <row r="65" spans="1:2" x14ac:dyDescent="0.3">
      <c r="A65" t="s">
        <v>390</v>
      </c>
      <c r="B65">
        <v>4.7287144168618829</v>
      </c>
    </row>
    <row r="66" spans="1:2" x14ac:dyDescent="0.3">
      <c r="A66" t="s">
        <v>394</v>
      </c>
      <c r="B66">
        <v>2.6780446760720822</v>
      </c>
    </row>
    <row r="67" spans="1:2" x14ac:dyDescent="0.3">
      <c r="A67" t="s">
        <v>397</v>
      </c>
      <c r="B67">
        <v>5.5086383061657269</v>
      </c>
    </row>
    <row r="68" spans="1:2" x14ac:dyDescent="0.3">
      <c r="A68" t="s">
        <v>401</v>
      </c>
      <c r="B68">
        <v>4.7369539537831455</v>
      </c>
    </row>
    <row r="69" spans="1:2" x14ac:dyDescent="0.3">
      <c r="A69" t="s">
        <v>404</v>
      </c>
      <c r="B69">
        <v>4.4068913060494159</v>
      </c>
    </row>
    <row r="70" spans="1:2" x14ac:dyDescent="0.3">
      <c r="A70" t="s">
        <v>408</v>
      </c>
      <c r="B70">
        <v>5.0494832531420863</v>
      </c>
    </row>
    <row r="71" spans="1:2" x14ac:dyDescent="0.3">
      <c r="A71" t="s">
        <v>411</v>
      </c>
      <c r="B71">
        <v>5</v>
      </c>
    </row>
    <row r="72" spans="1:2" x14ac:dyDescent="0.3">
      <c r="A72" t="s">
        <v>420</v>
      </c>
      <c r="B72">
        <v>4.6989700043360187</v>
      </c>
    </row>
    <row r="73" spans="1:2" x14ac:dyDescent="0.3">
      <c r="A73" t="s">
        <v>423</v>
      </c>
      <c r="B73">
        <v>6.6989700043360187</v>
      </c>
    </row>
    <row r="74" spans="1:2" x14ac:dyDescent="0.3">
      <c r="A74" t="s">
        <v>426</v>
      </c>
      <c r="B74">
        <v>5.769551078621725</v>
      </c>
    </row>
    <row r="75" spans="1:2" x14ac:dyDescent="0.3">
      <c r="A75" t="s">
        <v>429</v>
      </c>
      <c r="B75">
        <v>4.7695510786217259</v>
      </c>
    </row>
    <row r="76" spans="1:2" x14ac:dyDescent="0.3">
      <c r="A76" t="s">
        <v>435</v>
      </c>
      <c r="B76">
        <v>4.2518119729937984</v>
      </c>
    </row>
    <row r="77" spans="1:2" x14ac:dyDescent="0.3">
      <c r="A77" t="s">
        <v>441</v>
      </c>
      <c r="B77">
        <v>5.8538719643217618</v>
      </c>
    </row>
    <row r="78" spans="1:2" x14ac:dyDescent="0.3">
      <c r="A78" t="s">
        <v>444</v>
      </c>
      <c r="B78">
        <v>6.0969100130080562</v>
      </c>
    </row>
    <row r="79" spans="1:2" x14ac:dyDescent="0.3">
      <c r="A79" t="s">
        <v>447</v>
      </c>
      <c r="B79">
        <v>5.5528419686577806</v>
      </c>
    </row>
    <row r="80" spans="1:2" x14ac:dyDescent="0.3">
      <c r="A80" t="s">
        <v>449</v>
      </c>
      <c r="B80">
        <v>6.3872161432802645</v>
      </c>
    </row>
    <row r="81" spans="1:2" x14ac:dyDescent="0.3">
      <c r="A81" t="s">
        <v>454</v>
      </c>
      <c r="B81">
        <v>7</v>
      </c>
    </row>
    <row r="82" spans="1:2" x14ac:dyDescent="0.3">
      <c r="A82" t="s">
        <v>457</v>
      </c>
      <c r="B82">
        <v>2.9999999999999996</v>
      </c>
    </row>
    <row r="83" spans="1:2" x14ac:dyDescent="0.3">
      <c r="A83" t="s">
        <v>467</v>
      </c>
      <c r="B83">
        <v>5.1159930547579826</v>
      </c>
    </row>
    <row r="84" spans="1:2" x14ac:dyDescent="0.3">
      <c r="A84" t="s">
        <v>474</v>
      </c>
      <c r="B84">
        <v>7</v>
      </c>
    </row>
    <row r="85" spans="1:2" x14ac:dyDescent="0.3">
      <c r="A85" t="s">
        <v>477</v>
      </c>
      <c r="B85">
        <v>5.9999999999999991</v>
      </c>
    </row>
    <row r="86" spans="1:2" x14ac:dyDescent="0.3">
      <c r="A86" t="s">
        <v>480</v>
      </c>
      <c r="B86">
        <v>6.0457574905606748</v>
      </c>
    </row>
    <row r="87" spans="1:2" x14ac:dyDescent="0.3">
      <c r="A87" t="s">
        <v>483</v>
      </c>
      <c r="B87">
        <v>5.3770511374475261</v>
      </c>
    </row>
    <row r="88" spans="1:2" x14ac:dyDescent="0.3">
      <c r="A88" t="s">
        <v>487</v>
      </c>
      <c r="B88">
        <v>3.601802936285297</v>
      </c>
    </row>
    <row r="89" spans="1:2" x14ac:dyDescent="0.3">
      <c r="A89" t="s">
        <v>489</v>
      </c>
      <c r="B89">
        <v>5.0760211417835448</v>
      </c>
    </row>
    <row r="90" spans="1:2" x14ac:dyDescent="0.3">
      <c r="A90" t="s">
        <v>492</v>
      </c>
      <c r="B90">
        <v>5.3098039199714862</v>
      </c>
    </row>
    <row r="91" spans="1:2" x14ac:dyDescent="0.3">
      <c r="A91" t="s">
        <v>495</v>
      </c>
      <c r="B91">
        <v>5.5287082889410613</v>
      </c>
    </row>
    <row r="92" spans="1:2" x14ac:dyDescent="0.3">
      <c r="A92" t="s">
        <v>498</v>
      </c>
      <c r="B92">
        <v>4.2738023073020264</v>
      </c>
    </row>
    <row r="93" spans="1:2" x14ac:dyDescent="0.3">
      <c r="A93" t="s">
        <v>501</v>
      </c>
      <c r="B93">
        <v>7.0043648054024485</v>
      </c>
    </row>
    <row r="94" spans="1:2" x14ac:dyDescent="0.3">
      <c r="A94" t="s">
        <v>504</v>
      </c>
      <c r="B94">
        <v>6.6989700043360187</v>
      </c>
    </row>
    <row r="95" spans="1:2" x14ac:dyDescent="0.3">
      <c r="A95" t="s">
        <v>507</v>
      </c>
      <c r="B95">
        <v>5.1135092748275177</v>
      </c>
    </row>
    <row r="96" spans="1:2" x14ac:dyDescent="0.3">
      <c r="A96" t="s">
        <v>510</v>
      </c>
      <c r="B96">
        <v>7.4089353929734996</v>
      </c>
    </row>
    <row r="97" spans="1:2" x14ac:dyDescent="0.3">
      <c r="A97" t="s">
        <v>512</v>
      </c>
      <c r="B97">
        <v>7.0087739243075049</v>
      </c>
    </row>
    <row r="98" spans="1:2" x14ac:dyDescent="0.3">
      <c r="A98" t="s">
        <v>515</v>
      </c>
      <c r="B98">
        <v>3.8050652408509431</v>
      </c>
    </row>
    <row r="99" spans="1:2" x14ac:dyDescent="0.3">
      <c r="A99" t="s">
        <v>518</v>
      </c>
      <c r="B99">
        <v>6.4685210829577446</v>
      </c>
    </row>
    <row r="100" spans="1:2" x14ac:dyDescent="0.3">
      <c r="A100" t="s">
        <v>526</v>
      </c>
      <c r="B100">
        <v>5.2388241868442682</v>
      </c>
    </row>
    <row r="101" spans="1:2" x14ac:dyDescent="0.3">
      <c r="A101" t="s">
        <v>532</v>
      </c>
      <c r="B101">
        <v>5.481486060122112</v>
      </c>
    </row>
    <row r="102" spans="1:2" x14ac:dyDescent="0.3">
      <c r="A102" t="s">
        <v>535</v>
      </c>
      <c r="B102">
        <v>4.0809219076239254</v>
      </c>
    </row>
    <row r="103" spans="1:2" x14ac:dyDescent="0.3">
      <c r="A103" t="s">
        <v>538</v>
      </c>
      <c r="B103">
        <v>5.9586073148417746</v>
      </c>
    </row>
    <row r="104" spans="1:2" x14ac:dyDescent="0.3">
      <c r="A104" t="s">
        <v>548</v>
      </c>
      <c r="B104">
        <v>6.2218487496163553</v>
      </c>
    </row>
    <row r="105" spans="1:2" x14ac:dyDescent="0.3">
      <c r="A105" t="s">
        <v>551</v>
      </c>
      <c r="B105">
        <v>5.769551078621725</v>
      </c>
    </row>
    <row r="106" spans="1:2" x14ac:dyDescent="0.3">
      <c r="A106" t="s">
        <v>554</v>
      </c>
      <c r="B106">
        <v>5.6197887582883927</v>
      </c>
    </row>
    <row r="107" spans="1:2" x14ac:dyDescent="0.3">
      <c r="A107" t="s">
        <v>556</v>
      </c>
      <c r="B107">
        <v>5.2204035087421747</v>
      </c>
    </row>
    <row r="108" spans="1:2" x14ac:dyDescent="0.3">
      <c r="A108" t="s">
        <v>562</v>
      </c>
      <c r="B108">
        <v>6.7958800173440741</v>
      </c>
    </row>
    <row r="109" spans="1:2" x14ac:dyDescent="0.3">
      <c r="A109" t="s">
        <v>568</v>
      </c>
      <c r="B109">
        <v>7.6989700043360179</v>
      </c>
    </row>
    <row r="110" spans="1:2" x14ac:dyDescent="0.3">
      <c r="A110" t="s">
        <v>574</v>
      </c>
      <c r="B110">
        <v>3.8463951069862583</v>
      </c>
    </row>
    <row r="111" spans="1:2" x14ac:dyDescent="0.3">
      <c r="A111" t="s">
        <v>576</v>
      </c>
      <c r="B111">
        <v>4.0763217956424915</v>
      </c>
    </row>
    <row r="112" spans="1:2" x14ac:dyDescent="0.3">
      <c r="A112" t="s">
        <v>579</v>
      </c>
      <c r="B112">
        <v>5.920818753952374</v>
      </c>
    </row>
    <row r="113" spans="1:2" x14ac:dyDescent="0.3">
      <c r="A113" t="s">
        <v>582</v>
      </c>
      <c r="B113">
        <v>5.8239087409443187</v>
      </c>
    </row>
    <row r="114" spans="1:2" x14ac:dyDescent="0.3">
      <c r="A114" t="s">
        <v>589</v>
      </c>
      <c r="B114">
        <v>2.9999999999999996</v>
      </c>
    </row>
    <row r="115" spans="1:2" x14ac:dyDescent="0.3">
      <c r="A115" t="s">
        <v>595</v>
      </c>
      <c r="B115">
        <v>6.0457574905606748</v>
      </c>
    </row>
    <row r="116" spans="1:2" x14ac:dyDescent="0.3">
      <c r="A116" t="s">
        <v>601</v>
      </c>
      <c r="B116">
        <v>6.6989700043360187</v>
      </c>
    </row>
    <row r="117" spans="1:2" x14ac:dyDescent="0.3">
      <c r="A117" t="s">
        <v>604</v>
      </c>
      <c r="B117">
        <v>5.0809219076239254</v>
      </c>
    </row>
    <row r="118" spans="1:2" x14ac:dyDescent="0.3">
      <c r="A118" t="s">
        <v>608</v>
      </c>
      <c r="B118">
        <v>5.1465454258899932</v>
      </c>
    </row>
    <row r="119" spans="1:2" x14ac:dyDescent="0.3">
      <c r="A119" t="s">
        <v>610</v>
      </c>
      <c r="B119">
        <v>5.1344533695812737</v>
      </c>
    </row>
    <row r="120" spans="1:2" x14ac:dyDescent="0.3">
      <c r="A120" t="s">
        <v>616</v>
      </c>
      <c r="B120">
        <v>5.6817114684018071</v>
      </c>
    </row>
    <row r="121" spans="1:2" x14ac:dyDescent="0.3">
      <c r="A121" t="s">
        <v>620</v>
      </c>
      <c r="B121">
        <v>4.7248607780823368</v>
      </c>
    </row>
    <row r="122" spans="1:2" x14ac:dyDescent="0.3">
      <c r="A122" t="s">
        <v>622</v>
      </c>
      <c r="B122">
        <v>6.0969100130080562</v>
      </c>
    </row>
    <row r="123" spans="1:2" x14ac:dyDescent="0.3">
      <c r="A123" t="s">
        <v>624</v>
      </c>
      <c r="B123">
        <v>9.5086383061657251</v>
      </c>
    </row>
    <row r="124" spans="1:2" x14ac:dyDescent="0.3">
      <c r="A124" t="s">
        <v>627</v>
      </c>
      <c r="B124">
        <v>6.5228787452803365</v>
      </c>
    </row>
    <row r="125" spans="1:2" x14ac:dyDescent="0.3">
      <c r="A125" t="s">
        <v>630</v>
      </c>
      <c r="B125">
        <v>5.1611509092627443</v>
      </c>
    </row>
    <row r="126" spans="1:2" x14ac:dyDescent="0.3">
      <c r="A126" t="s">
        <v>633</v>
      </c>
      <c r="B126">
        <v>6.5228787452803365</v>
      </c>
    </row>
    <row r="127" spans="1:2" x14ac:dyDescent="0.3">
      <c r="A127" t="s">
        <v>636</v>
      </c>
      <c r="B127">
        <v>4.5228787452803374</v>
      </c>
    </row>
    <row r="128" spans="1:2" x14ac:dyDescent="0.3">
      <c r="A128" t="s">
        <v>639</v>
      </c>
      <c r="B128">
        <v>4.7212463990471703</v>
      </c>
    </row>
    <row r="129" spans="1:2" x14ac:dyDescent="0.3">
      <c r="A129" t="s">
        <v>641</v>
      </c>
      <c r="B129">
        <v>4.3010299956639804</v>
      </c>
    </row>
    <row r="130" spans="1:2" x14ac:dyDescent="0.3">
      <c r="A130" t="s">
        <v>644</v>
      </c>
      <c r="B130">
        <v>5.5228787452803374</v>
      </c>
    </row>
    <row r="131" spans="1:2" x14ac:dyDescent="0.3">
      <c r="A131" t="s">
        <v>651</v>
      </c>
      <c r="B131">
        <v>5.4559319556497234</v>
      </c>
    </row>
    <row r="132" spans="1:2" x14ac:dyDescent="0.3">
      <c r="A132" t="s">
        <v>657</v>
      </c>
      <c r="B132">
        <v>2.9999999999999996</v>
      </c>
    </row>
    <row r="133" spans="1:2" x14ac:dyDescent="0.3">
      <c r="A133" t="s">
        <v>659</v>
      </c>
      <c r="B133">
        <v>5.4329736338409393</v>
      </c>
    </row>
    <row r="134" spans="1:2" x14ac:dyDescent="0.3">
      <c r="A134" t="s">
        <v>661</v>
      </c>
      <c r="B134">
        <v>5.546681659952962</v>
      </c>
    </row>
    <row r="135" spans="1:2" x14ac:dyDescent="0.3">
      <c r="A135" t="s">
        <v>664</v>
      </c>
      <c r="B135">
        <v>5.1938200260161125</v>
      </c>
    </row>
    <row r="136" spans="1:2" x14ac:dyDescent="0.3">
      <c r="A136" t="s">
        <v>667</v>
      </c>
      <c r="B136">
        <v>5.8860566476931622</v>
      </c>
    </row>
    <row r="137" spans="1:2" x14ac:dyDescent="0.3">
      <c r="A137" t="s">
        <v>670</v>
      </c>
      <c r="B137">
        <v>5.2471835688117281</v>
      </c>
    </row>
    <row r="138" spans="1:2" x14ac:dyDescent="0.3">
      <c r="A138" t="s">
        <v>673</v>
      </c>
      <c r="B138">
        <v>5.6777807052660796</v>
      </c>
    </row>
    <row r="139" spans="1:2" x14ac:dyDescent="0.3">
      <c r="A139" t="s">
        <v>675</v>
      </c>
      <c r="B139">
        <v>5.5228787452803374</v>
      </c>
    </row>
    <row r="140" spans="1:2" x14ac:dyDescent="0.3">
      <c r="A140" t="s">
        <v>678</v>
      </c>
      <c r="B140">
        <v>5.1568392907103382</v>
      </c>
    </row>
    <row r="141" spans="1:2" x14ac:dyDescent="0.3">
      <c r="A141" t="s">
        <v>683</v>
      </c>
      <c r="B141">
        <v>6.5376020021010435</v>
      </c>
    </row>
    <row r="142" spans="1:2" x14ac:dyDescent="0.3">
      <c r="A142" t="s">
        <v>692</v>
      </c>
      <c r="B142">
        <v>2.6593456357461767</v>
      </c>
    </row>
    <row r="143" spans="1:2" x14ac:dyDescent="0.3">
      <c r="A143" t="s">
        <v>695</v>
      </c>
      <c r="B143">
        <v>7.4436974992327123</v>
      </c>
    </row>
    <row r="144" spans="1:2" x14ac:dyDescent="0.3">
      <c r="A144" t="s">
        <v>698</v>
      </c>
      <c r="B144">
        <v>6.8239087409443178</v>
      </c>
    </row>
    <row r="145" spans="1:2" x14ac:dyDescent="0.3">
      <c r="A145" t="s">
        <v>704</v>
      </c>
      <c r="B145">
        <v>5.9030899869919429</v>
      </c>
    </row>
    <row r="146" spans="1:2" x14ac:dyDescent="0.3">
      <c r="A146" t="s">
        <v>707</v>
      </c>
      <c r="B146">
        <v>4.8569851997459041</v>
      </c>
    </row>
    <row r="147" spans="1:2" x14ac:dyDescent="0.3">
      <c r="A147" t="s">
        <v>713</v>
      </c>
      <c r="B147">
        <v>3.6989700043360187</v>
      </c>
    </row>
    <row r="148" spans="1:2" x14ac:dyDescent="0.3">
      <c r="A148" t="s">
        <v>715</v>
      </c>
      <c r="B148">
        <v>7.3187587626244124</v>
      </c>
    </row>
    <row r="149" spans="1:2" x14ac:dyDescent="0.3">
      <c r="A149" t="s">
        <v>721</v>
      </c>
      <c r="B149">
        <v>7.0087739243075049</v>
      </c>
    </row>
    <row r="150" spans="1:2" x14ac:dyDescent="0.3">
      <c r="A150" t="s">
        <v>725</v>
      </c>
      <c r="B150">
        <v>5.1079053973095192</v>
      </c>
    </row>
    <row r="151" spans="1:2" x14ac:dyDescent="0.3">
      <c r="A151" t="s">
        <v>728</v>
      </c>
      <c r="B151">
        <v>8</v>
      </c>
    </row>
    <row r="152" spans="1:2" x14ac:dyDescent="0.3">
      <c r="A152" t="s">
        <v>731</v>
      </c>
      <c r="B152">
        <v>5.769551078621725</v>
      </c>
    </row>
    <row r="153" spans="1:2" x14ac:dyDescent="0.3">
      <c r="A153" t="s">
        <v>734</v>
      </c>
      <c r="B153">
        <v>4.5228787452803374</v>
      </c>
    </row>
    <row r="154" spans="1:2" x14ac:dyDescent="0.3">
      <c r="A154" t="s">
        <v>737</v>
      </c>
      <c r="B154">
        <v>5.481486060122112</v>
      </c>
    </row>
    <row r="155" spans="1:2" x14ac:dyDescent="0.3">
      <c r="A155" t="s">
        <v>739</v>
      </c>
      <c r="B155">
        <v>5.924453038607469</v>
      </c>
    </row>
    <row r="156" spans="1:2" x14ac:dyDescent="0.3">
      <c r="A156" t="s">
        <v>754</v>
      </c>
      <c r="B156">
        <v>5.6197887582883927</v>
      </c>
    </row>
    <row r="157" spans="1:2" x14ac:dyDescent="0.3">
      <c r="A157" t="s">
        <v>756</v>
      </c>
      <c r="B157">
        <v>6.6989700043360187</v>
      </c>
    </row>
    <row r="158" spans="1:2" x14ac:dyDescent="0.3">
      <c r="A158" t="s">
        <v>758</v>
      </c>
      <c r="B158">
        <v>7.0861861476162824</v>
      </c>
    </row>
    <row r="159" spans="1:2" x14ac:dyDescent="0.3">
      <c r="A159" t="s">
        <v>761</v>
      </c>
      <c r="B159">
        <v>9.3665315444204111</v>
      </c>
    </row>
    <row r="160" spans="1:2" x14ac:dyDescent="0.3">
      <c r="A160" t="s">
        <v>771</v>
      </c>
      <c r="B160">
        <v>6.0222763947111515</v>
      </c>
    </row>
    <row r="161" spans="1:2" x14ac:dyDescent="0.3">
      <c r="A161" t="s">
        <v>773</v>
      </c>
      <c r="B161">
        <v>3.2757241303992104</v>
      </c>
    </row>
    <row r="162" spans="1:2" x14ac:dyDescent="0.3">
      <c r="A162" t="s">
        <v>778</v>
      </c>
      <c r="B162">
        <v>5</v>
      </c>
    </row>
    <row r="163" spans="1:2" x14ac:dyDescent="0.3">
      <c r="A163" t="s">
        <v>781</v>
      </c>
      <c r="B163">
        <v>6.9208187539523749</v>
      </c>
    </row>
    <row r="164" spans="1:2" x14ac:dyDescent="0.3">
      <c r="A164" t="s">
        <v>784</v>
      </c>
      <c r="B164">
        <v>4.3010299956639804</v>
      </c>
    </row>
    <row r="165" spans="1:2" x14ac:dyDescent="0.3">
      <c r="A165" t="s">
        <v>786</v>
      </c>
      <c r="B165">
        <v>4.3872161432802645</v>
      </c>
    </row>
    <row r="166" spans="1:2" x14ac:dyDescent="0.3">
      <c r="A166" t="s">
        <v>788</v>
      </c>
      <c r="B166">
        <v>7.0177287669604302</v>
      </c>
    </row>
    <row r="167" spans="1:2" x14ac:dyDescent="0.3">
      <c r="A167" t="s">
        <v>790</v>
      </c>
      <c r="B167">
        <v>7.2365720064370622</v>
      </c>
    </row>
    <row r="168" spans="1:2" x14ac:dyDescent="0.3">
      <c r="A168" t="s">
        <v>793</v>
      </c>
      <c r="B168">
        <v>4.9208187539523749</v>
      </c>
    </row>
    <row r="169" spans="1:2" x14ac:dyDescent="0.3">
      <c r="A169" t="s">
        <v>796</v>
      </c>
      <c r="B169">
        <v>5.769551078621725</v>
      </c>
    </row>
    <row r="170" spans="1:2" x14ac:dyDescent="0.3">
      <c r="A170" t="s">
        <v>798</v>
      </c>
      <c r="B170">
        <v>6.3979400086720375</v>
      </c>
    </row>
    <row r="171" spans="1:2" x14ac:dyDescent="0.3">
      <c r="A171" t="s">
        <v>800</v>
      </c>
      <c r="B171">
        <v>5.7500804113371</v>
      </c>
    </row>
    <row r="172" spans="1:2" x14ac:dyDescent="0.3">
      <c r="A172" t="s">
        <v>802</v>
      </c>
      <c r="B172">
        <v>3.0222763947111519</v>
      </c>
    </row>
    <row r="173" spans="1:2" x14ac:dyDescent="0.3">
      <c r="A173" t="s">
        <v>804</v>
      </c>
      <c r="B173">
        <v>6.3979400086720375</v>
      </c>
    </row>
    <row r="174" spans="1:2" x14ac:dyDescent="0.3">
      <c r="A174" t="s">
        <v>811</v>
      </c>
      <c r="B174">
        <v>3.7213158806058986</v>
      </c>
    </row>
    <row r="175" spans="1:2" x14ac:dyDescent="0.3">
      <c r="A175" t="s">
        <v>813</v>
      </c>
      <c r="B175">
        <v>4.4081657387206921</v>
      </c>
    </row>
    <row r="176" spans="1:2" x14ac:dyDescent="0.3">
      <c r="A176" t="s">
        <v>816</v>
      </c>
      <c r="B176">
        <v>5.6777807052660796</v>
      </c>
    </row>
    <row r="177" spans="1:2" x14ac:dyDescent="0.3">
      <c r="A177" t="s">
        <v>819</v>
      </c>
      <c r="B177">
        <v>5.6989700043360179</v>
      </c>
    </row>
    <row r="178" spans="1:2" x14ac:dyDescent="0.3">
      <c r="A178" t="s">
        <v>822</v>
      </c>
      <c r="B178">
        <v>4.5086383061657269</v>
      </c>
    </row>
    <row r="179" spans="1:2" x14ac:dyDescent="0.3">
      <c r="A179" t="s">
        <v>825</v>
      </c>
      <c r="B179">
        <v>5.9999999999999991</v>
      </c>
    </row>
    <row r="180" spans="1:2" x14ac:dyDescent="0.3">
      <c r="A180" t="s">
        <v>827</v>
      </c>
      <c r="B180">
        <v>5.2076083105017457</v>
      </c>
    </row>
    <row r="181" spans="1:2" x14ac:dyDescent="0.3">
      <c r="A181" t="s">
        <v>830</v>
      </c>
      <c r="B181">
        <v>6.7958800173440741</v>
      </c>
    </row>
    <row r="182" spans="1:2" x14ac:dyDescent="0.3">
      <c r="A182" t="s">
        <v>833</v>
      </c>
      <c r="B182">
        <v>8.0043648054024494</v>
      </c>
    </row>
    <row r="183" spans="1:2" x14ac:dyDescent="0.3">
      <c r="A183" t="s">
        <v>838</v>
      </c>
      <c r="B183">
        <v>6.5528419686577797</v>
      </c>
    </row>
    <row r="184" spans="1:2" x14ac:dyDescent="0.3">
      <c r="A184" t="s">
        <v>841</v>
      </c>
      <c r="B184">
        <v>5.5555780727729545</v>
      </c>
    </row>
    <row r="185" spans="1:2" x14ac:dyDescent="0.3">
      <c r="A185" t="s">
        <v>843</v>
      </c>
      <c r="B185">
        <v>4.8021436201196464</v>
      </c>
    </row>
    <row r="186" spans="1:2" x14ac:dyDescent="0.3">
      <c r="A186" t="s">
        <v>845</v>
      </c>
      <c r="B186">
        <v>5.2441251443275076</v>
      </c>
    </row>
    <row r="187" spans="1:2" x14ac:dyDescent="0.3">
      <c r="A187" t="s">
        <v>848</v>
      </c>
      <c r="B187">
        <v>5.5376020021010435</v>
      </c>
    </row>
    <row r="188" spans="1:2" x14ac:dyDescent="0.3">
      <c r="A188" t="s">
        <v>851</v>
      </c>
      <c r="B188">
        <v>5.4317982759330041</v>
      </c>
    </row>
    <row r="189" spans="1:2" x14ac:dyDescent="0.3">
      <c r="A189" t="s">
        <v>857</v>
      </c>
      <c r="B189">
        <v>6.0969100130080562</v>
      </c>
    </row>
    <row r="190" spans="1:2" x14ac:dyDescent="0.3">
      <c r="A190" t="s">
        <v>860</v>
      </c>
      <c r="B190">
        <v>5.9999999999999991</v>
      </c>
    </row>
    <row r="191" spans="1:2" x14ac:dyDescent="0.3">
      <c r="A191" t="s">
        <v>863</v>
      </c>
      <c r="B191">
        <v>6.3979400086720375</v>
      </c>
    </row>
    <row r="192" spans="1:2" x14ac:dyDescent="0.3">
      <c r="A192" t="s">
        <v>866</v>
      </c>
      <c r="B192">
        <v>4.7695510786217259</v>
      </c>
    </row>
    <row r="193" spans="1:2" x14ac:dyDescent="0.3">
      <c r="A193" t="s">
        <v>869</v>
      </c>
      <c r="B193">
        <v>5.5228787452803374</v>
      </c>
    </row>
    <row r="194" spans="1:2" x14ac:dyDescent="0.3">
      <c r="A194" t="s">
        <v>872</v>
      </c>
      <c r="B194">
        <v>7.2365720064370622</v>
      </c>
    </row>
    <row r="195" spans="1:2" x14ac:dyDescent="0.3">
      <c r="A195" t="s">
        <v>881</v>
      </c>
      <c r="B195">
        <v>5.0757207139381171</v>
      </c>
    </row>
    <row r="196" spans="1:2" x14ac:dyDescent="0.3">
      <c r="A196" t="s">
        <v>884</v>
      </c>
      <c r="B196">
        <v>9.4202164033831899</v>
      </c>
    </row>
    <row r="197" spans="1:2" x14ac:dyDescent="0.3">
      <c r="A197" t="s">
        <v>886</v>
      </c>
      <c r="B197">
        <v>5.4202164033831899</v>
      </c>
    </row>
    <row r="198" spans="1:2" x14ac:dyDescent="0.3">
      <c r="A198" t="s">
        <v>889</v>
      </c>
      <c r="B198">
        <v>5.769551078621725</v>
      </c>
    </row>
    <row r="199" spans="1:2" x14ac:dyDescent="0.3">
      <c r="A199" t="s">
        <v>893</v>
      </c>
      <c r="B199">
        <v>4.7825507979549773</v>
      </c>
    </row>
    <row r="200" spans="1:2" x14ac:dyDescent="0.3">
      <c r="A200" t="s">
        <v>908</v>
      </c>
      <c r="B200">
        <v>2.7062738755272853</v>
      </c>
    </row>
    <row r="201" spans="1:2" x14ac:dyDescent="0.3">
      <c r="A201" t="s">
        <v>910</v>
      </c>
      <c r="B201">
        <v>2.9999999999999996</v>
      </c>
    </row>
    <row r="202" spans="1:2" x14ac:dyDescent="0.3">
      <c r="A202" t="s">
        <v>917</v>
      </c>
      <c r="B202">
        <v>5.8538719643217618</v>
      </c>
    </row>
    <row r="203" spans="1:2" x14ac:dyDescent="0.3">
      <c r="A203" t="s">
        <v>920</v>
      </c>
      <c r="B203">
        <v>5.2676062401770309</v>
      </c>
    </row>
    <row r="204" spans="1:2" x14ac:dyDescent="0.3">
      <c r="A204" t="s">
        <v>925</v>
      </c>
      <c r="B204">
        <v>6.1549019599857431</v>
      </c>
    </row>
    <row r="205" spans="1:2" x14ac:dyDescent="0.3">
      <c r="A205" t="s">
        <v>930</v>
      </c>
      <c r="B205">
        <v>5.1120731320778381</v>
      </c>
    </row>
    <row r="206" spans="1:2" x14ac:dyDescent="0.3">
      <c r="A206" t="s">
        <v>933</v>
      </c>
      <c r="B206">
        <v>4.1060952365149248</v>
      </c>
    </row>
    <row r="207" spans="1:2" x14ac:dyDescent="0.3">
      <c r="A207" t="s">
        <v>935</v>
      </c>
      <c r="B207">
        <v>5.1279979492850565</v>
      </c>
    </row>
    <row r="208" spans="1:2" x14ac:dyDescent="0.3">
      <c r="A208" t="s">
        <v>937</v>
      </c>
      <c r="B208">
        <v>4.9392038608241444</v>
      </c>
    </row>
    <row r="209" spans="1:2" x14ac:dyDescent="0.3">
      <c r="A209" t="s">
        <v>940</v>
      </c>
      <c r="B209">
        <v>7.1804560644581317</v>
      </c>
    </row>
    <row r="210" spans="1:2" x14ac:dyDescent="0.3">
      <c r="A210" t="s">
        <v>944</v>
      </c>
      <c r="B210">
        <v>4.4948500216800928</v>
      </c>
    </row>
    <row r="211" spans="1:2" x14ac:dyDescent="0.3">
      <c r="A211" t="s">
        <v>947</v>
      </c>
      <c r="B211">
        <v>4.9952362102039354</v>
      </c>
    </row>
    <row r="212" spans="1:2" x14ac:dyDescent="0.3">
      <c r="A212" t="s">
        <v>950</v>
      </c>
      <c r="B212">
        <v>2.8577183644992141</v>
      </c>
    </row>
    <row r="213" spans="1:2" x14ac:dyDescent="0.3">
      <c r="A213" t="s">
        <v>953</v>
      </c>
      <c r="B213">
        <v>6.5514957428755975</v>
      </c>
    </row>
    <row r="214" spans="1:2" x14ac:dyDescent="0.3">
      <c r="A214" t="s">
        <v>955</v>
      </c>
      <c r="B214">
        <v>7.0655015487564325</v>
      </c>
    </row>
    <row r="215" spans="1:2" x14ac:dyDescent="0.3">
      <c r="A215" t="s">
        <v>957</v>
      </c>
      <c r="B215">
        <v>5.348888723071437</v>
      </c>
    </row>
    <row r="216" spans="1:2" x14ac:dyDescent="0.3">
      <c r="A216" t="s">
        <v>959</v>
      </c>
      <c r="B216">
        <v>5.069165762508276</v>
      </c>
    </row>
    <row r="217" spans="1:2" x14ac:dyDescent="0.3">
      <c r="A217" t="s">
        <v>965</v>
      </c>
      <c r="B217">
        <v>4.3010299956639804</v>
      </c>
    </row>
    <row r="218" spans="1:2" x14ac:dyDescent="0.3">
      <c r="A218" t="s">
        <v>967</v>
      </c>
      <c r="B218">
        <v>6.5228787452803365</v>
      </c>
    </row>
    <row r="219" spans="1:2" x14ac:dyDescent="0.3">
      <c r="A219" t="s">
        <v>970</v>
      </c>
      <c r="B219">
        <v>6.9586073148417746</v>
      </c>
    </row>
    <row r="220" spans="1:2" x14ac:dyDescent="0.3">
      <c r="A220" t="s">
        <v>973</v>
      </c>
      <c r="B220">
        <v>6.1804560644581308</v>
      </c>
    </row>
    <row r="221" spans="1:2" x14ac:dyDescent="0.3">
      <c r="A221" t="s">
        <v>976</v>
      </c>
      <c r="B221">
        <v>5.2890368810047237</v>
      </c>
    </row>
    <row r="222" spans="1:2" x14ac:dyDescent="0.3">
      <c r="A222" t="s">
        <v>980</v>
      </c>
      <c r="B222">
        <v>6.0177287669604311</v>
      </c>
    </row>
    <row r="223" spans="1:2" x14ac:dyDescent="0.3">
      <c r="A223" t="s">
        <v>984</v>
      </c>
      <c r="B223">
        <v>4.0124824250360822</v>
      </c>
    </row>
    <row r="224" spans="1:2" x14ac:dyDescent="0.3">
      <c r="A224" t="s">
        <v>986</v>
      </c>
      <c r="B224">
        <v>4.7369539537831455</v>
      </c>
    </row>
    <row r="225" spans="1:2" x14ac:dyDescent="0.3">
      <c r="A225" t="s">
        <v>988</v>
      </c>
      <c r="B225">
        <v>4.3685365756146419</v>
      </c>
    </row>
    <row r="226" spans="1:2" x14ac:dyDescent="0.3">
      <c r="A226" t="s">
        <v>991</v>
      </c>
      <c r="B226">
        <v>5.368583989128461</v>
      </c>
    </row>
    <row r="227" spans="1:2" x14ac:dyDescent="0.3">
      <c r="A227" t="s">
        <v>997</v>
      </c>
      <c r="B227">
        <v>5.0341603587474797</v>
      </c>
    </row>
    <row r="228" spans="1:2" x14ac:dyDescent="0.3">
      <c r="A228" t="s">
        <v>1002</v>
      </c>
      <c r="B228">
        <v>6.6989700043360187</v>
      </c>
    </row>
    <row r="229" spans="1:2" x14ac:dyDescent="0.3">
      <c r="A229" t="s">
        <v>1004</v>
      </c>
      <c r="B229">
        <v>2.5937511334385239</v>
      </c>
    </row>
    <row r="230" spans="1:2" x14ac:dyDescent="0.3">
      <c r="A230" t="s">
        <v>1006</v>
      </c>
      <c r="B230">
        <v>5.1307701415271003</v>
      </c>
    </row>
    <row r="231" spans="1:2" x14ac:dyDescent="0.3">
      <c r="A231" t="s">
        <v>1010</v>
      </c>
      <c r="B231">
        <v>7.3372421683184257</v>
      </c>
    </row>
    <row r="232" spans="1:2" x14ac:dyDescent="0.3">
      <c r="A232" t="s">
        <v>1013</v>
      </c>
      <c r="B232">
        <v>4.4788619162959638</v>
      </c>
    </row>
    <row r="233" spans="1:2" x14ac:dyDescent="0.3">
      <c r="A233" t="s">
        <v>1015</v>
      </c>
      <c r="B233">
        <v>4.4349379773095174</v>
      </c>
    </row>
    <row r="234" spans="1:2" x14ac:dyDescent="0.3">
      <c r="A234" t="s">
        <v>1018</v>
      </c>
      <c r="B234">
        <v>2.9999999999999996</v>
      </c>
    </row>
    <row r="235" spans="1:2" x14ac:dyDescent="0.3">
      <c r="A235" t="s">
        <v>1021</v>
      </c>
      <c r="B235">
        <v>7.8860566476931622</v>
      </c>
    </row>
    <row r="236" spans="1:2" x14ac:dyDescent="0.3">
      <c r="A236" t="s">
        <v>1024</v>
      </c>
      <c r="B236">
        <v>5.3979400086720366</v>
      </c>
    </row>
    <row r="237" spans="1:2" x14ac:dyDescent="0.3">
      <c r="A237" t="s">
        <v>1026</v>
      </c>
      <c r="B237">
        <v>6.2218487496163553</v>
      </c>
    </row>
    <row r="238" spans="1:2" x14ac:dyDescent="0.3">
      <c r="A238" t="s">
        <v>1029</v>
      </c>
      <c r="B238">
        <v>3.2919869279837601</v>
      </c>
    </row>
    <row r="239" spans="1:2" x14ac:dyDescent="0.3">
      <c r="A239" t="s">
        <v>1032</v>
      </c>
      <c r="B239">
        <v>6.3010299956639804</v>
      </c>
    </row>
    <row r="240" spans="1:2" x14ac:dyDescent="0.3">
      <c r="A240" t="s">
        <v>1035</v>
      </c>
      <c r="B240">
        <v>5.8239087409443187</v>
      </c>
    </row>
    <row r="241" spans="1:2" x14ac:dyDescent="0.3">
      <c r="A241" t="s">
        <v>1038</v>
      </c>
      <c r="B241">
        <v>5.9586073148417746</v>
      </c>
    </row>
    <row r="242" spans="1:2" x14ac:dyDescent="0.3">
      <c r="A242" t="s">
        <v>1041</v>
      </c>
      <c r="B242">
        <v>6.3010299956639804</v>
      </c>
    </row>
    <row r="243" spans="1:2" x14ac:dyDescent="0.3">
      <c r="A243" t="s">
        <v>1044</v>
      </c>
      <c r="B243">
        <v>5.6989700043360179</v>
      </c>
    </row>
    <row r="244" spans="1:2" x14ac:dyDescent="0.3">
      <c r="A244" t="s">
        <v>1047</v>
      </c>
      <c r="B244">
        <v>6.1549019599857431</v>
      </c>
    </row>
    <row r="245" spans="1:2" x14ac:dyDescent="0.3">
      <c r="A245" t="s">
        <v>1053</v>
      </c>
      <c r="B245">
        <v>4.414388326931074</v>
      </c>
    </row>
    <row r="246" spans="1:2" x14ac:dyDescent="0.3">
      <c r="A246" t="s">
        <v>1056</v>
      </c>
      <c r="B246">
        <v>6.7695510786217259</v>
      </c>
    </row>
    <row r="247" spans="1:2" x14ac:dyDescent="0.3">
      <c r="A247" t="s">
        <v>1060</v>
      </c>
      <c r="B247">
        <v>2.7785419396335533</v>
      </c>
    </row>
    <row r="248" spans="1:2" x14ac:dyDescent="0.3">
      <c r="A248" t="s">
        <v>1063</v>
      </c>
      <c r="B248">
        <v>6.431798275933005</v>
      </c>
    </row>
    <row r="249" spans="1:2" x14ac:dyDescent="0.3">
      <c r="A249" t="s">
        <v>1065</v>
      </c>
      <c r="B249">
        <v>5.3145810875862729</v>
      </c>
    </row>
    <row r="250" spans="1:2" x14ac:dyDescent="0.3">
      <c r="A250" t="s">
        <v>1072</v>
      </c>
      <c r="B250">
        <v>6.1249387366082999</v>
      </c>
    </row>
    <row r="251" spans="1:2" x14ac:dyDescent="0.3">
      <c r="A251" t="s">
        <v>1075</v>
      </c>
      <c r="B251">
        <v>5.1191864077192086</v>
      </c>
    </row>
    <row r="252" spans="1:2" x14ac:dyDescent="0.3">
      <c r="A252" t="s">
        <v>1078</v>
      </c>
      <c r="B252">
        <v>6.1549019599857431</v>
      </c>
    </row>
    <row r="253" spans="1:2" x14ac:dyDescent="0.3">
      <c r="A253" t="s">
        <v>1081</v>
      </c>
      <c r="B253">
        <v>5.7447274948966935</v>
      </c>
    </row>
    <row r="254" spans="1:2" x14ac:dyDescent="0.3">
      <c r="A254" t="s">
        <v>1084</v>
      </c>
      <c r="B254">
        <v>5.5086383061657269</v>
      </c>
    </row>
    <row r="255" spans="1:2" x14ac:dyDescent="0.3">
      <c r="A255" t="s">
        <v>1087</v>
      </c>
      <c r="B255">
        <v>4.7857710249010461</v>
      </c>
    </row>
    <row r="256" spans="1:2" x14ac:dyDescent="0.3">
      <c r="A256" t="s">
        <v>1090</v>
      </c>
      <c r="B256">
        <v>5.4317982759330041</v>
      </c>
    </row>
    <row r="257" spans="1:2" x14ac:dyDescent="0.3">
      <c r="A257" t="s">
        <v>1093</v>
      </c>
      <c r="B257">
        <v>5.6649990406428197</v>
      </c>
    </row>
    <row r="258" spans="1:2" x14ac:dyDescent="0.3">
      <c r="A258" t="s">
        <v>1099</v>
      </c>
      <c r="B258">
        <v>5.8239087409443187</v>
      </c>
    </row>
    <row r="259" spans="1:2" x14ac:dyDescent="0.3">
      <c r="A259" t="s">
        <v>1102</v>
      </c>
      <c r="B259">
        <v>4.4380490864680828</v>
      </c>
    </row>
    <row r="260" spans="1:2" x14ac:dyDescent="0.3">
      <c r="A260" t="s">
        <v>1105</v>
      </c>
      <c r="B260">
        <v>3.5122173052336234</v>
      </c>
    </row>
    <row r="261" spans="1:2" x14ac:dyDescent="0.3">
      <c r="A261" t="s">
        <v>1108</v>
      </c>
      <c r="B261">
        <v>5.6777807052660796</v>
      </c>
    </row>
    <row r="262" spans="1:2" x14ac:dyDescent="0.3">
      <c r="A262" t="s">
        <v>1111</v>
      </c>
      <c r="B262">
        <v>6.1549019599857431</v>
      </c>
    </row>
    <row r="263" spans="1:2" x14ac:dyDescent="0.3">
      <c r="A263" t="s">
        <v>1114</v>
      </c>
      <c r="B263">
        <v>5.0507663112330423</v>
      </c>
    </row>
    <row r="264" spans="1:2" x14ac:dyDescent="0.3">
      <c r="A264" t="s">
        <v>1120</v>
      </c>
      <c r="B264">
        <v>6.0915149811213496</v>
      </c>
    </row>
    <row r="265" spans="1:2" x14ac:dyDescent="0.3">
      <c r="A265" t="s">
        <v>1122</v>
      </c>
      <c r="B265">
        <v>4.8041718968826954</v>
      </c>
    </row>
    <row r="266" spans="1:2" x14ac:dyDescent="0.3">
      <c r="A266" t="s">
        <v>1124</v>
      </c>
      <c r="B266">
        <v>2.9999999999999996</v>
      </c>
    </row>
    <row r="267" spans="1:2" x14ac:dyDescent="0.3">
      <c r="A267" t="s">
        <v>1127</v>
      </c>
      <c r="B267">
        <v>3.4846556726169196</v>
      </c>
    </row>
    <row r="268" spans="1:2" x14ac:dyDescent="0.3">
      <c r="A268" t="s">
        <v>1129</v>
      </c>
      <c r="B268">
        <v>5.1776219930735516</v>
      </c>
    </row>
    <row r="269" spans="1:2" x14ac:dyDescent="0.3">
      <c r="A269" t="s">
        <v>1131</v>
      </c>
      <c r="B269">
        <v>6.3549403598710636</v>
      </c>
    </row>
    <row r="270" spans="1:2" x14ac:dyDescent="0.3">
      <c r="A270" t="s">
        <v>1136</v>
      </c>
      <c r="B270">
        <v>5.9999999999999991</v>
      </c>
    </row>
    <row r="271" spans="1:2" x14ac:dyDescent="0.3">
      <c r="A271" t="s">
        <v>1142</v>
      </c>
      <c r="B271">
        <v>5.8860566476931622</v>
      </c>
    </row>
    <row r="272" spans="1:2" x14ac:dyDescent="0.3">
      <c r="A272" t="s">
        <v>1145</v>
      </c>
      <c r="B272">
        <v>8</v>
      </c>
    </row>
    <row r="273" spans="1:2" x14ac:dyDescent="0.3">
      <c r="A273" t="s">
        <v>1148</v>
      </c>
      <c r="B273">
        <v>5.6989700043360179</v>
      </c>
    </row>
    <row r="274" spans="1:2" x14ac:dyDescent="0.3">
      <c r="A274" t="s">
        <v>1150</v>
      </c>
      <c r="B274">
        <v>5.2218487496163561</v>
      </c>
    </row>
    <row r="275" spans="1:2" x14ac:dyDescent="0.3">
      <c r="A275" t="s">
        <v>1152</v>
      </c>
      <c r="B275">
        <v>5.3925449767853308</v>
      </c>
    </row>
    <row r="276" spans="1:2" x14ac:dyDescent="0.3">
      <c r="A276" t="s">
        <v>1155</v>
      </c>
      <c r="B276">
        <v>5.8538719643217618</v>
      </c>
    </row>
    <row r="277" spans="1:2" x14ac:dyDescent="0.3">
      <c r="A277" t="s">
        <v>1158</v>
      </c>
      <c r="B277">
        <v>6.0457574905606748</v>
      </c>
    </row>
    <row r="278" spans="1:2" x14ac:dyDescent="0.3">
      <c r="A278" t="s">
        <v>1161</v>
      </c>
      <c r="B278">
        <v>6.2218487496163553</v>
      </c>
    </row>
    <row r="279" spans="1:2" x14ac:dyDescent="0.3">
      <c r="A279" t="s">
        <v>1164</v>
      </c>
      <c r="B279">
        <v>5.3565473235138121</v>
      </c>
    </row>
    <row r="280" spans="1:2" x14ac:dyDescent="0.3">
      <c r="A280" t="s">
        <v>1166</v>
      </c>
      <c r="B280">
        <v>4.9378476975357728</v>
      </c>
    </row>
    <row r="281" spans="1:2" x14ac:dyDescent="0.3">
      <c r="A281" t="s">
        <v>1171</v>
      </c>
      <c r="B281">
        <v>4.7549910972402465</v>
      </c>
    </row>
    <row r="282" spans="1:2" x14ac:dyDescent="0.3">
      <c r="A282" t="s">
        <v>1173</v>
      </c>
      <c r="B282">
        <v>4.5376020021010435</v>
      </c>
    </row>
    <row r="283" spans="1:2" x14ac:dyDescent="0.3">
      <c r="A283" t="s">
        <v>1176</v>
      </c>
      <c r="B283">
        <v>5.0409586076789052</v>
      </c>
    </row>
    <row r="284" spans="1:2" x14ac:dyDescent="0.3">
      <c r="A284" t="s">
        <v>1178</v>
      </c>
      <c r="B284">
        <v>5.1191864077192086</v>
      </c>
    </row>
    <row r="285" spans="1:2" x14ac:dyDescent="0.3">
      <c r="A285" t="s">
        <v>1180</v>
      </c>
      <c r="B285">
        <v>6.3010299956639804</v>
      </c>
    </row>
    <row r="286" spans="1:2" x14ac:dyDescent="0.3">
      <c r="A286" t="s">
        <v>1182</v>
      </c>
      <c r="B286">
        <v>6.3010299956639804</v>
      </c>
    </row>
    <row r="287" spans="1:2" x14ac:dyDescent="0.3">
      <c r="A287" t="s">
        <v>1185</v>
      </c>
      <c r="B287">
        <v>6.9030899869919429</v>
      </c>
    </row>
    <row r="288" spans="1:2" x14ac:dyDescent="0.3">
      <c r="A288" t="s">
        <v>1189</v>
      </c>
      <c r="B288">
        <v>7</v>
      </c>
    </row>
    <row r="289" spans="1:2" x14ac:dyDescent="0.3">
      <c r="A289" t="s">
        <v>1192</v>
      </c>
      <c r="B289">
        <v>6.6989700043360187</v>
      </c>
    </row>
    <row r="290" spans="1:2" x14ac:dyDescent="0.3">
      <c r="A290" t="s">
        <v>1195</v>
      </c>
      <c r="B290">
        <v>6.2022858741762166</v>
      </c>
    </row>
    <row r="291" spans="1:2" x14ac:dyDescent="0.3">
      <c r="A291" t="s">
        <v>1198</v>
      </c>
      <c r="B291">
        <v>5.6351946235981965</v>
      </c>
    </row>
    <row r="292" spans="1:2" x14ac:dyDescent="0.3">
      <c r="A292" t="s">
        <v>1201</v>
      </c>
      <c r="B292">
        <v>4.9876427482357633</v>
      </c>
    </row>
    <row r="293" spans="1:2" x14ac:dyDescent="0.3">
      <c r="A293" t="s">
        <v>1203</v>
      </c>
      <c r="B293">
        <v>5.0885916689436375</v>
      </c>
    </row>
    <row r="294" spans="1:2" x14ac:dyDescent="0.3">
      <c r="A294" t="s">
        <v>1206</v>
      </c>
      <c r="B294">
        <v>5.3565473235138121</v>
      </c>
    </row>
    <row r="295" spans="1:2" x14ac:dyDescent="0.3">
      <c r="A295" t="s">
        <v>1209</v>
      </c>
      <c r="B295">
        <v>5.8860566476931622</v>
      </c>
    </row>
    <row r="296" spans="1:2" x14ac:dyDescent="0.3">
      <c r="A296" t="s">
        <v>1212</v>
      </c>
      <c r="B296">
        <v>5.6777807052660796</v>
      </c>
    </row>
    <row r="297" spans="1:2" x14ac:dyDescent="0.3">
      <c r="A297" t="s">
        <v>1215</v>
      </c>
      <c r="B297">
        <v>6.0457574905606748</v>
      </c>
    </row>
    <row r="298" spans="1:2" x14ac:dyDescent="0.3">
      <c r="A298" t="s">
        <v>1218</v>
      </c>
      <c r="B298">
        <v>4.7751305805232125</v>
      </c>
    </row>
    <row r="299" spans="1:2" x14ac:dyDescent="0.3">
      <c r="A299" t="s">
        <v>1221</v>
      </c>
      <c r="B299">
        <v>7.5376020021010426</v>
      </c>
    </row>
    <row r="300" spans="1:2" x14ac:dyDescent="0.3">
      <c r="A300" t="s">
        <v>1228</v>
      </c>
      <c r="B300">
        <v>4.0809219076239254</v>
      </c>
    </row>
    <row r="301" spans="1:2" x14ac:dyDescent="0.3">
      <c r="A301" t="s">
        <v>1230</v>
      </c>
      <c r="B301">
        <v>5.0457574905606748</v>
      </c>
    </row>
    <row r="302" spans="1:2" x14ac:dyDescent="0.3">
      <c r="A302" t="s">
        <v>1232</v>
      </c>
      <c r="B302">
        <v>5.6020599913279616</v>
      </c>
    </row>
    <row r="303" spans="1:2" x14ac:dyDescent="0.3">
      <c r="A303" t="s">
        <v>1235</v>
      </c>
      <c r="B303">
        <v>8.0222763947111506</v>
      </c>
    </row>
    <row r="304" spans="1:2" x14ac:dyDescent="0.3">
      <c r="A304" t="s">
        <v>1237</v>
      </c>
      <c r="B304">
        <v>7.0969100130080554</v>
      </c>
    </row>
    <row r="305" spans="1:2" x14ac:dyDescent="0.3">
      <c r="A305" t="s">
        <v>1240</v>
      </c>
      <c r="B305">
        <v>5.1135092748275177</v>
      </c>
    </row>
    <row r="306" spans="1:2" x14ac:dyDescent="0.3">
      <c r="A306" t="s">
        <v>1244</v>
      </c>
      <c r="B306">
        <v>4.030382838595254</v>
      </c>
    </row>
    <row r="307" spans="1:2" x14ac:dyDescent="0.3">
      <c r="A307" t="s">
        <v>1247</v>
      </c>
      <c r="B307">
        <v>8</v>
      </c>
    </row>
    <row r="308" spans="1:2" x14ac:dyDescent="0.3">
      <c r="A308" t="s">
        <v>1250</v>
      </c>
      <c r="B308">
        <v>8</v>
      </c>
    </row>
    <row r="309" spans="1:2" x14ac:dyDescent="0.3">
      <c r="A309" t="s">
        <v>1253</v>
      </c>
      <c r="B309">
        <v>8</v>
      </c>
    </row>
    <row r="310" spans="1:2" x14ac:dyDescent="0.3">
      <c r="A310" t="s">
        <v>1255</v>
      </c>
      <c r="B310">
        <v>4.3936186348893944</v>
      </c>
    </row>
    <row r="311" spans="1:2" x14ac:dyDescent="0.3">
      <c r="A311" t="s">
        <v>1257</v>
      </c>
      <c r="B311">
        <v>5.0927323379699168</v>
      </c>
    </row>
    <row r="312" spans="1:2" x14ac:dyDescent="0.3">
      <c r="A312" t="s">
        <v>1259</v>
      </c>
      <c r="B312">
        <v>4.0835809971781645</v>
      </c>
    </row>
    <row r="313" spans="1:2" x14ac:dyDescent="0.3">
      <c r="A313" t="s">
        <v>1267</v>
      </c>
      <c r="B313">
        <v>6.7958800173440741</v>
      </c>
    </row>
    <row r="314" spans="1:2" x14ac:dyDescent="0.3">
      <c r="A314" t="s">
        <v>1269</v>
      </c>
      <c r="B314">
        <v>5.362193351534458</v>
      </c>
    </row>
    <row r="315" spans="1:2" x14ac:dyDescent="0.3">
      <c r="A315" t="s">
        <v>1272</v>
      </c>
      <c r="B315">
        <v>3.6967595086402798</v>
      </c>
    </row>
    <row r="316" spans="1:2" x14ac:dyDescent="0.3">
      <c r="A316" t="s">
        <v>1275</v>
      </c>
      <c r="B316">
        <v>5.6989700043360179</v>
      </c>
    </row>
    <row r="317" spans="1:2" x14ac:dyDescent="0.3">
      <c r="A317" t="s">
        <v>1278</v>
      </c>
      <c r="B317">
        <v>5.936915680945253</v>
      </c>
    </row>
    <row r="318" spans="1:2" x14ac:dyDescent="0.3">
      <c r="A318" t="s">
        <v>1280</v>
      </c>
      <c r="B318">
        <v>5.1166409456611284</v>
      </c>
    </row>
    <row r="319" spans="1:2" x14ac:dyDescent="0.3">
      <c r="A319" t="s">
        <v>1282</v>
      </c>
      <c r="B319">
        <v>4.7365133609092362</v>
      </c>
    </row>
    <row r="320" spans="1:2" x14ac:dyDescent="0.3">
      <c r="A320" t="s">
        <v>1284</v>
      </c>
      <c r="B320">
        <v>3.3079557615685586</v>
      </c>
    </row>
    <row r="321" spans="1:2" x14ac:dyDescent="0.3">
      <c r="A321" t="s">
        <v>1288</v>
      </c>
      <c r="B321">
        <v>5.4465149769256227</v>
      </c>
    </row>
    <row r="322" spans="1:2" x14ac:dyDescent="0.3">
      <c r="A322" t="s">
        <v>1294</v>
      </c>
      <c r="B322">
        <v>4.1606647285205574</v>
      </c>
    </row>
    <row r="323" spans="1:2" x14ac:dyDescent="0.3">
      <c r="A323" t="s">
        <v>1298</v>
      </c>
      <c r="B323">
        <v>3.3498777231729742</v>
      </c>
    </row>
    <row r="324" spans="1:2" x14ac:dyDescent="0.3">
      <c r="A324" t="s">
        <v>1301</v>
      </c>
      <c r="B324">
        <v>6.8239087409443178</v>
      </c>
    </row>
    <row r="325" spans="1:2" x14ac:dyDescent="0.3">
      <c r="A325" t="s">
        <v>1303</v>
      </c>
      <c r="B325">
        <v>4.8538719643217609</v>
      </c>
    </row>
    <row r="326" spans="1:2" x14ac:dyDescent="0.3">
      <c r="A326" t="s">
        <v>1306</v>
      </c>
      <c r="B326">
        <v>3.6089430127644162</v>
      </c>
    </row>
    <row r="327" spans="1:2" x14ac:dyDescent="0.3">
      <c r="A327" t="s">
        <v>1309</v>
      </c>
      <c r="B327">
        <v>5.1588327231214697</v>
      </c>
    </row>
    <row r="328" spans="1:2" x14ac:dyDescent="0.3">
      <c r="A328" t="s">
        <v>1313</v>
      </c>
      <c r="B328">
        <v>4.4688050187120343</v>
      </c>
    </row>
    <row r="329" spans="1:2" x14ac:dyDescent="0.3">
      <c r="A329" t="s">
        <v>1316</v>
      </c>
      <c r="B329">
        <v>4.8578027274574884</v>
      </c>
    </row>
    <row r="330" spans="1:2" x14ac:dyDescent="0.3">
      <c r="A330" t="s">
        <v>1320</v>
      </c>
      <c r="B330">
        <v>2.7327796278909142</v>
      </c>
    </row>
    <row r="331" spans="1:2" x14ac:dyDescent="0.3">
      <c r="A331" t="s">
        <v>1324</v>
      </c>
      <c r="B331">
        <v>5.8393146062541215</v>
      </c>
    </row>
    <row r="332" spans="1:2" x14ac:dyDescent="0.3">
      <c r="A332" t="s">
        <v>1328</v>
      </c>
      <c r="B332">
        <v>3.5360853218165098</v>
      </c>
    </row>
    <row r="333" spans="1:2" x14ac:dyDescent="0.3">
      <c r="A333" t="s">
        <v>1343</v>
      </c>
      <c r="B333">
        <v>6.3630852430393343</v>
      </c>
    </row>
    <row r="334" spans="1:2" x14ac:dyDescent="0.3">
      <c r="A334" t="s">
        <v>1345</v>
      </c>
      <c r="B334">
        <v>6.2566676445178713</v>
      </c>
    </row>
    <row r="335" spans="1:2" x14ac:dyDescent="0.3">
      <c r="A335" t="s">
        <v>1348</v>
      </c>
      <c r="B335">
        <v>3.3013639399187302</v>
      </c>
    </row>
    <row r="336" spans="1:2" x14ac:dyDescent="0.3">
      <c r="A336" t="s">
        <v>1350</v>
      </c>
      <c r="B336">
        <v>7.3279021420642811</v>
      </c>
    </row>
    <row r="337" spans="1:2" x14ac:dyDescent="0.3">
      <c r="A337" t="s">
        <v>1352</v>
      </c>
      <c r="B337">
        <v>6.6989700043360187</v>
      </c>
    </row>
    <row r="338" spans="1:2" x14ac:dyDescent="0.3">
      <c r="A338" t="s">
        <v>1355</v>
      </c>
      <c r="B338">
        <v>4.3010299956639804</v>
      </c>
    </row>
    <row r="339" spans="1:2" x14ac:dyDescent="0.3">
      <c r="A339" t="s">
        <v>1358</v>
      </c>
      <c r="B339">
        <v>5.1384655891409619</v>
      </c>
    </row>
    <row r="340" spans="1:2" x14ac:dyDescent="0.3">
      <c r="A340" t="s">
        <v>1361</v>
      </c>
      <c r="B340">
        <v>5.9469215565165792</v>
      </c>
    </row>
    <row r="341" spans="1:2" x14ac:dyDescent="0.3">
      <c r="A341" t="s">
        <v>1364</v>
      </c>
      <c r="B341">
        <v>4.7447274948966935</v>
      </c>
    </row>
    <row r="342" spans="1:2" x14ac:dyDescent="0.3">
      <c r="A342" t="s">
        <v>1369</v>
      </c>
      <c r="B342">
        <v>4.7544873321858496</v>
      </c>
    </row>
    <row r="343" spans="1:2" x14ac:dyDescent="0.3">
      <c r="A343" t="s">
        <v>1372</v>
      </c>
      <c r="B343">
        <v>5.0507180106733633</v>
      </c>
    </row>
    <row r="344" spans="1:2" x14ac:dyDescent="0.3">
      <c r="A344" t="s">
        <v>1381</v>
      </c>
      <c r="B344">
        <v>5.8613671125396412</v>
      </c>
    </row>
    <row r="345" spans="1:2" x14ac:dyDescent="0.3">
      <c r="A345" t="s">
        <v>1383</v>
      </c>
      <c r="B345">
        <v>4.9378476975357728</v>
      </c>
    </row>
    <row r="346" spans="1:2" x14ac:dyDescent="0.3">
      <c r="A346" t="s">
        <v>1386</v>
      </c>
      <c r="B346">
        <v>6.0719335307136664</v>
      </c>
    </row>
    <row r="347" spans="1:2" x14ac:dyDescent="0.3">
      <c r="A347" t="s">
        <v>1388</v>
      </c>
      <c r="B347">
        <v>3.7036137543417302</v>
      </c>
    </row>
    <row r="348" spans="1:2" x14ac:dyDescent="0.3">
      <c r="A348" t="s">
        <v>1391</v>
      </c>
      <c r="B348">
        <v>5.6516171740949614</v>
      </c>
    </row>
    <row r="349" spans="1:2" x14ac:dyDescent="0.3">
      <c r="A349" t="s">
        <v>1393</v>
      </c>
      <c r="B349">
        <v>3.6517333966103815</v>
      </c>
    </row>
    <row r="350" spans="1:2" x14ac:dyDescent="0.3">
      <c r="A350" t="s">
        <v>1395</v>
      </c>
      <c r="B350">
        <v>5.0281262592590883</v>
      </c>
    </row>
    <row r="351" spans="1:2" x14ac:dyDescent="0.3">
      <c r="A351" t="s">
        <v>1397</v>
      </c>
      <c r="B351">
        <v>4.4349379773095174</v>
      </c>
    </row>
    <row r="352" spans="1:2" x14ac:dyDescent="0.3">
      <c r="A352" t="s">
        <v>1399</v>
      </c>
      <c r="B352">
        <v>4.4559319556497243</v>
      </c>
    </row>
    <row r="353" spans="1:2" x14ac:dyDescent="0.3">
      <c r="A353" t="s">
        <v>1401</v>
      </c>
      <c r="B353">
        <v>4.8538719643217609</v>
      </c>
    </row>
    <row r="354" spans="1:2" x14ac:dyDescent="0.3">
      <c r="A354" t="s">
        <v>1403</v>
      </c>
      <c r="B354">
        <v>4.4559319556497243</v>
      </c>
    </row>
    <row r="355" spans="1:2" x14ac:dyDescent="0.3">
      <c r="A355" t="s">
        <v>1405</v>
      </c>
      <c r="B355">
        <v>4.8306469828150611</v>
      </c>
    </row>
    <row r="356" spans="1:2" x14ac:dyDescent="0.3">
      <c r="A356" t="s">
        <v>1408</v>
      </c>
      <c r="B356">
        <v>6.4685210829577446</v>
      </c>
    </row>
    <row r="357" spans="1:2" x14ac:dyDescent="0.3">
      <c r="A357" t="s">
        <v>1411</v>
      </c>
      <c r="B357">
        <v>5.1155301749703632</v>
      </c>
    </row>
    <row r="358" spans="1:2" x14ac:dyDescent="0.3">
      <c r="A358" t="s">
        <v>1414</v>
      </c>
      <c r="B358">
        <v>3.6989700043360187</v>
      </c>
    </row>
    <row r="359" spans="1:2" x14ac:dyDescent="0.3">
      <c r="A359" t="s">
        <v>1417</v>
      </c>
      <c r="B359">
        <v>4.9721906539840992</v>
      </c>
    </row>
    <row r="360" spans="1:2" x14ac:dyDescent="0.3">
      <c r="A360" t="s">
        <v>1419</v>
      </c>
      <c r="B360">
        <v>4.7847260611308107</v>
      </c>
    </row>
    <row r="361" spans="1:2" x14ac:dyDescent="0.3">
      <c r="A361" t="s">
        <v>1422</v>
      </c>
      <c r="B361">
        <v>7</v>
      </c>
    </row>
    <row r="362" spans="1:2" x14ac:dyDescent="0.3">
      <c r="A362" t="s">
        <v>1424</v>
      </c>
      <c r="B362">
        <v>4.8032077485454909</v>
      </c>
    </row>
    <row r="363" spans="1:2" x14ac:dyDescent="0.3">
      <c r="A363" t="s">
        <v>1427</v>
      </c>
      <c r="B363">
        <v>6.1586091802483764</v>
      </c>
    </row>
    <row r="364" spans="1:2" x14ac:dyDescent="0.3">
      <c r="A364" t="s">
        <v>1430</v>
      </c>
      <c r="B364">
        <v>6.3853616377504867</v>
      </c>
    </row>
    <row r="365" spans="1:2" x14ac:dyDescent="0.3">
      <c r="A365" t="s">
        <v>1434</v>
      </c>
      <c r="B365">
        <v>3.1505722476689977</v>
      </c>
    </row>
    <row r="366" spans="1:2" x14ac:dyDescent="0.3">
      <c r="A366" t="s">
        <v>1437</v>
      </c>
      <c r="B366">
        <v>3.6020599913279621</v>
      </c>
    </row>
    <row r="367" spans="1:2" x14ac:dyDescent="0.3">
      <c r="A367" t="s">
        <v>1442</v>
      </c>
      <c r="B367">
        <v>5.3178549236261672</v>
      </c>
    </row>
    <row r="368" spans="1:2" x14ac:dyDescent="0.3">
      <c r="A368" t="s">
        <v>1444</v>
      </c>
      <c r="B368">
        <v>6.3767507096020992</v>
      </c>
    </row>
    <row r="369" spans="1:2" x14ac:dyDescent="0.3">
      <c r="A369" t="s">
        <v>1446</v>
      </c>
      <c r="B369">
        <v>5.4685210829577438</v>
      </c>
    </row>
    <row r="370" spans="1:2" x14ac:dyDescent="0.3">
      <c r="A370" t="s">
        <v>1448</v>
      </c>
      <c r="B370">
        <v>3.9018498000565396</v>
      </c>
    </row>
    <row r="371" spans="1:2" x14ac:dyDescent="0.3">
      <c r="A371" t="s">
        <v>1450</v>
      </c>
      <c r="B371">
        <v>6.6367686426690309</v>
      </c>
    </row>
    <row r="372" spans="1:2" x14ac:dyDescent="0.3">
      <c r="A372" t="s">
        <v>1453</v>
      </c>
      <c r="B372">
        <v>5.0408312721572761</v>
      </c>
    </row>
    <row r="373" spans="1:2" x14ac:dyDescent="0.3">
      <c r="A373" t="s">
        <v>1456</v>
      </c>
      <c r="B373">
        <v>5.6805168093812544</v>
      </c>
    </row>
    <row r="374" spans="1:2" x14ac:dyDescent="0.3">
      <c r="A374" t="s">
        <v>1458</v>
      </c>
      <c r="B374">
        <v>6.3010299956639804</v>
      </c>
    </row>
    <row r="375" spans="1:2" x14ac:dyDescent="0.3">
      <c r="A375" t="s">
        <v>1460</v>
      </c>
      <c r="B375">
        <v>5.9999999999999991</v>
      </c>
    </row>
    <row r="376" spans="1:2" x14ac:dyDescent="0.3">
      <c r="A376" t="s">
        <v>1465</v>
      </c>
      <c r="B376">
        <v>6.3010299956639804</v>
      </c>
    </row>
    <row r="377" spans="1:2" x14ac:dyDescent="0.3">
      <c r="A377" t="s">
        <v>1469</v>
      </c>
      <c r="B377">
        <v>3.9208187539523749</v>
      </c>
    </row>
    <row r="378" spans="1:2" x14ac:dyDescent="0.3">
      <c r="A378" t="s">
        <v>1472</v>
      </c>
      <c r="B378">
        <v>3.6197887582883936</v>
      </c>
    </row>
    <row r="379" spans="1:2" x14ac:dyDescent="0.3">
      <c r="A379" t="s">
        <v>1474</v>
      </c>
      <c r="B379">
        <v>2.9999999999999996</v>
      </c>
    </row>
    <row r="380" spans="1:2" x14ac:dyDescent="0.3">
      <c r="A380" t="s">
        <v>1476</v>
      </c>
      <c r="B380">
        <v>4.4357243734592151</v>
      </c>
    </row>
    <row r="381" spans="1:2" x14ac:dyDescent="0.3">
      <c r="A381" t="s">
        <v>1478</v>
      </c>
      <c r="B381">
        <v>5.795880017344075</v>
      </c>
    </row>
    <row r="382" spans="1:2" x14ac:dyDescent="0.3">
      <c r="A382" t="s">
        <v>1480</v>
      </c>
      <c r="B382">
        <v>6.5228787452803365</v>
      </c>
    </row>
    <row r="383" spans="1:2" x14ac:dyDescent="0.3">
      <c r="A383" t="s">
        <v>1482</v>
      </c>
      <c r="B383">
        <v>7</v>
      </c>
    </row>
    <row r="384" spans="1:2" x14ac:dyDescent="0.3">
      <c r="A384" t="s">
        <v>1484</v>
      </c>
      <c r="B384">
        <v>6.1549019599857431</v>
      </c>
    </row>
    <row r="385" spans="1:2" x14ac:dyDescent="0.3">
      <c r="A385" t="s">
        <v>1486</v>
      </c>
      <c r="B385">
        <v>4.488794109640704</v>
      </c>
    </row>
    <row r="386" spans="1:2" x14ac:dyDescent="0.3">
      <c r="A386" t="s">
        <v>1489</v>
      </c>
      <c r="B386">
        <v>4.9393021596463873</v>
      </c>
    </row>
    <row r="387" spans="1:2" x14ac:dyDescent="0.3">
      <c r="A387" t="s">
        <v>1492</v>
      </c>
      <c r="B387">
        <v>5.2182446253475305</v>
      </c>
    </row>
    <row r="388" spans="1:2" x14ac:dyDescent="0.3">
      <c r="A388" t="s">
        <v>1494</v>
      </c>
      <c r="B388">
        <v>4.7497363155690611</v>
      </c>
    </row>
    <row r="389" spans="1:2" x14ac:dyDescent="0.3">
      <c r="A389" t="s">
        <v>1496</v>
      </c>
      <c r="B389">
        <v>5.7099653886374817</v>
      </c>
    </row>
    <row r="390" spans="1:2" x14ac:dyDescent="0.3">
      <c r="A390" t="s">
        <v>1501</v>
      </c>
      <c r="B390">
        <v>6.1135092748275177</v>
      </c>
    </row>
    <row r="391" spans="1:2" x14ac:dyDescent="0.3">
      <c r="A391" t="s">
        <v>1503</v>
      </c>
      <c r="B391">
        <v>6.0457574905606748</v>
      </c>
    </row>
    <row r="392" spans="1:2" x14ac:dyDescent="0.3">
      <c r="A392" t="s">
        <v>1506</v>
      </c>
      <c r="B392">
        <v>4.6805168093812544</v>
      </c>
    </row>
    <row r="393" spans="1:2" x14ac:dyDescent="0.3">
      <c r="A393" t="s">
        <v>1509</v>
      </c>
      <c r="B393">
        <v>5.4089353929735005</v>
      </c>
    </row>
    <row r="394" spans="1:2" x14ac:dyDescent="0.3">
      <c r="A394" t="s">
        <v>1514</v>
      </c>
      <c r="B394">
        <v>6.3959002462010597</v>
      </c>
    </row>
    <row r="395" spans="1:2" x14ac:dyDescent="0.3">
      <c r="A395" t="s">
        <v>1518</v>
      </c>
      <c r="B395">
        <v>3.4548790254871808</v>
      </c>
    </row>
    <row r="396" spans="1:2" x14ac:dyDescent="0.3">
      <c r="A396" t="s">
        <v>1520</v>
      </c>
      <c r="B396">
        <v>9.1804560644581308</v>
      </c>
    </row>
    <row r="397" spans="1:2" x14ac:dyDescent="0.3">
      <c r="A397" t="s">
        <v>1522</v>
      </c>
      <c r="B397">
        <v>4.7347103741391701</v>
      </c>
    </row>
    <row r="398" spans="1:2" x14ac:dyDescent="0.3">
      <c r="A398" t="s">
        <v>1524</v>
      </c>
      <c r="B398">
        <v>5.0166265472274594</v>
      </c>
    </row>
    <row r="399" spans="1:2" x14ac:dyDescent="0.3">
      <c r="A399" t="s">
        <v>1526</v>
      </c>
      <c r="B399">
        <v>4.8511359950115738</v>
      </c>
    </row>
    <row r="400" spans="1:2" x14ac:dyDescent="0.3">
      <c r="A400" t="s">
        <v>1528</v>
      </c>
      <c r="B400">
        <v>4.7910553977304309</v>
      </c>
    </row>
    <row r="401" spans="1:2" x14ac:dyDescent="0.3">
      <c r="A401" t="s">
        <v>1533</v>
      </c>
      <c r="B401">
        <v>6.4685210829577446</v>
      </c>
    </row>
    <row r="402" spans="1:2" x14ac:dyDescent="0.3">
      <c r="A402" t="s">
        <v>1538</v>
      </c>
      <c r="B402">
        <v>5.2479515521805613</v>
      </c>
    </row>
    <row r="403" spans="1:2" x14ac:dyDescent="0.3">
      <c r="A403" t="s">
        <v>1541</v>
      </c>
      <c r="B403">
        <v>6.3665315444204129</v>
      </c>
    </row>
    <row r="404" spans="1:2" x14ac:dyDescent="0.3">
      <c r="A404" t="s">
        <v>1543</v>
      </c>
      <c r="B404">
        <v>7.2596373105057559</v>
      </c>
    </row>
    <row r="405" spans="1:2" x14ac:dyDescent="0.3">
      <c r="A405" t="s">
        <v>1545</v>
      </c>
      <c r="B405">
        <v>4.1366771398795432</v>
      </c>
    </row>
    <row r="406" spans="1:2" x14ac:dyDescent="0.3">
      <c r="A406" t="s">
        <v>1551</v>
      </c>
      <c r="B406">
        <v>4.3872161432802645</v>
      </c>
    </row>
    <row r="407" spans="1:2" x14ac:dyDescent="0.3">
      <c r="A407" t="s">
        <v>1553</v>
      </c>
      <c r="B407">
        <v>3.9999999999999991</v>
      </c>
    </row>
    <row r="408" spans="1:2" x14ac:dyDescent="0.3">
      <c r="A408" t="s">
        <v>1555</v>
      </c>
      <c r="B408">
        <v>4.2006594505464179</v>
      </c>
    </row>
    <row r="409" spans="1:2" x14ac:dyDescent="0.3">
      <c r="A409" t="s">
        <v>1557</v>
      </c>
      <c r="B409">
        <v>4.3872161432802645</v>
      </c>
    </row>
    <row r="410" spans="1:2" x14ac:dyDescent="0.3">
      <c r="A410" t="s">
        <v>1560</v>
      </c>
      <c r="B410">
        <v>6.3190167809700837</v>
      </c>
    </row>
    <row r="411" spans="1:2" x14ac:dyDescent="0.3">
      <c r="A411" t="s">
        <v>1562</v>
      </c>
      <c r="B411">
        <v>7.0655015487564325</v>
      </c>
    </row>
    <row r="412" spans="1:2" x14ac:dyDescent="0.3">
      <c r="A412" t="s">
        <v>1564</v>
      </c>
      <c r="B412">
        <v>9.4436974992327105</v>
      </c>
    </row>
    <row r="413" spans="1:2" x14ac:dyDescent="0.3">
      <c r="A413" t="s">
        <v>1566</v>
      </c>
      <c r="B413">
        <v>5.9586073148417746</v>
      </c>
    </row>
    <row r="414" spans="1:2" x14ac:dyDescent="0.3">
      <c r="A414" t="s">
        <v>1577</v>
      </c>
      <c r="B414">
        <v>7.2839966563651997</v>
      </c>
    </row>
    <row r="415" spans="1:2" x14ac:dyDescent="0.3">
      <c r="A415" t="s">
        <v>1579</v>
      </c>
      <c r="B415">
        <v>5.2218487496163561</v>
      </c>
    </row>
    <row r="416" spans="1:2" x14ac:dyDescent="0.3">
      <c r="A416" t="s">
        <v>1581</v>
      </c>
      <c r="B416">
        <v>5.8416375079047498</v>
      </c>
    </row>
    <row r="417" spans="1:2" x14ac:dyDescent="0.3">
      <c r="A417" t="s">
        <v>1583</v>
      </c>
      <c r="B417">
        <v>7.3098039199714853</v>
      </c>
    </row>
    <row r="418" spans="1:2" x14ac:dyDescent="0.3">
      <c r="A418" t="s">
        <v>1585</v>
      </c>
      <c r="B418">
        <v>5.0915149811213496</v>
      </c>
    </row>
    <row r="419" spans="1:2" x14ac:dyDescent="0.3">
      <c r="A419" t="s">
        <v>1588</v>
      </c>
      <c r="B419">
        <v>6.5228787452803365</v>
      </c>
    </row>
    <row r="420" spans="1:2" x14ac:dyDescent="0.3">
      <c r="A420" t="s">
        <v>1590</v>
      </c>
      <c r="B420">
        <v>4.9208187539523749</v>
      </c>
    </row>
    <row r="421" spans="1:2" x14ac:dyDescent="0.3">
      <c r="A421" t="s">
        <v>1595</v>
      </c>
      <c r="B421">
        <v>3.3010299956639808</v>
      </c>
    </row>
    <row r="422" spans="1:2" x14ac:dyDescent="0.3">
      <c r="A422" t="s">
        <v>1598</v>
      </c>
      <c r="B422">
        <v>4.6760760153875154</v>
      </c>
    </row>
    <row r="423" spans="1:2" x14ac:dyDescent="0.3">
      <c r="A423" t="s">
        <v>1600</v>
      </c>
      <c r="B423">
        <v>3.3010299956639808</v>
      </c>
    </row>
    <row r="424" spans="1:2" x14ac:dyDescent="0.3">
      <c r="A424" t="s">
        <v>1602</v>
      </c>
      <c r="B424">
        <v>5.6525901154095601</v>
      </c>
    </row>
    <row r="425" spans="1:2" x14ac:dyDescent="0.3">
      <c r="A425" t="s">
        <v>1605</v>
      </c>
      <c r="B425">
        <v>6.0969100130080562</v>
      </c>
    </row>
    <row r="426" spans="1:2" x14ac:dyDescent="0.3">
      <c r="A426" t="s">
        <v>1608</v>
      </c>
      <c r="B426">
        <v>6.3979400086720375</v>
      </c>
    </row>
    <row r="427" spans="1:2" x14ac:dyDescent="0.3">
      <c r="A427" t="s">
        <v>1611</v>
      </c>
      <c r="B427">
        <v>6.0969100130080562</v>
      </c>
    </row>
    <row r="428" spans="1:2" x14ac:dyDescent="0.3">
      <c r="A428" t="s">
        <v>1613</v>
      </c>
      <c r="B428">
        <v>4.4068913060494159</v>
      </c>
    </row>
    <row r="429" spans="1:2" x14ac:dyDescent="0.3">
      <c r="A429" t="s">
        <v>1616</v>
      </c>
      <c r="B429">
        <v>4.0190830417499264</v>
      </c>
    </row>
    <row r="430" spans="1:2" x14ac:dyDescent="0.3">
      <c r="A430" t="s">
        <v>1618</v>
      </c>
      <c r="B430">
        <v>4.7376595378677564</v>
      </c>
    </row>
    <row r="431" spans="1:2" x14ac:dyDescent="0.3">
      <c r="A431" t="s">
        <v>1620</v>
      </c>
      <c r="B431">
        <v>5.0624064762516765</v>
      </c>
    </row>
    <row r="432" spans="1:2" x14ac:dyDescent="0.3">
      <c r="A432" t="s">
        <v>1623</v>
      </c>
      <c r="B432">
        <v>6.9208187539523749</v>
      </c>
    </row>
    <row r="433" spans="1:2" x14ac:dyDescent="0.3">
      <c r="A433" t="s">
        <v>1625</v>
      </c>
      <c r="B433">
        <v>7.1307682802690229</v>
      </c>
    </row>
    <row r="434" spans="1:2" x14ac:dyDescent="0.3">
      <c r="A434" t="s">
        <v>1628</v>
      </c>
      <c r="B434">
        <v>2.7547610251682744</v>
      </c>
    </row>
    <row r="435" spans="1:2" x14ac:dyDescent="0.3">
      <c r="A435" t="s">
        <v>1631</v>
      </c>
      <c r="B435">
        <v>2.8230686842642041</v>
      </c>
    </row>
    <row r="436" spans="1:2" x14ac:dyDescent="0.3">
      <c r="A436" t="s">
        <v>1633</v>
      </c>
      <c r="B436">
        <v>3.7719088574352009</v>
      </c>
    </row>
    <row r="437" spans="1:2" x14ac:dyDescent="0.3">
      <c r="A437" t="s">
        <v>1635</v>
      </c>
      <c r="B437">
        <v>5.6989700043360179</v>
      </c>
    </row>
    <row r="438" spans="1:2" x14ac:dyDescent="0.3">
      <c r="A438" t="s">
        <v>1637</v>
      </c>
      <c r="B438">
        <v>5.4485500020271243</v>
      </c>
    </row>
    <row r="439" spans="1:2" x14ac:dyDescent="0.3">
      <c r="A439" t="s">
        <v>1639</v>
      </c>
      <c r="B439">
        <v>6.8239087409443178</v>
      </c>
    </row>
    <row r="440" spans="1:2" x14ac:dyDescent="0.3">
      <c r="A440" t="s">
        <v>1648</v>
      </c>
      <c r="B440">
        <v>5.8239087409443187</v>
      </c>
    </row>
    <row r="441" spans="1:2" x14ac:dyDescent="0.3">
      <c r="A441" t="s">
        <v>1651</v>
      </c>
      <c r="B441">
        <v>5.8860566476931622</v>
      </c>
    </row>
    <row r="442" spans="1:2" x14ac:dyDescent="0.3">
      <c r="A442" t="s">
        <v>1654</v>
      </c>
      <c r="B442">
        <v>5.8538719643217618</v>
      </c>
    </row>
    <row r="443" spans="1:2" x14ac:dyDescent="0.3">
      <c r="A443" t="s">
        <v>1657</v>
      </c>
      <c r="B443">
        <v>5.9999999999999991</v>
      </c>
    </row>
    <row r="444" spans="1:2" x14ac:dyDescent="0.3">
      <c r="A444" t="s">
        <v>1660</v>
      </c>
      <c r="B444">
        <v>5.9999999999999991</v>
      </c>
    </row>
    <row r="445" spans="1:2" x14ac:dyDescent="0.3">
      <c r="A445" t="s">
        <v>1662</v>
      </c>
      <c r="B445">
        <v>6.200659450546417</v>
      </c>
    </row>
    <row r="446" spans="1:2" x14ac:dyDescent="0.3">
      <c r="A446" t="s">
        <v>1665</v>
      </c>
      <c r="B446">
        <v>8.1611509092627443</v>
      </c>
    </row>
    <row r="447" spans="1:2" x14ac:dyDescent="0.3">
      <c r="A447" t="s">
        <v>1667</v>
      </c>
      <c r="B447">
        <v>8.0268721464003008</v>
      </c>
    </row>
    <row r="448" spans="1:2" x14ac:dyDescent="0.3">
      <c r="A448" t="s">
        <v>1669</v>
      </c>
      <c r="B448">
        <v>9.2218487496163561</v>
      </c>
    </row>
    <row r="449" spans="1:2" x14ac:dyDescent="0.3">
      <c r="A449" t="s">
        <v>1671</v>
      </c>
      <c r="B449">
        <v>9.0969100130080545</v>
      </c>
    </row>
    <row r="450" spans="1:2" x14ac:dyDescent="0.3">
      <c r="A450" t="s">
        <v>1673</v>
      </c>
      <c r="B450">
        <v>9.6777807052660787</v>
      </c>
    </row>
    <row r="451" spans="1:2" x14ac:dyDescent="0.3">
      <c r="A451" t="s">
        <v>1676</v>
      </c>
      <c r="B451">
        <v>5.795880017344075</v>
      </c>
    </row>
    <row r="452" spans="1:2" x14ac:dyDescent="0.3">
      <c r="A452" t="s">
        <v>1678</v>
      </c>
      <c r="B452">
        <v>4.6989700043360187</v>
      </c>
    </row>
    <row r="453" spans="1:2" x14ac:dyDescent="0.3">
      <c r="A453" t="s">
        <v>1681</v>
      </c>
      <c r="B453">
        <v>4.7212463990471703</v>
      </c>
    </row>
    <row r="454" spans="1:2" x14ac:dyDescent="0.3">
      <c r="A454" t="s">
        <v>1683</v>
      </c>
      <c r="B454">
        <v>6.2709861101067492</v>
      </c>
    </row>
    <row r="455" spans="1:2" x14ac:dyDescent="0.3">
      <c r="A455" t="s">
        <v>1686</v>
      </c>
      <c r="B455">
        <v>6.6989700043360187</v>
      </c>
    </row>
    <row r="456" spans="1:2" x14ac:dyDescent="0.3">
      <c r="A456" t="s">
        <v>1688</v>
      </c>
      <c r="B456">
        <v>5.5620812844111702</v>
      </c>
    </row>
    <row r="457" spans="1:2" x14ac:dyDescent="0.3">
      <c r="A457" t="s">
        <v>1690</v>
      </c>
      <c r="B457">
        <v>5.795880017344075</v>
      </c>
    </row>
    <row r="458" spans="1:2" x14ac:dyDescent="0.3">
      <c r="A458" t="s">
        <v>1693</v>
      </c>
      <c r="B458">
        <v>3.4186658130534751</v>
      </c>
    </row>
    <row r="459" spans="1:2" x14ac:dyDescent="0.3">
      <c r="A459" t="s">
        <v>1700</v>
      </c>
      <c r="B459">
        <v>6.7212463990471703</v>
      </c>
    </row>
    <row r="460" spans="1:2" x14ac:dyDescent="0.3">
      <c r="A460" t="s">
        <v>1703</v>
      </c>
      <c r="B460">
        <v>6.3872161432802645</v>
      </c>
    </row>
    <row r="461" spans="1:2" x14ac:dyDescent="0.3">
      <c r="A461" t="s">
        <v>1706</v>
      </c>
      <c r="B461">
        <v>7.2757241303992108</v>
      </c>
    </row>
    <row r="462" spans="1:2" x14ac:dyDescent="0.3">
      <c r="A462" t="s">
        <v>1708</v>
      </c>
      <c r="B462">
        <v>6.8885694482340192</v>
      </c>
    </row>
    <row r="463" spans="1:2" x14ac:dyDescent="0.3">
      <c r="A463" t="s">
        <v>1710</v>
      </c>
      <c r="B463">
        <v>8.3526170298853781</v>
      </c>
    </row>
    <row r="464" spans="1:2" x14ac:dyDescent="0.3">
      <c r="A464" t="s">
        <v>1713</v>
      </c>
      <c r="B464">
        <v>6.5228787452803365</v>
      </c>
    </row>
    <row r="465" spans="1:2" x14ac:dyDescent="0.3">
      <c r="A465" t="s">
        <v>1715</v>
      </c>
      <c r="B465">
        <v>4.6197887582883936</v>
      </c>
    </row>
    <row r="466" spans="1:2" x14ac:dyDescent="0.3">
      <c r="A466" t="s">
        <v>1717</v>
      </c>
      <c r="B466">
        <v>6.3665315444204129</v>
      </c>
    </row>
    <row r="467" spans="1:2" x14ac:dyDescent="0.3">
      <c r="A467" t="s">
        <v>1719</v>
      </c>
      <c r="B467">
        <v>3.7695510786217254</v>
      </c>
    </row>
    <row r="468" spans="1:2" x14ac:dyDescent="0.3">
      <c r="A468" t="s">
        <v>1721</v>
      </c>
      <c r="B468">
        <v>6.9208187539523749</v>
      </c>
    </row>
    <row r="469" spans="1:2" x14ac:dyDescent="0.3">
      <c r="A469" t="s">
        <v>1725</v>
      </c>
      <c r="B469">
        <v>5.6777807052660796</v>
      </c>
    </row>
    <row r="470" spans="1:2" x14ac:dyDescent="0.3">
      <c r="A470" t="s">
        <v>1735</v>
      </c>
      <c r="B470">
        <v>4.4559319556497243</v>
      </c>
    </row>
    <row r="471" spans="1:2" x14ac:dyDescent="0.3">
      <c r="A471" t="s">
        <v>1737</v>
      </c>
      <c r="B471">
        <v>7.3979400086720375</v>
      </c>
    </row>
    <row r="472" spans="1:2" x14ac:dyDescent="0.3">
      <c r="A472" t="s">
        <v>1739</v>
      </c>
      <c r="B472">
        <v>7.0655015487564325</v>
      </c>
    </row>
    <row r="473" spans="1:2" x14ac:dyDescent="0.3">
      <c r="A473" t="s">
        <v>1742</v>
      </c>
      <c r="B473">
        <v>5.6020599913279616</v>
      </c>
    </row>
    <row r="474" spans="1:2" x14ac:dyDescent="0.3">
      <c r="A474" t="s">
        <v>1745</v>
      </c>
      <c r="B474">
        <v>4.6989700043360187</v>
      </c>
    </row>
    <row r="475" spans="1:2" x14ac:dyDescent="0.3">
      <c r="A475" t="s">
        <v>1748</v>
      </c>
      <c r="B475">
        <v>6.3010299956639804</v>
      </c>
    </row>
    <row r="476" spans="1:2" x14ac:dyDescent="0.3">
      <c r="A476" t="s">
        <v>1751</v>
      </c>
      <c r="B476">
        <v>6.1549019599857431</v>
      </c>
    </row>
    <row r="477" spans="1:2" x14ac:dyDescent="0.3">
      <c r="A477" t="s">
        <v>1754</v>
      </c>
      <c r="B477">
        <v>4.8860566476931631</v>
      </c>
    </row>
    <row r="478" spans="1:2" x14ac:dyDescent="0.3">
      <c r="A478" t="s">
        <v>1756</v>
      </c>
      <c r="B478">
        <v>5.1135092748275177</v>
      </c>
    </row>
    <row r="479" spans="1:2" x14ac:dyDescent="0.3">
      <c r="A479" t="s">
        <v>1758</v>
      </c>
      <c r="B479">
        <v>3.9208187539523749</v>
      </c>
    </row>
    <row r="480" spans="1:2" x14ac:dyDescent="0.3">
      <c r="A480" t="s">
        <v>1761</v>
      </c>
      <c r="B480">
        <v>5.795880017344075</v>
      </c>
    </row>
    <row r="481" spans="1:2" x14ac:dyDescent="0.3">
      <c r="A481" t="s">
        <v>1765</v>
      </c>
      <c r="B481">
        <v>2.9999999999999996</v>
      </c>
    </row>
    <row r="482" spans="1:2" x14ac:dyDescent="0.3">
      <c r="A482" t="s">
        <v>1768</v>
      </c>
      <c r="B482">
        <v>7.5850266520291818</v>
      </c>
    </row>
    <row r="483" spans="1:2" x14ac:dyDescent="0.3">
      <c r="A483" t="s">
        <v>1770</v>
      </c>
      <c r="B483">
        <v>3.5686362358410122</v>
      </c>
    </row>
    <row r="484" spans="1:2" x14ac:dyDescent="0.3">
      <c r="A484" t="s">
        <v>1772</v>
      </c>
      <c r="B484">
        <v>6.7695510786217259</v>
      </c>
    </row>
    <row r="485" spans="1:2" x14ac:dyDescent="0.3">
      <c r="A485" t="s">
        <v>1775</v>
      </c>
      <c r="B485">
        <v>5.8794260687941495</v>
      </c>
    </row>
    <row r="486" spans="1:2" x14ac:dyDescent="0.3">
      <c r="A486" t="s">
        <v>1777</v>
      </c>
      <c r="B486">
        <v>6.3372421683184257</v>
      </c>
    </row>
    <row r="487" spans="1:2" x14ac:dyDescent="0.3">
      <c r="A487" t="s">
        <v>1780</v>
      </c>
      <c r="B487">
        <v>5.6197887582883927</v>
      </c>
    </row>
    <row r="488" spans="1:2" x14ac:dyDescent="0.3">
      <c r="A488" t="s">
        <v>1783</v>
      </c>
      <c r="B488">
        <v>5.9999999999999991</v>
      </c>
    </row>
    <row r="489" spans="1:2" x14ac:dyDescent="0.3">
      <c r="A489" t="s">
        <v>1786</v>
      </c>
      <c r="B489">
        <v>6.3010299956639804</v>
      </c>
    </row>
    <row r="490" spans="1:2" x14ac:dyDescent="0.3">
      <c r="A490" t="s">
        <v>1789</v>
      </c>
      <c r="B490">
        <v>6.0969100130080562</v>
      </c>
    </row>
    <row r="491" spans="1:2" x14ac:dyDescent="0.3">
      <c r="A491" t="s">
        <v>1792</v>
      </c>
      <c r="B491">
        <v>6.0969100130080562</v>
      </c>
    </row>
    <row r="492" spans="1:2" x14ac:dyDescent="0.3">
      <c r="A492" t="s">
        <v>1795</v>
      </c>
      <c r="B492">
        <v>5.3010299956639813</v>
      </c>
    </row>
    <row r="493" spans="1:2" x14ac:dyDescent="0.3">
      <c r="A493" t="s">
        <v>1797</v>
      </c>
      <c r="B493">
        <v>7.769551078621725</v>
      </c>
    </row>
    <row r="494" spans="1:2" x14ac:dyDescent="0.3">
      <c r="A494" t="s">
        <v>1800</v>
      </c>
      <c r="B494">
        <v>6.3010299956639804</v>
      </c>
    </row>
    <row r="495" spans="1:2" x14ac:dyDescent="0.3">
      <c r="A495" t="s">
        <v>1803</v>
      </c>
      <c r="B495">
        <v>5.0315170514460643</v>
      </c>
    </row>
    <row r="496" spans="1:2" x14ac:dyDescent="0.3">
      <c r="A496" t="s">
        <v>1806</v>
      </c>
      <c r="B496">
        <v>5.4948500216800937</v>
      </c>
    </row>
    <row r="497" spans="1:2" x14ac:dyDescent="0.3">
      <c r="A497" t="s">
        <v>1809</v>
      </c>
      <c r="B497">
        <v>4.1870866433571443</v>
      </c>
    </row>
    <row r="498" spans="1:2" x14ac:dyDescent="0.3">
      <c r="A498" t="s">
        <v>1812</v>
      </c>
      <c r="B498">
        <v>5.3872161432802637</v>
      </c>
    </row>
    <row r="499" spans="1:2" x14ac:dyDescent="0.3">
      <c r="A499" t="s">
        <v>1819</v>
      </c>
      <c r="B499">
        <v>3.8153085691824007</v>
      </c>
    </row>
    <row r="500" spans="1:2" x14ac:dyDescent="0.3">
      <c r="A500" t="s">
        <v>1822</v>
      </c>
      <c r="B500">
        <v>6.8538719643217609</v>
      </c>
    </row>
    <row r="501" spans="1:2" x14ac:dyDescent="0.3">
      <c r="A501" t="s">
        <v>1824</v>
      </c>
      <c r="B501">
        <v>7.7212463990471711</v>
      </c>
    </row>
    <row r="502" spans="1:2" x14ac:dyDescent="0.3">
      <c r="A502" t="s">
        <v>1826</v>
      </c>
      <c r="B502">
        <v>5.6126101736612704</v>
      </c>
    </row>
    <row r="503" spans="1:2" x14ac:dyDescent="0.3">
      <c r="A503" t="s">
        <v>1828</v>
      </c>
      <c r="B503">
        <v>7.5376020021010426</v>
      </c>
    </row>
    <row r="504" spans="1:2" x14ac:dyDescent="0.3">
      <c r="A504" t="s">
        <v>1831</v>
      </c>
      <c r="B504">
        <v>5.7212463990471711</v>
      </c>
    </row>
    <row r="505" spans="1:2" x14ac:dyDescent="0.3">
      <c r="A505" t="s">
        <v>1833</v>
      </c>
      <c r="B505">
        <v>7.6989700043360179</v>
      </c>
    </row>
    <row r="506" spans="1:2" x14ac:dyDescent="0.3">
      <c r="A506" t="s">
        <v>1835</v>
      </c>
      <c r="B506">
        <v>4.7958800173440741</v>
      </c>
    </row>
    <row r="507" spans="1:2" x14ac:dyDescent="0.3">
      <c r="A507" t="s">
        <v>1837</v>
      </c>
      <c r="B507">
        <v>8.5751183633689312</v>
      </c>
    </row>
    <row r="508" spans="1:2" x14ac:dyDescent="0.3">
      <c r="A508" t="s">
        <v>1839</v>
      </c>
      <c r="B508">
        <v>7.1487416512809245</v>
      </c>
    </row>
    <row r="509" spans="1:2" x14ac:dyDescent="0.3">
      <c r="A509" t="s">
        <v>1845</v>
      </c>
      <c r="B509">
        <v>7.346787486224656</v>
      </c>
    </row>
    <row r="510" spans="1:2" x14ac:dyDescent="0.3">
      <c r="A510" t="s">
        <v>1848</v>
      </c>
      <c r="B510">
        <v>2.9999999999999996</v>
      </c>
    </row>
    <row r="511" spans="1:2" x14ac:dyDescent="0.3">
      <c r="A511" t="s">
        <v>1852</v>
      </c>
      <c r="B511">
        <v>7.1135092748275168</v>
      </c>
    </row>
    <row r="512" spans="1:2" x14ac:dyDescent="0.3">
      <c r="A512" t="s">
        <v>1854</v>
      </c>
      <c r="B512">
        <v>6.9616580663463923</v>
      </c>
    </row>
    <row r="513" spans="1:2" x14ac:dyDescent="0.3">
      <c r="A513" t="s">
        <v>1856</v>
      </c>
      <c r="B513">
        <v>9.0268721464003008</v>
      </c>
    </row>
    <row r="514" spans="1:2" x14ac:dyDescent="0.3">
      <c r="A514" t="s">
        <v>1858</v>
      </c>
      <c r="B514">
        <v>9.2839966563651988</v>
      </c>
    </row>
    <row r="515" spans="1:2" x14ac:dyDescent="0.3">
      <c r="A515" t="s">
        <v>1860</v>
      </c>
      <c r="B515">
        <v>7.3979400086720375</v>
      </c>
    </row>
    <row r="516" spans="1:2" x14ac:dyDescent="0.3">
      <c r="A516" t="s">
        <v>1866</v>
      </c>
      <c r="B516">
        <v>5.6020599913279616</v>
      </c>
    </row>
    <row r="517" spans="1:2" x14ac:dyDescent="0.3">
      <c r="A517" t="s">
        <v>1868</v>
      </c>
      <c r="B517">
        <v>5.3979400086720366</v>
      </c>
    </row>
    <row r="518" spans="1:2" x14ac:dyDescent="0.3">
      <c r="A518" t="s">
        <v>1871</v>
      </c>
      <c r="B518">
        <v>5.259637310505755</v>
      </c>
    </row>
    <row r="519" spans="1:2" x14ac:dyDescent="0.3">
      <c r="A519" t="s">
        <v>1875</v>
      </c>
      <c r="B519">
        <v>5.481486060122112</v>
      </c>
    </row>
    <row r="520" spans="1:2" x14ac:dyDescent="0.3">
      <c r="A520" t="s">
        <v>1878</v>
      </c>
      <c r="B520">
        <v>5.9999999999999991</v>
      </c>
    </row>
    <row r="521" spans="1:2" x14ac:dyDescent="0.3">
      <c r="A521" t="s">
        <v>1881</v>
      </c>
      <c r="B521">
        <v>6.0969100130080562</v>
      </c>
    </row>
    <row r="522" spans="1:2" x14ac:dyDescent="0.3">
      <c r="A522" t="s">
        <v>1884</v>
      </c>
      <c r="B522">
        <v>5.1804560644581308</v>
      </c>
    </row>
    <row r="523" spans="1:2" x14ac:dyDescent="0.3">
      <c r="A523" t="s">
        <v>1887</v>
      </c>
      <c r="B523">
        <v>6.1549019599857431</v>
      </c>
    </row>
    <row r="524" spans="1:2" x14ac:dyDescent="0.3">
      <c r="A524" t="s">
        <v>1890</v>
      </c>
      <c r="B524">
        <v>6.1549019599857431</v>
      </c>
    </row>
    <row r="525" spans="1:2" x14ac:dyDescent="0.3">
      <c r="A525" t="s">
        <v>1893</v>
      </c>
      <c r="B525">
        <v>5.6989700043360179</v>
      </c>
    </row>
    <row r="526" spans="1:2" x14ac:dyDescent="0.3">
      <c r="A526" t="s">
        <v>1895</v>
      </c>
      <c r="B526">
        <v>6.5528419686577797</v>
      </c>
    </row>
    <row r="527" spans="1:2" x14ac:dyDescent="0.3">
      <c r="A527" t="s">
        <v>1897</v>
      </c>
      <c r="B527">
        <v>7.0362121726544435</v>
      </c>
    </row>
    <row r="528" spans="1:2" x14ac:dyDescent="0.3">
      <c r="A528" t="s">
        <v>1899</v>
      </c>
      <c r="B528">
        <v>6.2218487496163553</v>
      </c>
    </row>
    <row r="529" spans="1:2" x14ac:dyDescent="0.3">
      <c r="A529" t="s">
        <v>1902</v>
      </c>
      <c r="B529">
        <v>8.3872161432802628</v>
      </c>
    </row>
    <row r="530" spans="1:2" x14ac:dyDescent="0.3">
      <c r="A530" t="s">
        <v>1906</v>
      </c>
      <c r="B530">
        <v>5.124938736608299</v>
      </c>
    </row>
    <row r="531" spans="1:2" x14ac:dyDescent="0.3">
      <c r="A531" t="s">
        <v>1908</v>
      </c>
      <c r="B531">
        <v>9.0222763947111524</v>
      </c>
    </row>
    <row r="532" spans="1:2" x14ac:dyDescent="0.3">
      <c r="A532" t="s">
        <v>1910</v>
      </c>
      <c r="B532">
        <v>5.3979400086720366</v>
      </c>
    </row>
    <row r="533" spans="1:2" x14ac:dyDescent="0.3">
      <c r="A533" t="s">
        <v>1912</v>
      </c>
      <c r="B533">
        <v>7.9208187539523749</v>
      </c>
    </row>
    <row r="534" spans="1:2" x14ac:dyDescent="0.3">
      <c r="A534" t="s">
        <v>1914</v>
      </c>
      <c r="B534">
        <v>5.9999999999999991</v>
      </c>
    </row>
    <row r="535" spans="1:2" x14ac:dyDescent="0.3">
      <c r="A535" t="s">
        <v>1917</v>
      </c>
      <c r="B535">
        <v>8</v>
      </c>
    </row>
    <row r="536" spans="1:2" x14ac:dyDescent="0.3">
      <c r="A536" t="s">
        <v>1919</v>
      </c>
      <c r="B536">
        <v>8</v>
      </c>
    </row>
    <row r="537" spans="1:2" x14ac:dyDescent="0.3">
      <c r="A537" t="s">
        <v>1921</v>
      </c>
      <c r="B537">
        <v>8</v>
      </c>
    </row>
    <row r="538" spans="1:2" x14ac:dyDescent="0.3">
      <c r="A538" t="s">
        <v>1924</v>
      </c>
      <c r="B538">
        <v>8</v>
      </c>
    </row>
    <row r="539" spans="1:2" x14ac:dyDescent="0.3">
      <c r="A539" t="s">
        <v>1926</v>
      </c>
      <c r="B539">
        <v>4.1549019599857431</v>
      </c>
    </row>
    <row r="540" spans="1:2" x14ac:dyDescent="0.3">
      <c r="A540" t="s">
        <v>1928</v>
      </c>
      <c r="B540">
        <v>6.2596373105057559</v>
      </c>
    </row>
    <row r="541" spans="1:2" x14ac:dyDescent="0.3">
      <c r="A541" t="s">
        <v>1930</v>
      </c>
      <c r="B541">
        <v>6.1249387366082999</v>
      </c>
    </row>
    <row r="542" spans="1:2" x14ac:dyDescent="0.3">
      <c r="A542" t="s">
        <v>1932</v>
      </c>
      <c r="B542">
        <v>4.6197887582883936</v>
      </c>
    </row>
    <row r="543" spans="1:2" x14ac:dyDescent="0.3">
      <c r="A543" t="s">
        <v>1934</v>
      </c>
      <c r="B543">
        <v>5.9999999999999991</v>
      </c>
    </row>
    <row r="544" spans="1:2" x14ac:dyDescent="0.3">
      <c r="A544" t="s">
        <v>1937</v>
      </c>
      <c r="B544">
        <v>7.6197887582883927</v>
      </c>
    </row>
    <row r="545" spans="1:2" x14ac:dyDescent="0.3">
      <c r="A545" t="s">
        <v>1940</v>
      </c>
      <c r="B545">
        <v>6.4948500216800928</v>
      </c>
    </row>
    <row r="546" spans="1:2" x14ac:dyDescent="0.3">
      <c r="A546" t="s">
        <v>1943</v>
      </c>
      <c r="B546">
        <v>7.3372421683184257</v>
      </c>
    </row>
    <row r="547" spans="1:2" x14ac:dyDescent="0.3">
      <c r="A547" t="s">
        <v>1946</v>
      </c>
      <c r="B547">
        <v>8</v>
      </c>
    </row>
    <row r="548" spans="1:2" x14ac:dyDescent="0.3">
      <c r="A548" t="s">
        <v>1951</v>
      </c>
      <c r="B548">
        <v>8</v>
      </c>
    </row>
    <row r="549" spans="1:2" x14ac:dyDescent="0.3">
      <c r="A549" t="s">
        <v>1955</v>
      </c>
      <c r="B549">
        <v>2.9999999999999996</v>
      </c>
    </row>
    <row r="550" spans="1:2" x14ac:dyDescent="0.3">
      <c r="A550" t="s">
        <v>1957</v>
      </c>
      <c r="B550">
        <v>9.27572413039921</v>
      </c>
    </row>
    <row r="551" spans="1:2" x14ac:dyDescent="0.3">
      <c r="A551" t="s">
        <v>1959</v>
      </c>
      <c r="B551">
        <v>7.0315170514460634</v>
      </c>
    </row>
    <row r="552" spans="1:2" x14ac:dyDescent="0.3">
      <c r="A552" t="s">
        <v>1961</v>
      </c>
      <c r="B552">
        <v>4.6020599913279616</v>
      </c>
    </row>
    <row r="553" spans="1:2" x14ac:dyDescent="0.3">
      <c r="A553" t="s">
        <v>1963</v>
      </c>
      <c r="B553">
        <v>4.6777807052660805</v>
      </c>
    </row>
    <row r="554" spans="1:2" x14ac:dyDescent="0.3">
      <c r="A554" t="s">
        <v>1965</v>
      </c>
      <c r="B554">
        <v>6.0506099933550868</v>
      </c>
    </row>
    <row r="555" spans="1:2" x14ac:dyDescent="0.3">
      <c r="A555" t="s">
        <v>1968</v>
      </c>
      <c r="B555">
        <v>5</v>
      </c>
    </row>
    <row r="556" spans="1:2" x14ac:dyDescent="0.3">
      <c r="A556" t="s">
        <v>1972</v>
      </c>
      <c r="B556">
        <v>5.197226274708024</v>
      </c>
    </row>
    <row r="557" spans="1:2" x14ac:dyDescent="0.3">
      <c r="A557" t="s">
        <v>1975</v>
      </c>
      <c r="B557">
        <v>6.7586207907838141</v>
      </c>
    </row>
    <row r="558" spans="1:2" x14ac:dyDescent="0.3">
      <c r="A558" t="s">
        <v>1977</v>
      </c>
      <c r="B558">
        <v>6.8538719643217609</v>
      </c>
    </row>
    <row r="559" spans="1:2" x14ac:dyDescent="0.3">
      <c r="A559" t="s">
        <v>1979</v>
      </c>
      <c r="B559">
        <v>8.7166987712964499</v>
      </c>
    </row>
    <row r="560" spans="1:2" x14ac:dyDescent="0.3">
      <c r="A560" t="s">
        <v>1981</v>
      </c>
      <c r="B560">
        <v>5.1023729087095582</v>
      </c>
    </row>
    <row r="561" spans="1:2" x14ac:dyDescent="0.3">
      <c r="A561" t="s">
        <v>1984</v>
      </c>
      <c r="B561">
        <v>5.5686362358410122</v>
      </c>
    </row>
    <row r="562" spans="1:2" x14ac:dyDescent="0.3">
      <c r="A562" t="s">
        <v>1987</v>
      </c>
      <c r="B562">
        <v>6.3010299956639804</v>
      </c>
    </row>
    <row r="563" spans="1:2" x14ac:dyDescent="0.3">
      <c r="A563" t="s">
        <v>1989</v>
      </c>
      <c r="B563">
        <v>7.7212463990471711</v>
      </c>
    </row>
    <row r="564" spans="1:2" x14ac:dyDescent="0.3">
      <c r="A564" t="s">
        <v>1992</v>
      </c>
      <c r="B564">
        <v>8</v>
      </c>
    </row>
    <row r="565" spans="1:2" x14ac:dyDescent="0.3">
      <c r="A565" t="s">
        <v>1995</v>
      </c>
      <c r="B565">
        <v>6.3979400086720375</v>
      </c>
    </row>
    <row r="566" spans="1:2" x14ac:dyDescent="0.3">
      <c r="A566" t="s">
        <v>1998</v>
      </c>
      <c r="B566">
        <v>3.4089353929735</v>
      </c>
    </row>
    <row r="567" spans="1:2" x14ac:dyDescent="0.3">
      <c r="A567" t="s">
        <v>2001</v>
      </c>
      <c r="B567">
        <v>5.9999999999999991</v>
      </c>
    </row>
    <row r="568" spans="1:2" x14ac:dyDescent="0.3">
      <c r="A568" t="s">
        <v>2003</v>
      </c>
      <c r="B568">
        <v>8.3187587626244106</v>
      </c>
    </row>
    <row r="569" spans="1:2" x14ac:dyDescent="0.3">
      <c r="A569" t="s">
        <v>2005</v>
      </c>
      <c r="B569">
        <v>5.1549019599857422</v>
      </c>
    </row>
    <row r="570" spans="1:2" x14ac:dyDescent="0.3">
      <c r="A570" t="s">
        <v>2008</v>
      </c>
      <c r="B570">
        <v>6.9586073148417746</v>
      </c>
    </row>
    <row r="571" spans="1:2" x14ac:dyDescent="0.3">
      <c r="A571" t="s">
        <v>2011</v>
      </c>
      <c r="B571">
        <v>4.3010299956639804</v>
      </c>
    </row>
    <row r="572" spans="1:2" x14ac:dyDescent="0.3">
      <c r="A572" t="s">
        <v>2014</v>
      </c>
      <c r="B572">
        <v>5.2020403562628035</v>
      </c>
    </row>
    <row r="573" spans="1:2" x14ac:dyDescent="0.3">
      <c r="A573" t="s">
        <v>2017</v>
      </c>
      <c r="B573">
        <v>5.920818753952374</v>
      </c>
    </row>
    <row r="574" spans="1:2" x14ac:dyDescent="0.3">
      <c r="A574" t="s">
        <v>2026</v>
      </c>
      <c r="B574">
        <v>5.7212463990471711</v>
      </c>
    </row>
    <row r="575" spans="1:2" x14ac:dyDescent="0.3">
      <c r="A575" t="s">
        <v>2029</v>
      </c>
      <c r="B575">
        <v>5.5376020021010435</v>
      </c>
    </row>
    <row r="576" spans="1:2" x14ac:dyDescent="0.3">
      <c r="A576" t="s">
        <v>2032</v>
      </c>
      <c r="B576">
        <v>6.2218487496163553</v>
      </c>
    </row>
    <row r="577" spans="1:2" x14ac:dyDescent="0.3">
      <c r="A577" t="s">
        <v>2035</v>
      </c>
      <c r="B577">
        <v>5.795880017344075</v>
      </c>
    </row>
    <row r="578" spans="1:2" x14ac:dyDescent="0.3">
      <c r="A578" t="s">
        <v>2038</v>
      </c>
      <c r="B578">
        <v>6.5228787452803365</v>
      </c>
    </row>
    <row r="579" spans="1:2" x14ac:dyDescent="0.3">
      <c r="A579" t="s">
        <v>2041</v>
      </c>
      <c r="B579">
        <v>5.6382721639824069</v>
      </c>
    </row>
    <row r="580" spans="1:2" x14ac:dyDescent="0.3">
      <c r="A580" t="s">
        <v>2044</v>
      </c>
      <c r="B580">
        <v>4.5686362358410122</v>
      </c>
    </row>
    <row r="581" spans="1:2" x14ac:dyDescent="0.3">
      <c r="A581" t="s">
        <v>2047</v>
      </c>
      <c r="B581">
        <v>5.1739251972991731</v>
      </c>
    </row>
    <row r="582" spans="1:2" x14ac:dyDescent="0.3">
      <c r="A582" t="s">
        <v>2049</v>
      </c>
      <c r="B582">
        <v>4.3010299956639804</v>
      </c>
    </row>
    <row r="583" spans="1:2" x14ac:dyDescent="0.3">
      <c r="A583" t="s">
        <v>2051</v>
      </c>
      <c r="B583">
        <v>5.009661145212398</v>
      </c>
    </row>
    <row r="584" spans="1:2" x14ac:dyDescent="0.3">
      <c r="A584" t="s">
        <v>2054</v>
      </c>
      <c r="B584">
        <v>5.9586073148417746</v>
      </c>
    </row>
    <row r="585" spans="1:2" x14ac:dyDescent="0.3">
      <c r="A585" t="s">
        <v>2057</v>
      </c>
      <c r="B585">
        <v>7</v>
      </c>
    </row>
    <row r="586" spans="1:2" x14ac:dyDescent="0.3">
      <c r="A586" t="s">
        <v>2060</v>
      </c>
      <c r="B586">
        <v>4.7878123955960419</v>
      </c>
    </row>
    <row r="587" spans="1:2" x14ac:dyDescent="0.3">
      <c r="A587" t="s">
        <v>2063</v>
      </c>
      <c r="B587">
        <v>5.0705810742857071</v>
      </c>
    </row>
    <row r="588" spans="1:2" x14ac:dyDescent="0.3">
      <c r="A588" t="s">
        <v>2065</v>
      </c>
      <c r="B588">
        <v>5.7637147225519705</v>
      </c>
    </row>
    <row r="589" spans="1:2" x14ac:dyDescent="0.3">
      <c r="A589" t="s">
        <v>2071</v>
      </c>
      <c r="B589">
        <v>5.4948500216800937</v>
      </c>
    </row>
    <row r="590" spans="1:2" x14ac:dyDescent="0.3">
      <c r="A590" t="s">
        <v>2074</v>
      </c>
      <c r="B590">
        <v>5.1191864077192086</v>
      </c>
    </row>
    <row r="591" spans="1:2" x14ac:dyDescent="0.3">
      <c r="A591" t="s">
        <v>2077</v>
      </c>
      <c r="B591">
        <v>5.5376020021010435</v>
      </c>
    </row>
    <row r="592" spans="1:2" x14ac:dyDescent="0.3">
      <c r="A592" t="s">
        <v>2080</v>
      </c>
      <c r="B592">
        <v>6.0457574905606748</v>
      </c>
    </row>
    <row r="593" spans="1:2" x14ac:dyDescent="0.3">
      <c r="A593" t="s">
        <v>2083</v>
      </c>
      <c r="B593">
        <v>5.4948500216800937</v>
      </c>
    </row>
    <row r="594" spans="1:2" x14ac:dyDescent="0.3">
      <c r="A594" t="s">
        <v>2086</v>
      </c>
      <c r="B594">
        <v>4.3010299956639804</v>
      </c>
    </row>
    <row r="595" spans="1:2" x14ac:dyDescent="0.3">
      <c r="A595" t="s">
        <v>2089</v>
      </c>
      <c r="B595">
        <v>6.3979400086720375</v>
      </c>
    </row>
    <row r="596" spans="1:2" x14ac:dyDescent="0.3">
      <c r="A596" t="s">
        <v>2092</v>
      </c>
      <c r="B596">
        <v>5.6575773191777934</v>
      </c>
    </row>
    <row r="597" spans="1:2" x14ac:dyDescent="0.3">
      <c r="A597" t="s">
        <v>2094</v>
      </c>
      <c r="B597">
        <v>7.9586073148417746</v>
      </c>
    </row>
    <row r="598" spans="1:2" x14ac:dyDescent="0.3">
      <c r="A598" t="s">
        <v>2097</v>
      </c>
      <c r="B598">
        <v>5.9065783148377644</v>
      </c>
    </row>
    <row r="599" spans="1:2" x14ac:dyDescent="0.3">
      <c r="A599" t="s">
        <v>2100</v>
      </c>
      <c r="B599">
        <v>5.6989700043360179</v>
      </c>
    </row>
    <row r="600" spans="1:2" x14ac:dyDescent="0.3">
      <c r="A600" t="s">
        <v>2103</v>
      </c>
      <c r="B600">
        <v>5.920818753952374</v>
      </c>
    </row>
    <row r="601" spans="1:2" x14ac:dyDescent="0.3">
      <c r="A601" t="s">
        <v>2106</v>
      </c>
      <c r="B601">
        <v>5.9999999999999991</v>
      </c>
    </row>
    <row r="602" spans="1:2" x14ac:dyDescent="0.3">
      <c r="A602" t="s">
        <v>2109</v>
      </c>
      <c r="B602">
        <v>4.9208187539523749</v>
      </c>
    </row>
    <row r="603" spans="1:2" x14ac:dyDescent="0.3">
      <c r="A603" t="s">
        <v>2112</v>
      </c>
      <c r="B603">
        <v>5.6777807052660796</v>
      </c>
    </row>
    <row r="604" spans="1:2" x14ac:dyDescent="0.3">
      <c r="A604" t="s">
        <v>2115</v>
      </c>
      <c r="B604">
        <v>5.1487416512809245</v>
      </c>
    </row>
    <row r="605" spans="1:2" x14ac:dyDescent="0.3">
      <c r="A605" t="s">
        <v>2118</v>
      </c>
      <c r="B605">
        <v>5.6575773191777934</v>
      </c>
    </row>
    <row r="606" spans="1:2" x14ac:dyDescent="0.3">
      <c r="A606" t="s">
        <v>2121</v>
      </c>
      <c r="B606">
        <v>3.9999999999999991</v>
      </c>
    </row>
    <row r="607" spans="1:2" x14ac:dyDescent="0.3">
      <c r="A607" t="s">
        <v>2124</v>
      </c>
      <c r="B607">
        <v>3.4948500216800937</v>
      </c>
    </row>
    <row r="608" spans="1:2" x14ac:dyDescent="0.3">
      <c r="A608" t="s">
        <v>2126</v>
      </c>
      <c r="B608">
        <v>5.9393021596463882</v>
      </c>
    </row>
    <row r="609" spans="1:2" x14ac:dyDescent="0.3">
      <c r="A609" t="s">
        <v>2128</v>
      </c>
      <c r="B609">
        <v>7.9586073148417746</v>
      </c>
    </row>
    <row r="610" spans="1:2" x14ac:dyDescent="0.3">
      <c r="A610" t="s">
        <v>2131</v>
      </c>
      <c r="B610">
        <v>8</v>
      </c>
    </row>
    <row r="611" spans="1:2" x14ac:dyDescent="0.3">
      <c r="A611" t="s">
        <v>2133</v>
      </c>
      <c r="B611">
        <v>8</v>
      </c>
    </row>
    <row r="612" spans="1:2" x14ac:dyDescent="0.3">
      <c r="A612" t="s">
        <v>2136</v>
      </c>
      <c r="B612">
        <v>8.9586073148417729</v>
      </c>
    </row>
    <row r="613" spans="1:2" x14ac:dyDescent="0.3">
      <c r="A613" t="s">
        <v>2138</v>
      </c>
      <c r="B613">
        <v>8.123205023799299</v>
      </c>
    </row>
    <row r="614" spans="1:2" x14ac:dyDescent="0.3">
      <c r="A614" t="s">
        <v>2141</v>
      </c>
      <c r="B614">
        <v>6.3010299956639804</v>
      </c>
    </row>
    <row r="615" spans="1:2" x14ac:dyDescent="0.3">
      <c r="A615" t="s">
        <v>2144</v>
      </c>
      <c r="B615">
        <v>5.8538719643217618</v>
      </c>
    </row>
    <row r="616" spans="1:2" x14ac:dyDescent="0.3">
      <c r="A616" t="s">
        <v>2147</v>
      </c>
      <c r="B616">
        <v>5.3098039199714862</v>
      </c>
    </row>
    <row r="617" spans="1:2" x14ac:dyDescent="0.3">
      <c r="A617" t="s">
        <v>2150</v>
      </c>
      <c r="B617">
        <v>5.6989700043360179</v>
      </c>
    </row>
    <row r="618" spans="1:2" x14ac:dyDescent="0.3">
      <c r="A618" t="s">
        <v>2153</v>
      </c>
      <c r="B618">
        <v>5.481486060122112</v>
      </c>
    </row>
    <row r="619" spans="1:2" x14ac:dyDescent="0.3">
      <c r="A619" t="s">
        <v>2156</v>
      </c>
      <c r="B619">
        <v>4.6345120151090997</v>
      </c>
    </row>
    <row r="620" spans="1:2" x14ac:dyDescent="0.3">
      <c r="A620" t="s">
        <v>2159</v>
      </c>
      <c r="B620">
        <v>5.3098039199714862</v>
      </c>
    </row>
    <row r="621" spans="1:2" x14ac:dyDescent="0.3">
      <c r="A621" t="s">
        <v>2162</v>
      </c>
      <c r="B621">
        <v>5.8538719643217618</v>
      </c>
    </row>
    <row r="622" spans="1:2" x14ac:dyDescent="0.3">
      <c r="A622" t="s">
        <v>2165</v>
      </c>
      <c r="B622">
        <v>4.7695510786217259</v>
      </c>
    </row>
    <row r="623" spans="1:2" x14ac:dyDescent="0.3">
      <c r="A623" t="s">
        <v>2168</v>
      </c>
      <c r="B623">
        <v>6.2218487496163553</v>
      </c>
    </row>
    <row r="624" spans="1:2" x14ac:dyDescent="0.3">
      <c r="A624" t="s">
        <v>2171</v>
      </c>
      <c r="B624">
        <v>5.3010299956639813</v>
      </c>
    </row>
    <row r="625" spans="1:2" x14ac:dyDescent="0.3">
      <c r="A625" t="s">
        <v>2174</v>
      </c>
      <c r="B625">
        <v>5.5686362358410122</v>
      </c>
    </row>
    <row r="626" spans="1:2" x14ac:dyDescent="0.3">
      <c r="A626" t="s">
        <v>2176</v>
      </c>
      <c r="B626">
        <v>5.8239087409443187</v>
      </c>
    </row>
    <row r="627" spans="1:2" x14ac:dyDescent="0.3">
      <c r="A627" t="s">
        <v>2178</v>
      </c>
      <c r="B627">
        <v>7.3187587626244124</v>
      </c>
    </row>
    <row r="628" spans="1:2" x14ac:dyDescent="0.3">
      <c r="A628" t="s">
        <v>2181</v>
      </c>
      <c r="B628">
        <v>5.920818753952374</v>
      </c>
    </row>
    <row r="629" spans="1:2" x14ac:dyDescent="0.3">
      <c r="A629" t="s">
        <v>2184</v>
      </c>
      <c r="B629">
        <v>5.5850266520291809</v>
      </c>
    </row>
    <row r="630" spans="1:2" x14ac:dyDescent="0.3">
      <c r="A630" t="s">
        <v>2187</v>
      </c>
      <c r="B630">
        <v>5.3665315444204129</v>
      </c>
    </row>
    <row r="631" spans="1:2" x14ac:dyDescent="0.3">
      <c r="A631" t="s">
        <v>2189</v>
      </c>
      <c r="B631">
        <v>7.5086383061657269</v>
      </c>
    </row>
    <row r="632" spans="1:2" x14ac:dyDescent="0.3">
      <c r="A632" t="s">
        <v>2193</v>
      </c>
      <c r="B632">
        <v>7.0315170514460634</v>
      </c>
    </row>
    <row r="633" spans="1:2" x14ac:dyDescent="0.3">
      <c r="A633" t="s">
        <v>2196</v>
      </c>
      <c r="B633">
        <v>5.5199930570428482</v>
      </c>
    </row>
    <row r="634" spans="1:2" x14ac:dyDescent="0.3">
      <c r="A634" t="s">
        <v>2199</v>
      </c>
      <c r="B634">
        <v>6.2518119729937984</v>
      </c>
    </row>
    <row r="635" spans="1:2" x14ac:dyDescent="0.3">
      <c r="A635" t="s">
        <v>2201</v>
      </c>
      <c r="B635">
        <v>5.2757241303992108</v>
      </c>
    </row>
    <row r="636" spans="1:2" x14ac:dyDescent="0.3">
      <c r="A636" t="s">
        <v>2203</v>
      </c>
      <c r="B636">
        <v>5.4559319556497234</v>
      </c>
    </row>
    <row r="637" spans="1:2" x14ac:dyDescent="0.3">
      <c r="A637" t="s">
        <v>2205</v>
      </c>
      <c r="B637">
        <v>4.6108339156354665</v>
      </c>
    </row>
    <row r="638" spans="1:2" x14ac:dyDescent="0.3">
      <c r="A638" t="s">
        <v>2208</v>
      </c>
      <c r="B638">
        <v>7.5850266520291818</v>
      </c>
    </row>
    <row r="639" spans="1:2" x14ac:dyDescent="0.3">
      <c r="A639" t="s">
        <v>2211</v>
      </c>
      <c r="B639">
        <v>6.9586073148417746</v>
      </c>
    </row>
    <row r="640" spans="1:2" x14ac:dyDescent="0.3">
      <c r="A640" t="s">
        <v>2213</v>
      </c>
      <c r="B640">
        <v>7.0506099933550868</v>
      </c>
    </row>
    <row r="641" spans="1:2" x14ac:dyDescent="0.3">
      <c r="A641" t="s">
        <v>2216</v>
      </c>
      <c r="B641">
        <v>7.7958800173440741</v>
      </c>
    </row>
    <row r="642" spans="1:2" x14ac:dyDescent="0.3">
      <c r="A642" t="s">
        <v>2218</v>
      </c>
      <c r="B642">
        <v>8</v>
      </c>
    </row>
    <row r="643" spans="1:2" x14ac:dyDescent="0.3">
      <c r="A643" t="s">
        <v>2221</v>
      </c>
      <c r="B643">
        <v>6.8239087409443178</v>
      </c>
    </row>
    <row r="644" spans="1:2" x14ac:dyDescent="0.3">
      <c r="A644" t="s">
        <v>2223</v>
      </c>
      <c r="B644">
        <v>5</v>
      </c>
    </row>
    <row r="645" spans="1:2" x14ac:dyDescent="0.3">
      <c r="A645" t="s">
        <v>2225</v>
      </c>
      <c r="B645">
        <v>4.9208187539523749</v>
      </c>
    </row>
    <row r="646" spans="1:2" x14ac:dyDescent="0.3">
      <c r="A646" t="s">
        <v>2227</v>
      </c>
      <c r="B646">
        <v>3.2839966563652006</v>
      </c>
    </row>
    <row r="647" spans="1:2" x14ac:dyDescent="0.3">
      <c r="A647" t="s">
        <v>2229</v>
      </c>
      <c r="B647">
        <v>5.7011469235902927</v>
      </c>
    </row>
    <row r="648" spans="1:2" x14ac:dyDescent="0.3">
      <c r="A648" t="s">
        <v>2231</v>
      </c>
      <c r="B648">
        <v>5.1999706407558648</v>
      </c>
    </row>
    <row r="649" spans="1:2" x14ac:dyDescent="0.3">
      <c r="A649" t="s">
        <v>2234</v>
      </c>
      <c r="B649">
        <v>6.5228787452803365</v>
      </c>
    </row>
    <row r="650" spans="1:2" x14ac:dyDescent="0.3">
      <c r="A650" t="s">
        <v>2237</v>
      </c>
      <c r="B650">
        <v>5.5686362358410122</v>
      </c>
    </row>
    <row r="651" spans="1:2" x14ac:dyDescent="0.3">
      <c r="A651" t="s">
        <v>2240</v>
      </c>
      <c r="B651">
        <v>6.3010299956639804</v>
      </c>
    </row>
    <row r="652" spans="1:2" x14ac:dyDescent="0.3">
      <c r="A652" t="s">
        <v>2243</v>
      </c>
      <c r="B652">
        <v>5.4089353929735005</v>
      </c>
    </row>
    <row r="653" spans="1:2" x14ac:dyDescent="0.3">
      <c r="A653" t="s">
        <v>2246</v>
      </c>
      <c r="B653">
        <v>6.0177287669604311</v>
      </c>
    </row>
    <row r="654" spans="1:2" x14ac:dyDescent="0.3">
      <c r="A654" t="s">
        <v>2249</v>
      </c>
      <c r="B654">
        <v>7.8860566476931622</v>
      </c>
    </row>
    <row r="655" spans="1:2" x14ac:dyDescent="0.3">
      <c r="A655" t="s">
        <v>2251</v>
      </c>
      <c r="B655">
        <v>8</v>
      </c>
    </row>
    <row r="656" spans="1:2" x14ac:dyDescent="0.3">
      <c r="A656" t="s">
        <v>2253</v>
      </c>
      <c r="B656">
        <v>8.1372724716820244</v>
      </c>
    </row>
    <row r="657" spans="1:2" x14ac:dyDescent="0.3">
      <c r="A657" t="s">
        <v>2255</v>
      </c>
      <c r="B657">
        <v>9.5376020021010426</v>
      </c>
    </row>
    <row r="658" spans="1:2" x14ac:dyDescent="0.3">
      <c r="A658" t="s">
        <v>2257</v>
      </c>
      <c r="B658">
        <v>6.0809219076239254</v>
      </c>
    </row>
    <row r="659" spans="1:2" x14ac:dyDescent="0.3">
      <c r="A659" t="s">
        <v>2263</v>
      </c>
      <c r="B659">
        <v>5.5850266520291809</v>
      </c>
    </row>
    <row r="660" spans="1:2" x14ac:dyDescent="0.3">
      <c r="A660" t="s">
        <v>2266</v>
      </c>
      <c r="B660">
        <v>5.920818753952374</v>
      </c>
    </row>
    <row r="661" spans="1:2" x14ac:dyDescent="0.3">
      <c r="A661" t="s">
        <v>2269</v>
      </c>
      <c r="B661">
        <v>6.6989700043360187</v>
      </c>
    </row>
    <row r="662" spans="1:2" x14ac:dyDescent="0.3">
      <c r="A662" t="s">
        <v>2272</v>
      </c>
      <c r="B662">
        <v>4.0809219076239254</v>
      </c>
    </row>
    <row r="663" spans="1:2" x14ac:dyDescent="0.3">
      <c r="A663" t="s">
        <v>2274</v>
      </c>
      <c r="B663">
        <v>5.0693008674469526</v>
      </c>
    </row>
    <row r="664" spans="1:2" x14ac:dyDescent="0.3">
      <c r="A664" t="s">
        <v>2276</v>
      </c>
      <c r="B664">
        <v>6.3857764516890096</v>
      </c>
    </row>
    <row r="665" spans="1:2" x14ac:dyDescent="0.3">
      <c r="A665" t="s">
        <v>2279</v>
      </c>
      <c r="B665">
        <v>6.9208187539523749</v>
      </c>
    </row>
    <row r="666" spans="1:2" x14ac:dyDescent="0.3">
      <c r="A666" t="s">
        <v>2281</v>
      </c>
      <c r="B666">
        <v>7.0506099933550868</v>
      </c>
    </row>
    <row r="667" spans="1:2" x14ac:dyDescent="0.3">
      <c r="A667" t="s">
        <v>2284</v>
      </c>
      <c r="B667">
        <v>4.3555614105321609</v>
      </c>
    </row>
    <row r="668" spans="1:2" x14ac:dyDescent="0.3">
      <c r="A668" t="s">
        <v>2286</v>
      </c>
      <c r="B668">
        <v>5.5361070110140922</v>
      </c>
    </row>
    <row r="669" spans="1:2" x14ac:dyDescent="0.3">
      <c r="A669" t="s">
        <v>2288</v>
      </c>
      <c r="B669">
        <v>4.4436974992327123</v>
      </c>
    </row>
    <row r="670" spans="1:2" x14ac:dyDescent="0.3">
      <c r="A670" t="s">
        <v>2290</v>
      </c>
      <c r="B670">
        <v>5.795880017344075</v>
      </c>
    </row>
    <row r="671" spans="1:2" x14ac:dyDescent="0.3">
      <c r="A671" t="s">
        <v>2292</v>
      </c>
      <c r="B671">
        <v>6.8823641826105053</v>
      </c>
    </row>
    <row r="672" spans="1:2" x14ac:dyDescent="0.3">
      <c r="A672" t="s">
        <v>2294</v>
      </c>
      <c r="B672">
        <v>8.5751183633689312</v>
      </c>
    </row>
    <row r="673" spans="1:2" x14ac:dyDescent="0.3">
      <c r="A673" t="s">
        <v>2296</v>
      </c>
      <c r="B673">
        <v>8.6675615400843942</v>
      </c>
    </row>
    <row r="674" spans="1:2" x14ac:dyDescent="0.3">
      <c r="A674" t="s">
        <v>2298</v>
      </c>
      <c r="B674">
        <v>8.8827287043442347</v>
      </c>
    </row>
    <row r="675" spans="1:2" x14ac:dyDescent="0.3">
      <c r="A675" t="s">
        <v>2302</v>
      </c>
      <c r="B675">
        <v>7.2218487496163553</v>
      </c>
    </row>
    <row r="676" spans="1:2" x14ac:dyDescent="0.3">
      <c r="A676" t="s">
        <v>2304</v>
      </c>
      <c r="B676">
        <v>7.5228787452803374</v>
      </c>
    </row>
    <row r="677" spans="1:2" x14ac:dyDescent="0.3">
      <c r="A677" t="s">
        <v>2306</v>
      </c>
      <c r="B677">
        <v>6.8860566476931631</v>
      </c>
    </row>
    <row r="678" spans="1:2" x14ac:dyDescent="0.3">
      <c r="A678" t="s">
        <v>2309</v>
      </c>
      <c r="B678">
        <v>5.2839966563651997</v>
      </c>
    </row>
    <row r="679" spans="1:2" x14ac:dyDescent="0.3">
      <c r="A679" t="s">
        <v>2311</v>
      </c>
      <c r="B679">
        <v>4.8927900303521312</v>
      </c>
    </row>
    <row r="680" spans="1:2" x14ac:dyDescent="0.3">
      <c r="A680" t="s">
        <v>2313</v>
      </c>
      <c r="B680">
        <v>5.1897674820049158</v>
      </c>
    </row>
    <row r="681" spans="1:2" x14ac:dyDescent="0.3">
      <c r="A681" t="s">
        <v>2315</v>
      </c>
      <c r="B681">
        <v>5.2321023839819087</v>
      </c>
    </row>
    <row r="682" spans="1:2" x14ac:dyDescent="0.3">
      <c r="A682" t="s">
        <v>2317</v>
      </c>
      <c r="B682">
        <v>8</v>
      </c>
    </row>
    <row r="683" spans="1:2" x14ac:dyDescent="0.3">
      <c r="A683" t="s">
        <v>2319</v>
      </c>
      <c r="B683">
        <v>5.3010299956639813</v>
      </c>
    </row>
    <row r="684" spans="1:2" x14ac:dyDescent="0.3">
      <c r="A684" t="s">
        <v>2322</v>
      </c>
      <c r="B684">
        <v>4.4649750269490651</v>
      </c>
    </row>
    <row r="685" spans="1:2" x14ac:dyDescent="0.3">
      <c r="A685" t="s">
        <v>2325</v>
      </c>
      <c r="B685">
        <v>3.7447274948966935</v>
      </c>
    </row>
    <row r="686" spans="1:2" x14ac:dyDescent="0.3">
      <c r="A686" t="s">
        <v>2327</v>
      </c>
      <c r="B686">
        <v>4.2218487496163561</v>
      </c>
    </row>
    <row r="687" spans="1:2" x14ac:dyDescent="0.3">
      <c r="A687" t="s">
        <v>2329</v>
      </c>
      <c r="B687">
        <v>4.9208187539523749</v>
      </c>
    </row>
    <row r="688" spans="1:2" x14ac:dyDescent="0.3">
      <c r="A688" t="s">
        <v>2332</v>
      </c>
      <c r="B688">
        <v>4.3010299956639804</v>
      </c>
    </row>
    <row r="689" spans="1:2" x14ac:dyDescent="0.3">
      <c r="A689" t="s">
        <v>2335</v>
      </c>
      <c r="B689">
        <v>5.0177287669604302</v>
      </c>
    </row>
    <row r="690" spans="1:2" x14ac:dyDescent="0.3">
      <c r="A690" t="s">
        <v>2338</v>
      </c>
      <c r="B690">
        <v>8.3089185078770313</v>
      </c>
    </row>
    <row r="691" spans="1:2" x14ac:dyDescent="0.3">
      <c r="A691" t="s">
        <v>2342</v>
      </c>
      <c r="B691">
        <v>6.6575773191777934</v>
      </c>
    </row>
    <row r="692" spans="1:2" x14ac:dyDescent="0.3">
      <c r="A692" t="s">
        <v>2344</v>
      </c>
      <c r="B692">
        <v>8.6798537138889458</v>
      </c>
    </row>
    <row r="693" spans="1:2" x14ac:dyDescent="0.3">
      <c r="A693" t="s">
        <v>2346</v>
      </c>
      <c r="B693">
        <v>4.346787486224656</v>
      </c>
    </row>
    <row r="694" spans="1:2" x14ac:dyDescent="0.3">
      <c r="A694" t="s">
        <v>2349</v>
      </c>
      <c r="B694">
        <v>4.7469867255121576</v>
      </c>
    </row>
    <row r="695" spans="1:2" x14ac:dyDescent="0.3">
      <c r="A695" t="s">
        <v>2353</v>
      </c>
      <c r="B695">
        <v>7.431798275933005</v>
      </c>
    </row>
    <row r="696" spans="1:2" x14ac:dyDescent="0.3">
      <c r="A696" t="s">
        <v>2355</v>
      </c>
      <c r="B696">
        <v>4.7695510786217259</v>
      </c>
    </row>
    <row r="697" spans="1:2" x14ac:dyDescent="0.3">
      <c r="A697" t="s">
        <v>2357</v>
      </c>
      <c r="B697">
        <v>4.4089353929735005</v>
      </c>
    </row>
    <row r="698" spans="1:2" x14ac:dyDescent="0.3">
      <c r="A698" t="s">
        <v>2359</v>
      </c>
      <c r="B698">
        <v>3.9999999999999991</v>
      </c>
    </row>
    <row r="699" spans="1:2" x14ac:dyDescent="0.3">
      <c r="A699" t="s">
        <v>2361</v>
      </c>
      <c r="B699">
        <v>4.1191864077192077</v>
      </c>
    </row>
    <row r="700" spans="1:2" x14ac:dyDescent="0.3">
      <c r="A700" t="s">
        <v>2363</v>
      </c>
      <c r="B700">
        <v>3.9999999999999991</v>
      </c>
    </row>
    <row r="701" spans="1:2" x14ac:dyDescent="0.3">
      <c r="A701" t="s">
        <v>2365</v>
      </c>
      <c r="B701">
        <v>3.7447274948966935</v>
      </c>
    </row>
    <row r="702" spans="1:2" x14ac:dyDescent="0.3">
      <c r="A702" t="s">
        <v>2367</v>
      </c>
      <c r="B702">
        <v>4.8860566476931631</v>
      </c>
    </row>
    <row r="703" spans="1:2" x14ac:dyDescent="0.3">
      <c r="A703" t="s">
        <v>2369</v>
      </c>
      <c r="B703">
        <v>5.8961962790440428</v>
      </c>
    </row>
    <row r="704" spans="1:2" x14ac:dyDescent="0.3">
      <c r="A704" t="s">
        <v>2377</v>
      </c>
      <c r="B704">
        <v>8</v>
      </c>
    </row>
    <row r="705" spans="1:2" x14ac:dyDescent="0.3">
      <c r="A705" t="s">
        <v>2382</v>
      </c>
      <c r="B705">
        <v>7.769551078621725</v>
      </c>
    </row>
    <row r="706" spans="1:2" x14ac:dyDescent="0.3">
      <c r="A706" t="s">
        <v>2384</v>
      </c>
      <c r="B706">
        <v>9.2441251443275068</v>
      </c>
    </row>
    <row r="707" spans="1:2" x14ac:dyDescent="0.3">
      <c r="A707" t="s">
        <v>2387</v>
      </c>
      <c r="B707">
        <v>8</v>
      </c>
    </row>
    <row r="708" spans="1:2" x14ac:dyDescent="0.3">
      <c r="A708" t="s">
        <v>2389</v>
      </c>
      <c r="B708">
        <v>5.242831807785727</v>
      </c>
    </row>
    <row r="709" spans="1:2" x14ac:dyDescent="0.3">
      <c r="A709" t="s">
        <v>2395</v>
      </c>
      <c r="B709">
        <v>9.5850266520291818</v>
      </c>
    </row>
    <row r="710" spans="1:2" x14ac:dyDescent="0.3">
      <c r="A710" t="s">
        <v>2397</v>
      </c>
      <c r="B710">
        <v>4.9833862387403594</v>
      </c>
    </row>
    <row r="711" spans="1:2" x14ac:dyDescent="0.3">
      <c r="A711" t="s">
        <v>2399</v>
      </c>
      <c r="B711">
        <v>6.9788107009300617</v>
      </c>
    </row>
    <row r="712" spans="1:2" x14ac:dyDescent="0.3">
      <c r="A712" t="s">
        <v>2401</v>
      </c>
      <c r="B712">
        <v>3.6989700043360187</v>
      </c>
    </row>
    <row r="713" spans="1:2" x14ac:dyDescent="0.3">
      <c r="A713" t="s">
        <v>2405</v>
      </c>
      <c r="B713">
        <v>7.5228787452803374</v>
      </c>
    </row>
    <row r="714" spans="1:2" x14ac:dyDescent="0.3">
      <c r="A714" t="s">
        <v>2407</v>
      </c>
      <c r="B714">
        <v>3.6989700043360187</v>
      </c>
    </row>
    <row r="715" spans="1:2" x14ac:dyDescent="0.3">
      <c r="A715" t="s">
        <v>2409</v>
      </c>
      <c r="B715">
        <v>4.2518119729937984</v>
      </c>
    </row>
    <row r="716" spans="1:2" x14ac:dyDescent="0.3">
      <c r="A716" t="s">
        <v>2412</v>
      </c>
      <c r="B716">
        <v>8</v>
      </c>
    </row>
    <row r="717" spans="1:2" x14ac:dyDescent="0.3">
      <c r="A717" t="s">
        <v>2415</v>
      </c>
      <c r="B717">
        <v>6.1549019599857431</v>
      </c>
    </row>
    <row r="718" spans="1:2" x14ac:dyDescent="0.3">
      <c r="A718" t="s">
        <v>2418</v>
      </c>
      <c r="B718">
        <v>6.3010299956639804</v>
      </c>
    </row>
    <row r="719" spans="1:2" x14ac:dyDescent="0.3">
      <c r="A719" t="s">
        <v>2421</v>
      </c>
      <c r="B719">
        <v>6.0457574905606748</v>
      </c>
    </row>
    <row r="720" spans="1:2" x14ac:dyDescent="0.3">
      <c r="A720" t="s">
        <v>2424</v>
      </c>
      <c r="B720">
        <v>5.920818753952374</v>
      </c>
    </row>
    <row r="721" spans="1:2" x14ac:dyDescent="0.3">
      <c r="A721" t="s">
        <v>2427</v>
      </c>
      <c r="B721">
        <v>6.3979400086720375</v>
      </c>
    </row>
    <row r="722" spans="1:2" x14ac:dyDescent="0.3">
      <c r="A722" t="s">
        <v>2430</v>
      </c>
      <c r="B722">
        <v>5.5228787452803374</v>
      </c>
    </row>
    <row r="723" spans="1:2" x14ac:dyDescent="0.3">
      <c r="A723" t="s">
        <v>2433</v>
      </c>
      <c r="B723">
        <v>5.2839966563651997</v>
      </c>
    </row>
    <row r="724" spans="1:2" x14ac:dyDescent="0.3">
      <c r="A724" t="s">
        <v>2436</v>
      </c>
      <c r="B724">
        <v>5.9586073148417746</v>
      </c>
    </row>
    <row r="725" spans="1:2" x14ac:dyDescent="0.3">
      <c r="A725" t="s">
        <v>2439</v>
      </c>
      <c r="B725">
        <v>6.4559319556497243</v>
      </c>
    </row>
    <row r="726" spans="1:2" x14ac:dyDescent="0.3">
      <c r="A726" t="s">
        <v>2442</v>
      </c>
      <c r="B726">
        <v>5.0109720122392867</v>
      </c>
    </row>
    <row r="727" spans="1:2" x14ac:dyDescent="0.3">
      <c r="A727" t="s">
        <v>2444</v>
      </c>
      <c r="B727">
        <v>6.3701957581722564</v>
      </c>
    </row>
    <row r="728" spans="1:2" x14ac:dyDescent="0.3">
      <c r="A728" t="s">
        <v>2446</v>
      </c>
      <c r="B728">
        <v>4.2076083105017457</v>
      </c>
    </row>
    <row r="729" spans="1:2" x14ac:dyDescent="0.3">
      <c r="A729" t="s">
        <v>2449</v>
      </c>
      <c r="B729">
        <v>7.5228787452803374</v>
      </c>
    </row>
    <row r="730" spans="1:2" x14ac:dyDescent="0.3">
      <c r="A730" t="s">
        <v>2451</v>
      </c>
      <c r="B730">
        <v>7.0457574905606739</v>
      </c>
    </row>
    <row r="731" spans="1:2" x14ac:dyDescent="0.3">
      <c r="A731" t="s">
        <v>2453</v>
      </c>
      <c r="B731">
        <v>8.6882461389442458</v>
      </c>
    </row>
    <row r="732" spans="1:2" x14ac:dyDescent="0.3">
      <c r="A732" t="s">
        <v>2456</v>
      </c>
      <c r="B732">
        <v>5.0647386923382109</v>
      </c>
    </row>
    <row r="733" spans="1:2" x14ac:dyDescent="0.3">
      <c r="A733" t="s">
        <v>2459</v>
      </c>
      <c r="B733">
        <v>6.5228787452803365</v>
      </c>
    </row>
    <row r="734" spans="1:2" x14ac:dyDescent="0.3">
      <c r="A734" t="s">
        <v>2461</v>
      </c>
      <c r="B734">
        <v>4.4559319556497243</v>
      </c>
    </row>
    <row r="735" spans="1:2" x14ac:dyDescent="0.3">
      <c r="A735" t="s">
        <v>2463</v>
      </c>
      <c r="B735">
        <v>4.3767507096020992</v>
      </c>
    </row>
    <row r="736" spans="1:2" x14ac:dyDescent="0.3">
      <c r="A736" t="s">
        <v>2465</v>
      </c>
      <c r="B736">
        <v>5.5421181032660076</v>
      </c>
    </row>
    <row r="737" spans="1:2" x14ac:dyDescent="0.3">
      <c r="A737" t="s">
        <v>2468</v>
      </c>
      <c r="B737">
        <v>6.5850266520291818</v>
      </c>
    </row>
    <row r="738" spans="1:2" x14ac:dyDescent="0.3">
      <c r="A738" t="s">
        <v>2470</v>
      </c>
      <c r="B738">
        <v>7.769551078621725</v>
      </c>
    </row>
    <row r="739" spans="1:2" x14ac:dyDescent="0.3">
      <c r="A739" t="s">
        <v>2472</v>
      </c>
      <c r="B739">
        <v>8</v>
      </c>
    </row>
    <row r="740" spans="1:2" x14ac:dyDescent="0.3">
      <c r="A740" t="s">
        <v>2475</v>
      </c>
      <c r="B740">
        <v>8</v>
      </c>
    </row>
    <row r="741" spans="1:2" x14ac:dyDescent="0.3">
      <c r="A741" t="s">
        <v>2478</v>
      </c>
      <c r="B741">
        <v>6.0132282657337548</v>
      </c>
    </row>
    <row r="742" spans="1:2" x14ac:dyDescent="0.3">
      <c r="A742" t="s">
        <v>2481</v>
      </c>
      <c r="B742">
        <v>7.8860566476931622</v>
      </c>
    </row>
    <row r="743" spans="1:2" x14ac:dyDescent="0.3">
      <c r="A743" t="s">
        <v>2483</v>
      </c>
      <c r="B743">
        <v>6.7447274948966927</v>
      </c>
    </row>
    <row r="744" spans="1:2" x14ac:dyDescent="0.3">
      <c r="A744" t="s">
        <v>2489</v>
      </c>
      <c r="B744">
        <v>7.3010299956639804</v>
      </c>
    </row>
    <row r="745" spans="1:2" x14ac:dyDescent="0.3">
      <c r="A745" t="s">
        <v>2491</v>
      </c>
      <c r="B745">
        <v>3.9208187539523749</v>
      </c>
    </row>
    <row r="746" spans="1:2" x14ac:dyDescent="0.3">
      <c r="A746" t="s">
        <v>2494</v>
      </c>
      <c r="B746">
        <v>4.075720713938118</v>
      </c>
    </row>
    <row r="747" spans="1:2" x14ac:dyDescent="0.3">
      <c r="A747" t="s">
        <v>2496</v>
      </c>
      <c r="B747">
        <v>7.2365720064370622</v>
      </c>
    </row>
    <row r="748" spans="1:2" x14ac:dyDescent="0.3">
      <c r="A748" t="s">
        <v>2499</v>
      </c>
      <c r="B748">
        <v>5.2518119729937993</v>
      </c>
    </row>
    <row r="749" spans="1:2" x14ac:dyDescent="0.3">
      <c r="A749" t="s">
        <v>2501</v>
      </c>
      <c r="B749">
        <v>5.8761483590329133</v>
      </c>
    </row>
    <row r="750" spans="1:2" x14ac:dyDescent="0.3">
      <c r="A750" t="s">
        <v>2504</v>
      </c>
      <c r="B750">
        <v>6.1938200260161116</v>
      </c>
    </row>
    <row r="751" spans="1:2" x14ac:dyDescent="0.3">
      <c r="A751" t="s">
        <v>2506</v>
      </c>
      <c r="B751">
        <v>5.2676062401770309</v>
      </c>
    </row>
    <row r="752" spans="1:2" x14ac:dyDescent="0.3">
      <c r="A752" t="s">
        <v>2508</v>
      </c>
      <c r="B752">
        <v>4.6989700043360187</v>
      </c>
    </row>
    <row r="753" spans="1:2" x14ac:dyDescent="0.3">
      <c r="A753" t="s">
        <v>2510</v>
      </c>
      <c r="B753">
        <v>4.3872161432802645</v>
      </c>
    </row>
    <row r="754" spans="1:2" x14ac:dyDescent="0.3">
      <c r="A754" t="s">
        <v>2512</v>
      </c>
      <c r="B754">
        <v>5.0655015487564317</v>
      </c>
    </row>
    <row r="755" spans="1:2" x14ac:dyDescent="0.3">
      <c r="A755" t="s">
        <v>2516</v>
      </c>
      <c r="B755">
        <v>4.327902142064282</v>
      </c>
    </row>
    <row r="756" spans="1:2" x14ac:dyDescent="0.3">
      <c r="A756" t="s">
        <v>2518</v>
      </c>
      <c r="B756">
        <v>6.2083093509798815</v>
      </c>
    </row>
    <row r="757" spans="1:2" x14ac:dyDescent="0.3">
      <c r="A757" t="s">
        <v>2520</v>
      </c>
      <c r="B757">
        <v>6.3701957581722564</v>
      </c>
    </row>
    <row r="758" spans="1:2" x14ac:dyDescent="0.3">
      <c r="A758" t="s">
        <v>2522</v>
      </c>
      <c r="B758">
        <v>4.7986028756795482</v>
      </c>
    </row>
    <row r="759" spans="1:2" x14ac:dyDescent="0.3">
      <c r="A759" t="s">
        <v>2524</v>
      </c>
      <c r="B759">
        <v>4.6777807052660805</v>
      </c>
    </row>
    <row r="760" spans="1:2" x14ac:dyDescent="0.3">
      <c r="A760" t="s">
        <v>2526</v>
      </c>
      <c r="B760">
        <v>4.3372421683184257</v>
      </c>
    </row>
    <row r="761" spans="1:2" x14ac:dyDescent="0.3">
      <c r="A761" t="s">
        <v>2530</v>
      </c>
      <c r="B761">
        <v>6.7447274948966927</v>
      </c>
    </row>
    <row r="762" spans="1:2" x14ac:dyDescent="0.3">
      <c r="A762" t="s">
        <v>2532</v>
      </c>
      <c r="B762">
        <v>5.6382721639824069</v>
      </c>
    </row>
    <row r="763" spans="1:2" x14ac:dyDescent="0.3">
      <c r="A763" t="s">
        <v>2534</v>
      </c>
      <c r="B763">
        <v>8</v>
      </c>
    </row>
  </sheetData>
  <conditionalFormatting sqref="A1:A1048576">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CABC6-1172-45A8-9EAA-265AB27DBDCC}">
  <dimension ref="A1:E763"/>
  <sheetViews>
    <sheetView topLeftCell="A739" workbookViewId="0">
      <selection activeCell="E12" sqref="E12"/>
    </sheetView>
  </sheetViews>
  <sheetFormatPr defaultRowHeight="14.4" x14ac:dyDescent="0.3"/>
  <sheetData>
    <row r="1" spans="1:5" x14ac:dyDescent="0.3">
      <c r="A1" t="s">
        <v>2535</v>
      </c>
    </row>
    <row r="2" spans="1:5" x14ac:dyDescent="0.3">
      <c r="A2">
        <v>4.4838455995696203</v>
      </c>
      <c r="B2">
        <v>0</v>
      </c>
      <c r="D2">
        <f>COUNTIF(A:A, "&gt;=7")</f>
        <v>134</v>
      </c>
      <c r="E2">
        <f>COUNTIF(B:B, "1")</f>
        <v>134</v>
      </c>
    </row>
    <row r="3" spans="1:5" x14ac:dyDescent="0.3">
      <c r="A3">
        <v>2.7163706681963866</v>
      </c>
      <c r="B3">
        <v>0</v>
      </c>
      <c r="D3">
        <f>COUNTIF(A:A, "&lt;7")</f>
        <v>628</v>
      </c>
      <c r="E3">
        <f>COUNTIF(B:B, "0")</f>
        <v>628</v>
      </c>
    </row>
    <row r="4" spans="1:5" x14ac:dyDescent="0.3">
      <c r="A4">
        <v>5.664466467579639</v>
      </c>
      <c r="B4">
        <v>0</v>
      </c>
    </row>
    <row r="5" spans="1:5" x14ac:dyDescent="0.3">
      <c r="A5">
        <v>6.3576757168594851</v>
      </c>
      <c r="B5">
        <v>0</v>
      </c>
    </row>
    <row r="6" spans="1:5" x14ac:dyDescent="0.3">
      <c r="A6">
        <v>4.821274319320505</v>
      </c>
      <c r="B6">
        <v>0</v>
      </c>
    </row>
    <row r="7" spans="1:5" x14ac:dyDescent="0.3">
      <c r="A7">
        <v>5.1376072705046303</v>
      </c>
      <c r="B7">
        <v>0</v>
      </c>
    </row>
    <row r="8" spans="1:5" x14ac:dyDescent="0.3">
      <c r="A8">
        <v>4.8032077485454909</v>
      </c>
      <c r="B8">
        <v>0</v>
      </c>
    </row>
    <row r="9" spans="1:5" x14ac:dyDescent="0.3">
      <c r="A9">
        <v>2.6593456357461767</v>
      </c>
      <c r="B9">
        <v>0</v>
      </c>
    </row>
    <row r="10" spans="1:5" x14ac:dyDescent="0.3">
      <c r="A10">
        <v>3.4819010473145249</v>
      </c>
      <c r="B10">
        <v>0</v>
      </c>
    </row>
    <row r="11" spans="1:5" x14ac:dyDescent="0.3">
      <c r="A11">
        <v>7.5528419686577806</v>
      </c>
      <c r="B11">
        <v>1</v>
      </c>
    </row>
    <row r="12" spans="1:5" x14ac:dyDescent="0.3">
      <c r="A12">
        <v>4.544527372242805</v>
      </c>
      <c r="B12">
        <v>0</v>
      </c>
    </row>
    <row r="13" spans="1:5" x14ac:dyDescent="0.3">
      <c r="A13">
        <v>4.6812876338802942</v>
      </c>
      <c r="B13">
        <v>0</v>
      </c>
    </row>
    <row r="14" spans="1:5" x14ac:dyDescent="0.3">
      <c r="A14">
        <v>5.0409586076789052</v>
      </c>
      <c r="B14">
        <v>0</v>
      </c>
    </row>
    <row r="15" spans="1:5" x14ac:dyDescent="0.3">
      <c r="A15">
        <v>6.3665315444204129</v>
      </c>
      <c r="B15">
        <v>0</v>
      </c>
    </row>
    <row r="16" spans="1:5" x14ac:dyDescent="0.3">
      <c r="A16">
        <v>7.3979400086720375</v>
      </c>
      <c r="B16">
        <v>1</v>
      </c>
    </row>
    <row r="17" spans="1:2" x14ac:dyDescent="0.3">
      <c r="A17">
        <v>6.2596373105057559</v>
      </c>
      <c r="B17">
        <v>0</v>
      </c>
    </row>
    <row r="18" spans="1:2" x14ac:dyDescent="0.3">
      <c r="A18">
        <v>4.8538719643217609</v>
      </c>
      <c r="B18">
        <v>0</v>
      </c>
    </row>
    <row r="19" spans="1:2" x14ac:dyDescent="0.3">
      <c r="A19">
        <v>6.6102493963799311</v>
      </c>
      <c r="B19">
        <v>0</v>
      </c>
    </row>
    <row r="20" spans="1:2" x14ac:dyDescent="0.3">
      <c r="A20">
        <v>6.195800057542197</v>
      </c>
      <c r="B20">
        <v>0</v>
      </c>
    </row>
    <row r="21" spans="1:2" x14ac:dyDescent="0.3">
      <c r="A21">
        <v>5.0106123505672029</v>
      </c>
      <c r="B21">
        <v>0</v>
      </c>
    </row>
    <row r="22" spans="1:2" x14ac:dyDescent="0.3">
      <c r="A22">
        <v>6.6478756734504643</v>
      </c>
      <c r="B22">
        <v>0</v>
      </c>
    </row>
    <row r="23" spans="1:2" x14ac:dyDescent="0.3">
      <c r="A23">
        <v>4.068357147286501</v>
      </c>
      <c r="B23">
        <v>0</v>
      </c>
    </row>
    <row r="24" spans="1:2" x14ac:dyDescent="0.3">
      <c r="A24">
        <v>3.8198399445152065</v>
      </c>
      <c r="B24">
        <v>0</v>
      </c>
    </row>
    <row r="25" spans="1:2" x14ac:dyDescent="0.3">
      <c r="A25">
        <v>6.2676644317388579</v>
      </c>
      <c r="B25">
        <v>0</v>
      </c>
    </row>
    <row r="26" spans="1:2" x14ac:dyDescent="0.3">
      <c r="A26">
        <v>4.3010299956639804</v>
      </c>
      <c r="B26">
        <v>0</v>
      </c>
    </row>
    <row r="27" spans="1:2" x14ac:dyDescent="0.3">
      <c r="A27">
        <v>5.1107700277118049</v>
      </c>
      <c r="B27">
        <v>0</v>
      </c>
    </row>
    <row r="28" spans="1:2" x14ac:dyDescent="0.3">
      <c r="A28">
        <v>5.5850266520291809</v>
      </c>
      <c r="B28">
        <v>0</v>
      </c>
    </row>
    <row r="29" spans="1:2" x14ac:dyDescent="0.3">
      <c r="A29">
        <v>7.1611509092627434</v>
      </c>
      <c r="B29">
        <v>1</v>
      </c>
    </row>
    <row r="30" spans="1:2" x14ac:dyDescent="0.3">
      <c r="A30">
        <v>6.3010299956639804</v>
      </c>
      <c r="B30">
        <v>0</v>
      </c>
    </row>
    <row r="31" spans="1:2" x14ac:dyDescent="0.3">
      <c r="A31">
        <v>3.5686362358410122</v>
      </c>
      <c r="B31">
        <v>0</v>
      </c>
    </row>
    <row r="32" spans="1:2" x14ac:dyDescent="0.3">
      <c r="A32">
        <v>6.3979400086720375</v>
      </c>
      <c r="B32">
        <v>0</v>
      </c>
    </row>
    <row r="33" spans="1:2" x14ac:dyDescent="0.3">
      <c r="A33">
        <v>6.2291479883578553</v>
      </c>
      <c r="B33">
        <v>0</v>
      </c>
    </row>
    <row r="34" spans="1:2" x14ac:dyDescent="0.3">
      <c r="A34">
        <v>5.1166188114945728</v>
      </c>
      <c r="B34">
        <v>0</v>
      </c>
    </row>
    <row r="35" spans="1:2" x14ac:dyDescent="0.3">
      <c r="A35">
        <v>4.4144525602925917</v>
      </c>
      <c r="B35">
        <v>0</v>
      </c>
    </row>
    <row r="36" spans="1:2" x14ac:dyDescent="0.3">
      <c r="A36">
        <v>4.3796628573595937</v>
      </c>
      <c r="B36">
        <v>0</v>
      </c>
    </row>
    <row r="37" spans="1:2" x14ac:dyDescent="0.3">
      <c r="A37">
        <v>3.0257300024274167</v>
      </c>
      <c r="B37">
        <v>0</v>
      </c>
    </row>
    <row r="38" spans="1:2" x14ac:dyDescent="0.3">
      <c r="A38">
        <v>4.1059697827124637</v>
      </c>
      <c r="B38">
        <v>0</v>
      </c>
    </row>
    <row r="39" spans="1:2" x14ac:dyDescent="0.3">
      <c r="A39">
        <v>4.2924298239020633</v>
      </c>
      <c r="B39">
        <v>0</v>
      </c>
    </row>
    <row r="40" spans="1:2" x14ac:dyDescent="0.3">
      <c r="A40">
        <v>5.5086383061657269</v>
      </c>
      <c r="B40">
        <v>0</v>
      </c>
    </row>
    <row r="41" spans="1:2" x14ac:dyDescent="0.3">
      <c r="A41">
        <v>5.2365720064370622</v>
      </c>
      <c r="B41">
        <v>0</v>
      </c>
    </row>
    <row r="42" spans="1:2" x14ac:dyDescent="0.3">
      <c r="A42">
        <v>8.1965428843515866</v>
      </c>
      <c r="B42">
        <v>1</v>
      </c>
    </row>
    <row r="43" spans="1:2" x14ac:dyDescent="0.3">
      <c r="A43">
        <v>8.4341521813264819</v>
      </c>
      <c r="B43">
        <v>1</v>
      </c>
    </row>
    <row r="44" spans="1:2" x14ac:dyDescent="0.3">
      <c r="A44">
        <v>8.6055483191737832</v>
      </c>
      <c r="B44">
        <v>1</v>
      </c>
    </row>
    <row r="45" spans="1:2" x14ac:dyDescent="0.3">
      <c r="A45">
        <v>8.795880017344075</v>
      </c>
      <c r="B45">
        <v>1</v>
      </c>
    </row>
    <row r="46" spans="1:2" x14ac:dyDescent="0.3">
      <c r="A46">
        <v>7.8368386250229811</v>
      </c>
      <c r="B46">
        <v>1</v>
      </c>
    </row>
    <row r="47" spans="1:2" x14ac:dyDescent="0.3">
      <c r="A47">
        <v>6.5434057575549005</v>
      </c>
      <c r="B47">
        <v>0</v>
      </c>
    </row>
    <row r="48" spans="1:2" x14ac:dyDescent="0.3">
      <c r="A48">
        <v>8</v>
      </c>
      <c r="B48">
        <v>1</v>
      </c>
    </row>
    <row r="49" spans="1:2" x14ac:dyDescent="0.3">
      <c r="A49">
        <v>3.4598597061048251</v>
      </c>
      <c r="B49">
        <v>0</v>
      </c>
    </row>
    <row r="50" spans="1:2" x14ac:dyDescent="0.3">
      <c r="A50">
        <v>4.0760211417835448</v>
      </c>
      <c r="B50">
        <v>0</v>
      </c>
    </row>
    <row r="51" spans="1:2" x14ac:dyDescent="0.3">
      <c r="A51">
        <v>2.7547610251682744</v>
      </c>
      <c r="B51">
        <v>0</v>
      </c>
    </row>
    <row r="52" spans="1:2" x14ac:dyDescent="0.3">
      <c r="A52">
        <v>5.7139580342609566</v>
      </c>
      <c r="B52">
        <v>0</v>
      </c>
    </row>
    <row r="53" spans="1:2" x14ac:dyDescent="0.3">
      <c r="A53">
        <v>7.6989700043360179</v>
      </c>
      <c r="B53">
        <v>1</v>
      </c>
    </row>
    <row r="54" spans="1:2" x14ac:dyDescent="0.3">
      <c r="A54">
        <v>6.0655015487564317</v>
      </c>
      <c r="B54">
        <v>0</v>
      </c>
    </row>
    <row r="55" spans="1:2" x14ac:dyDescent="0.3">
      <c r="A55">
        <v>6.6989700043360187</v>
      </c>
      <c r="B55">
        <v>0</v>
      </c>
    </row>
    <row r="56" spans="1:2" x14ac:dyDescent="0.3">
      <c r="A56">
        <v>5.6197887582883927</v>
      </c>
      <c r="B56">
        <v>0</v>
      </c>
    </row>
    <row r="57" spans="1:2" x14ac:dyDescent="0.3">
      <c r="A57">
        <v>6.0969100130080562</v>
      </c>
      <c r="B57">
        <v>0</v>
      </c>
    </row>
    <row r="58" spans="1:2" x14ac:dyDescent="0.3">
      <c r="A58">
        <v>4.0784313775704835</v>
      </c>
      <c r="B58">
        <v>0</v>
      </c>
    </row>
    <row r="59" spans="1:2" x14ac:dyDescent="0.3">
      <c r="A59">
        <v>2.8591756588027231</v>
      </c>
      <c r="B59">
        <v>0</v>
      </c>
    </row>
    <row r="60" spans="1:2" x14ac:dyDescent="0.3">
      <c r="A60">
        <v>5.1296361927269718</v>
      </c>
      <c r="B60">
        <v>0</v>
      </c>
    </row>
    <row r="61" spans="1:2" x14ac:dyDescent="0.3">
      <c r="A61">
        <v>4.904542442000257</v>
      </c>
      <c r="B61">
        <v>0</v>
      </c>
    </row>
    <row r="62" spans="1:2" x14ac:dyDescent="0.3">
      <c r="A62">
        <v>5.0369979686374799</v>
      </c>
      <c r="B62">
        <v>0</v>
      </c>
    </row>
    <row r="63" spans="1:2" x14ac:dyDescent="0.3">
      <c r="A63">
        <v>4.8511359950115738</v>
      </c>
      <c r="B63">
        <v>0</v>
      </c>
    </row>
    <row r="64" spans="1:2" x14ac:dyDescent="0.3">
      <c r="A64">
        <v>4.4127859363574373</v>
      </c>
      <c r="B64">
        <v>0</v>
      </c>
    </row>
    <row r="65" spans="1:2" x14ac:dyDescent="0.3">
      <c r="A65">
        <v>4.7287144168618829</v>
      </c>
      <c r="B65">
        <v>0</v>
      </c>
    </row>
    <row r="66" spans="1:2" x14ac:dyDescent="0.3">
      <c r="A66">
        <v>2.6780446760720822</v>
      </c>
      <c r="B66">
        <v>0</v>
      </c>
    </row>
    <row r="67" spans="1:2" x14ac:dyDescent="0.3">
      <c r="A67">
        <v>5.5086383061657269</v>
      </c>
      <c r="B67">
        <v>0</v>
      </c>
    </row>
    <row r="68" spans="1:2" x14ac:dyDescent="0.3">
      <c r="A68">
        <v>4.7369539537831455</v>
      </c>
      <c r="B68">
        <v>0</v>
      </c>
    </row>
    <row r="69" spans="1:2" x14ac:dyDescent="0.3">
      <c r="A69">
        <v>4.4068913060494159</v>
      </c>
      <c r="B69">
        <v>0</v>
      </c>
    </row>
    <row r="70" spans="1:2" x14ac:dyDescent="0.3">
      <c r="A70">
        <v>5.0494832531420863</v>
      </c>
      <c r="B70">
        <v>0</v>
      </c>
    </row>
    <row r="71" spans="1:2" x14ac:dyDescent="0.3">
      <c r="A71">
        <v>5</v>
      </c>
      <c r="B71">
        <v>0</v>
      </c>
    </row>
    <row r="72" spans="1:2" x14ac:dyDescent="0.3">
      <c r="A72">
        <v>4.6989700043360187</v>
      </c>
      <c r="B72">
        <v>0</v>
      </c>
    </row>
    <row r="73" spans="1:2" x14ac:dyDescent="0.3">
      <c r="A73">
        <v>6.6989700043360187</v>
      </c>
      <c r="B73">
        <v>0</v>
      </c>
    </row>
    <row r="74" spans="1:2" x14ac:dyDescent="0.3">
      <c r="A74">
        <v>5.769551078621725</v>
      </c>
      <c r="B74">
        <v>0</v>
      </c>
    </row>
    <row r="75" spans="1:2" x14ac:dyDescent="0.3">
      <c r="A75">
        <v>4.7695510786217259</v>
      </c>
      <c r="B75">
        <v>0</v>
      </c>
    </row>
    <row r="76" spans="1:2" x14ac:dyDescent="0.3">
      <c r="A76">
        <v>4.2518119729937984</v>
      </c>
      <c r="B76">
        <v>0</v>
      </c>
    </row>
    <row r="77" spans="1:2" x14ac:dyDescent="0.3">
      <c r="A77">
        <v>5.8538719643217618</v>
      </c>
      <c r="B77">
        <v>0</v>
      </c>
    </row>
    <row r="78" spans="1:2" x14ac:dyDescent="0.3">
      <c r="A78">
        <v>6.0969100130080562</v>
      </c>
      <c r="B78">
        <v>0</v>
      </c>
    </row>
    <row r="79" spans="1:2" x14ac:dyDescent="0.3">
      <c r="A79">
        <v>5.5528419686577806</v>
      </c>
      <c r="B79">
        <v>0</v>
      </c>
    </row>
    <row r="80" spans="1:2" x14ac:dyDescent="0.3">
      <c r="A80">
        <v>6.3872161432802645</v>
      </c>
      <c r="B80">
        <v>0</v>
      </c>
    </row>
    <row r="81" spans="1:2" x14ac:dyDescent="0.3">
      <c r="A81">
        <v>7</v>
      </c>
      <c r="B81">
        <v>1</v>
      </c>
    </row>
    <row r="82" spans="1:2" x14ac:dyDescent="0.3">
      <c r="A82">
        <v>2.9999999999999996</v>
      </c>
      <c r="B82">
        <v>0</v>
      </c>
    </row>
    <row r="83" spans="1:2" x14ac:dyDescent="0.3">
      <c r="A83">
        <v>5.1159930547579826</v>
      </c>
      <c r="B83">
        <v>0</v>
      </c>
    </row>
    <row r="84" spans="1:2" x14ac:dyDescent="0.3">
      <c r="A84">
        <v>7</v>
      </c>
      <c r="B84">
        <v>1</v>
      </c>
    </row>
    <row r="85" spans="1:2" x14ac:dyDescent="0.3">
      <c r="A85">
        <v>5.9999999999999991</v>
      </c>
      <c r="B85">
        <v>0</v>
      </c>
    </row>
    <row r="86" spans="1:2" x14ac:dyDescent="0.3">
      <c r="A86">
        <v>6.0457574905606748</v>
      </c>
      <c r="B86">
        <v>0</v>
      </c>
    </row>
    <row r="87" spans="1:2" x14ac:dyDescent="0.3">
      <c r="A87">
        <v>5.3770511374475261</v>
      </c>
      <c r="B87">
        <v>0</v>
      </c>
    </row>
    <row r="88" spans="1:2" x14ac:dyDescent="0.3">
      <c r="A88">
        <v>3.601802936285297</v>
      </c>
      <c r="B88">
        <v>0</v>
      </c>
    </row>
    <row r="89" spans="1:2" x14ac:dyDescent="0.3">
      <c r="A89">
        <v>5.0760211417835448</v>
      </c>
      <c r="B89">
        <v>0</v>
      </c>
    </row>
    <row r="90" spans="1:2" x14ac:dyDescent="0.3">
      <c r="A90">
        <v>5.3098039199714862</v>
      </c>
      <c r="B90">
        <v>0</v>
      </c>
    </row>
    <row r="91" spans="1:2" x14ac:dyDescent="0.3">
      <c r="A91">
        <v>5.5287082889410613</v>
      </c>
      <c r="B91">
        <v>0</v>
      </c>
    </row>
    <row r="92" spans="1:2" x14ac:dyDescent="0.3">
      <c r="A92">
        <v>4.2738023073020264</v>
      </c>
      <c r="B92">
        <v>0</v>
      </c>
    </row>
    <row r="93" spans="1:2" x14ac:dyDescent="0.3">
      <c r="A93">
        <v>7.0043648054024485</v>
      </c>
      <c r="B93">
        <v>1</v>
      </c>
    </row>
    <row r="94" spans="1:2" x14ac:dyDescent="0.3">
      <c r="A94">
        <v>6.6989700043360187</v>
      </c>
      <c r="B94">
        <v>0</v>
      </c>
    </row>
    <row r="95" spans="1:2" x14ac:dyDescent="0.3">
      <c r="A95">
        <v>5.1135092748275177</v>
      </c>
      <c r="B95">
        <v>0</v>
      </c>
    </row>
    <row r="96" spans="1:2" x14ac:dyDescent="0.3">
      <c r="A96">
        <v>7.4089353929734996</v>
      </c>
      <c r="B96">
        <v>1</v>
      </c>
    </row>
    <row r="97" spans="1:2" x14ac:dyDescent="0.3">
      <c r="A97">
        <v>7.0087739243075049</v>
      </c>
      <c r="B97">
        <v>1</v>
      </c>
    </row>
    <row r="98" spans="1:2" x14ac:dyDescent="0.3">
      <c r="A98">
        <v>3.8050652408509431</v>
      </c>
      <c r="B98">
        <v>0</v>
      </c>
    </row>
    <row r="99" spans="1:2" x14ac:dyDescent="0.3">
      <c r="A99">
        <v>6.4685210829577446</v>
      </c>
      <c r="B99">
        <v>0</v>
      </c>
    </row>
    <row r="100" spans="1:2" x14ac:dyDescent="0.3">
      <c r="A100">
        <v>5.2388241868442682</v>
      </c>
      <c r="B100">
        <v>0</v>
      </c>
    </row>
    <row r="101" spans="1:2" x14ac:dyDescent="0.3">
      <c r="A101">
        <v>5.481486060122112</v>
      </c>
      <c r="B101">
        <v>0</v>
      </c>
    </row>
    <row r="102" spans="1:2" x14ac:dyDescent="0.3">
      <c r="A102">
        <v>4.0809219076239254</v>
      </c>
      <c r="B102">
        <v>0</v>
      </c>
    </row>
    <row r="103" spans="1:2" x14ac:dyDescent="0.3">
      <c r="A103">
        <v>5.9586073148417746</v>
      </c>
      <c r="B103">
        <v>0</v>
      </c>
    </row>
    <row r="104" spans="1:2" x14ac:dyDescent="0.3">
      <c r="A104">
        <v>6.2218487496163553</v>
      </c>
      <c r="B104">
        <v>0</v>
      </c>
    </row>
    <row r="105" spans="1:2" x14ac:dyDescent="0.3">
      <c r="A105">
        <v>5.769551078621725</v>
      </c>
      <c r="B105">
        <v>0</v>
      </c>
    </row>
    <row r="106" spans="1:2" x14ac:dyDescent="0.3">
      <c r="A106">
        <v>5.6197887582883927</v>
      </c>
      <c r="B106">
        <v>0</v>
      </c>
    </row>
    <row r="107" spans="1:2" x14ac:dyDescent="0.3">
      <c r="A107">
        <v>5.2204035087421747</v>
      </c>
      <c r="B107">
        <v>0</v>
      </c>
    </row>
    <row r="108" spans="1:2" x14ac:dyDescent="0.3">
      <c r="A108">
        <v>6.7958800173440741</v>
      </c>
      <c r="B108">
        <v>0</v>
      </c>
    </row>
    <row r="109" spans="1:2" x14ac:dyDescent="0.3">
      <c r="A109">
        <v>7.6989700043360179</v>
      </c>
      <c r="B109">
        <v>1</v>
      </c>
    </row>
    <row r="110" spans="1:2" x14ac:dyDescent="0.3">
      <c r="A110">
        <v>3.8463951069862583</v>
      </c>
      <c r="B110">
        <v>0</v>
      </c>
    </row>
    <row r="111" spans="1:2" x14ac:dyDescent="0.3">
      <c r="A111">
        <v>4.0763217956424915</v>
      </c>
      <c r="B111">
        <v>0</v>
      </c>
    </row>
    <row r="112" spans="1:2" x14ac:dyDescent="0.3">
      <c r="A112">
        <v>5.920818753952374</v>
      </c>
      <c r="B112">
        <v>0</v>
      </c>
    </row>
    <row r="113" spans="1:2" x14ac:dyDescent="0.3">
      <c r="A113">
        <v>5.8239087409443187</v>
      </c>
      <c r="B113">
        <v>0</v>
      </c>
    </row>
    <row r="114" spans="1:2" x14ac:dyDescent="0.3">
      <c r="A114">
        <v>2.9999999999999996</v>
      </c>
      <c r="B114">
        <v>0</v>
      </c>
    </row>
    <row r="115" spans="1:2" x14ac:dyDescent="0.3">
      <c r="A115">
        <v>6.0457574905606748</v>
      </c>
      <c r="B115">
        <v>0</v>
      </c>
    </row>
    <row r="116" spans="1:2" x14ac:dyDescent="0.3">
      <c r="A116">
        <v>6.6989700043360187</v>
      </c>
      <c r="B116">
        <v>0</v>
      </c>
    </row>
    <row r="117" spans="1:2" x14ac:dyDescent="0.3">
      <c r="A117">
        <v>5.0809219076239254</v>
      </c>
      <c r="B117">
        <v>0</v>
      </c>
    </row>
    <row r="118" spans="1:2" x14ac:dyDescent="0.3">
      <c r="A118">
        <v>5.1465454258899932</v>
      </c>
      <c r="B118">
        <v>0</v>
      </c>
    </row>
    <row r="119" spans="1:2" x14ac:dyDescent="0.3">
      <c r="A119">
        <v>5.1344533695812737</v>
      </c>
      <c r="B119">
        <v>0</v>
      </c>
    </row>
    <row r="120" spans="1:2" x14ac:dyDescent="0.3">
      <c r="A120">
        <v>5.6817114684018071</v>
      </c>
      <c r="B120">
        <v>0</v>
      </c>
    </row>
    <row r="121" spans="1:2" x14ac:dyDescent="0.3">
      <c r="A121">
        <v>4.7248607780823368</v>
      </c>
      <c r="B121">
        <v>0</v>
      </c>
    </row>
    <row r="122" spans="1:2" x14ac:dyDescent="0.3">
      <c r="A122">
        <v>6.0969100130080562</v>
      </c>
      <c r="B122">
        <v>0</v>
      </c>
    </row>
    <row r="123" spans="1:2" x14ac:dyDescent="0.3">
      <c r="A123">
        <v>9.5086383061657251</v>
      </c>
      <c r="B123">
        <v>1</v>
      </c>
    </row>
    <row r="124" spans="1:2" x14ac:dyDescent="0.3">
      <c r="A124">
        <v>6.5228787452803365</v>
      </c>
      <c r="B124">
        <v>0</v>
      </c>
    </row>
    <row r="125" spans="1:2" x14ac:dyDescent="0.3">
      <c r="A125">
        <v>5.1611509092627443</v>
      </c>
      <c r="B125">
        <v>0</v>
      </c>
    </row>
    <row r="126" spans="1:2" x14ac:dyDescent="0.3">
      <c r="A126">
        <v>6.5228787452803365</v>
      </c>
      <c r="B126">
        <v>0</v>
      </c>
    </row>
    <row r="127" spans="1:2" x14ac:dyDescent="0.3">
      <c r="A127">
        <v>4.5228787452803374</v>
      </c>
      <c r="B127">
        <v>0</v>
      </c>
    </row>
    <row r="128" spans="1:2" x14ac:dyDescent="0.3">
      <c r="A128">
        <v>4.7212463990471703</v>
      </c>
      <c r="B128">
        <v>0</v>
      </c>
    </row>
    <row r="129" spans="1:2" x14ac:dyDescent="0.3">
      <c r="A129">
        <v>4.3010299956639804</v>
      </c>
      <c r="B129">
        <v>0</v>
      </c>
    </row>
    <row r="130" spans="1:2" x14ac:dyDescent="0.3">
      <c r="A130">
        <v>5.5228787452803374</v>
      </c>
      <c r="B130">
        <v>0</v>
      </c>
    </row>
    <row r="131" spans="1:2" x14ac:dyDescent="0.3">
      <c r="A131">
        <v>5.4559319556497234</v>
      </c>
      <c r="B131">
        <v>0</v>
      </c>
    </row>
    <row r="132" spans="1:2" x14ac:dyDescent="0.3">
      <c r="A132">
        <v>2.9999999999999996</v>
      </c>
      <c r="B132">
        <v>0</v>
      </c>
    </row>
    <row r="133" spans="1:2" x14ac:dyDescent="0.3">
      <c r="A133">
        <v>5.4329736338409393</v>
      </c>
      <c r="B133">
        <v>0</v>
      </c>
    </row>
    <row r="134" spans="1:2" x14ac:dyDescent="0.3">
      <c r="A134">
        <v>5.546681659952962</v>
      </c>
      <c r="B134">
        <v>0</v>
      </c>
    </row>
    <row r="135" spans="1:2" x14ac:dyDescent="0.3">
      <c r="A135">
        <v>5.1938200260161125</v>
      </c>
      <c r="B135">
        <v>0</v>
      </c>
    </row>
    <row r="136" spans="1:2" x14ac:dyDescent="0.3">
      <c r="A136">
        <v>5.8860566476931622</v>
      </c>
      <c r="B136">
        <v>0</v>
      </c>
    </row>
    <row r="137" spans="1:2" x14ac:dyDescent="0.3">
      <c r="A137">
        <v>5.2471835688117281</v>
      </c>
      <c r="B137">
        <v>0</v>
      </c>
    </row>
    <row r="138" spans="1:2" x14ac:dyDescent="0.3">
      <c r="A138">
        <v>5.6777807052660796</v>
      </c>
      <c r="B138">
        <v>0</v>
      </c>
    </row>
    <row r="139" spans="1:2" x14ac:dyDescent="0.3">
      <c r="A139">
        <v>5.5228787452803374</v>
      </c>
      <c r="B139">
        <v>0</v>
      </c>
    </row>
    <row r="140" spans="1:2" x14ac:dyDescent="0.3">
      <c r="A140">
        <v>5.1568392907103382</v>
      </c>
      <c r="B140">
        <v>0</v>
      </c>
    </row>
    <row r="141" spans="1:2" x14ac:dyDescent="0.3">
      <c r="A141">
        <v>6.5376020021010435</v>
      </c>
      <c r="B141">
        <v>0</v>
      </c>
    </row>
    <row r="142" spans="1:2" x14ac:dyDescent="0.3">
      <c r="A142">
        <v>2.6593456357461767</v>
      </c>
      <c r="B142">
        <v>0</v>
      </c>
    </row>
    <row r="143" spans="1:2" x14ac:dyDescent="0.3">
      <c r="A143">
        <v>7.4436974992327123</v>
      </c>
      <c r="B143">
        <v>1</v>
      </c>
    </row>
    <row r="144" spans="1:2" x14ac:dyDescent="0.3">
      <c r="A144">
        <v>6.8239087409443178</v>
      </c>
      <c r="B144">
        <v>0</v>
      </c>
    </row>
    <row r="145" spans="1:2" x14ac:dyDescent="0.3">
      <c r="A145">
        <v>5.9030899869919429</v>
      </c>
      <c r="B145">
        <v>0</v>
      </c>
    </row>
    <row r="146" spans="1:2" x14ac:dyDescent="0.3">
      <c r="A146">
        <v>4.8569851997459041</v>
      </c>
      <c r="B146">
        <v>0</v>
      </c>
    </row>
    <row r="147" spans="1:2" x14ac:dyDescent="0.3">
      <c r="A147">
        <v>3.6989700043360187</v>
      </c>
      <c r="B147">
        <v>0</v>
      </c>
    </row>
    <row r="148" spans="1:2" x14ac:dyDescent="0.3">
      <c r="A148">
        <v>7.3187587626244124</v>
      </c>
      <c r="B148">
        <v>1</v>
      </c>
    </row>
    <row r="149" spans="1:2" x14ac:dyDescent="0.3">
      <c r="A149">
        <v>7.0087739243075049</v>
      </c>
      <c r="B149">
        <v>1</v>
      </c>
    </row>
    <row r="150" spans="1:2" x14ac:dyDescent="0.3">
      <c r="A150">
        <v>5.1079053973095192</v>
      </c>
      <c r="B150">
        <v>0</v>
      </c>
    </row>
    <row r="151" spans="1:2" x14ac:dyDescent="0.3">
      <c r="A151">
        <v>8</v>
      </c>
      <c r="B151">
        <v>1</v>
      </c>
    </row>
    <row r="152" spans="1:2" x14ac:dyDescent="0.3">
      <c r="A152">
        <v>5.769551078621725</v>
      </c>
      <c r="B152">
        <v>0</v>
      </c>
    </row>
    <row r="153" spans="1:2" x14ac:dyDescent="0.3">
      <c r="A153">
        <v>4.5228787452803374</v>
      </c>
      <c r="B153">
        <v>0</v>
      </c>
    </row>
    <row r="154" spans="1:2" x14ac:dyDescent="0.3">
      <c r="A154">
        <v>5.481486060122112</v>
      </c>
      <c r="B154">
        <v>0</v>
      </c>
    </row>
    <row r="155" spans="1:2" x14ac:dyDescent="0.3">
      <c r="A155">
        <v>5.924453038607469</v>
      </c>
      <c r="B155">
        <v>0</v>
      </c>
    </row>
    <row r="156" spans="1:2" x14ac:dyDescent="0.3">
      <c r="A156">
        <v>5.6197887582883927</v>
      </c>
      <c r="B156">
        <v>0</v>
      </c>
    </row>
    <row r="157" spans="1:2" x14ac:dyDescent="0.3">
      <c r="A157">
        <v>6.6989700043360187</v>
      </c>
      <c r="B157">
        <v>0</v>
      </c>
    </row>
    <row r="158" spans="1:2" x14ac:dyDescent="0.3">
      <c r="A158">
        <v>7.0861861476162824</v>
      </c>
      <c r="B158">
        <v>1</v>
      </c>
    </row>
    <row r="159" spans="1:2" x14ac:dyDescent="0.3">
      <c r="A159">
        <v>9.3665315444204111</v>
      </c>
      <c r="B159">
        <v>1</v>
      </c>
    </row>
    <row r="160" spans="1:2" x14ac:dyDescent="0.3">
      <c r="A160">
        <v>6.0222763947111515</v>
      </c>
      <c r="B160">
        <v>0</v>
      </c>
    </row>
    <row r="161" spans="1:2" x14ac:dyDescent="0.3">
      <c r="A161">
        <v>3.2757241303992104</v>
      </c>
      <c r="B161">
        <v>0</v>
      </c>
    </row>
    <row r="162" spans="1:2" x14ac:dyDescent="0.3">
      <c r="A162">
        <v>5</v>
      </c>
      <c r="B162">
        <v>0</v>
      </c>
    </row>
    <row r="163" spans="1:2" x14ac:dyDescent="0.3">
      <c r="A163">
        <v>6.9208187539523749</v>
      </c>
      <c r="B163">
        <v>0</v>
      </c>
    </row>
    <row r="164" spans="1:2" x14ac:dyDescent="0.3">
      <c r="A164">
        <v>4.3010299956639804</v>
      </c>
      <c r="B164">
        <v>0</v>
      </c>
    </row>
    <row r="165" spans="1:2" x14ac:dyDescent="0.3">
      <c r="A165">
        <v>4.3872161432802645</v>
      </c>
      <c r="B165">
        <v>0</v>
      </c>
    </row>
    <row r="166" spans="1:2" x14ac:dyDescent="0.3">
      <c r="A166">
        <v>7.0177287669604302</v>
      </c>
      <c r="B166">
        <v>1</v>
      </c>
    </row>
    <row r="167" spans="1:2" x14ac:dyDescent="0.3">
      <c r="A167">
        <v>7.2365720064370622</v>
      </c>
      <c r="B167">
        <v>1</v>
      </c>
    </row>
    <row r="168" spans="1:2" x14ac:dyDescent="0.3">
      <c r="A168">
        <v>4.9208187539523749</v>
      </c>
      <c r="B168">
        <v>0</v>
      </c>
    </row>
    <row r="169" spans="1:2" x14ac:dyDescent="0.3">
      <c r="A169">
        <v>5.769551078621725</v>
      </c>
      <c r="B169">
        <v>0</v>
      </c>
    </row>
    <row r="170" spans="1:2" x14ac:dyDescent="0.3">
      <c r="A170">
        <v>6.3979400086720375</v>
      </c>
      <c r="B170">
        <v>0</v>
      </c>
    </row>
    <row r="171" spans="1:2" x14ac:dyDescent="0.3">
      <c r="A171">
        <v>5.7500804113371</v>
      </c>
      <c r="B171">
        <v>0</v>
      </c>
    </row>
    <row r="172" spans="1:2" x14ac:dyDescent="0.3">
      <c r="A172">
        <v>3.0222763947111519</v>
      </c>
      <c r="B172">
        <v>0</v>
      </c>
    </row>
    <row r="173" spans="1:2" x14ac:dyDescent="0.3">
      <c r="A173">
        <v>6.3979400086720375</v>
      </c>
      <c r="B173">
        <v>0</v>
      </c>
    </row>
    <row r="174" spans="1:2" x14ac:dyDescent="0.3">
      <c r="A174">
        <v>3.7213158806058986</v>
      </c>
      <c r="B174">
        <v>0</v>
      </c>
    </row>
    <row r="175" spans="1:2" x14ac:dyDescent="0.3">
      <c r="A175">
        <v>4.4081657387206921</v>
      </c>
      <c r="B175">
        <v>0</v>
      </c>
    </row>
    <row r="176" spans="1:2" x14ac:dyDescent="0.3">
      <c r="A176">
        <v>5.6777807052660796</v>
      </c>
      <c r="B176">
        <v>0</v>
      </c>
    </row>
    <row r="177" spans="1:2" x14ac:dyDescent="0.3">
      <c r="A177">
        <v>5.6989700043360179</v>
      </c>
      <c r="B177">
        <v>0</v>
      </c>
    </row>
    <row r="178" spans="1:2" x14ac:dyDescent="0.3">
      <c r="A178">
        <v>4.5086383061657269</v>
      </c>
      <c r="B178">
        <v>0</v>
      </c>
    </row>
    <row r="179" spans="1:2" x14ac:dyDescent="0.3">
      <c r="A179">
        <v>5.9999999999999991</v>
      </c>
      <c r="B179">
        <v>0</v>
      </c>
    </row>
    <row r="180" spans="1:2" x14ac:dyDescent="0.3">
      <c r="A180">
        <v>5.2076083105017457</v>
      </c>
      <c r="B180">
        <v>0</v>
      </c>
    </row>
    <row r="181" spans="1:2" x14ac:dyDescent="0.3">
      <c r="A181">
        <v>6.7958800173440741</v>
      </c>
      <c r="B181">
        <v>0</v>
      </c>
    </row>
    <row r="182" spans="1:2" x14ac:dyDescent="0.3">
      <c r="A182">
        <v>8.0043648054024494</v>
      </c>
      <c r="B182">
        <v>1</v>
      </c>
    </row>
    <row r="183" spans="1:2" x14ac:dyDescent="0.3">
      <c r="A183">
        <v>6.5528419686577797</v>
      </c>
      <c r="B183">
        <v>0</v>
      </c>
    </row>
    <row r="184" spans="1:2" x14ac:dyDescent="0.3">
      <c r="A184">
        <v>5.5555780727729545</v>
      </c>
      <c r="B184">
        <v>0</v>
      </c>
    </row>
    <row r="185" spans="1:2" x14ac:dyDescent="0.3">
      <c r="A185">
        <v>4.8021436201196464</v>
      </c>
      <c r="B185">
        <v>0</v>
      </c>
    </row>
    <row r="186" spans="1:2" x14ac:dyDescent="0.3">
      <c r="A186">
        <v>5.2441251443275076</v>
      </c>
      <c r="B186">
        <v>0</v>
      </c>
    </row>
    <row r="187" spans="1:2" x14ac:dyDescent="0.3">
      <c r="A187">
        <v>5.5376020021010435</v>
      </c>
      <c r="B187">
        <v>0</v>
      </c>
    </row>
    <row r="188" spans="1:2" x14ac:dyDescent="0.3">
      <c r="A188">
        <v>5.4317982759330041</v>
      </c>
      <c r="B188">
        <v>0</v>
      </c>
    </row>
    <row r="189" spans="1:2" x14ac:dyDescent="0.3">
      <c r="A189">
        <v>6.0969100130080562</v>
      </c>
      <c r="B189">
        <v>0</v>
      </c>
    </row>
    <row r="190" spans="1:2" x14ac:dyDescent="0.3">
      <c r="A190">
        <v>5.9999999999999991</v>
      </c>
      <c r="B190">
        <v>0</v>
      </c>
    </row>
    <row r="191" spans="1:2" x14ac:dyDescent="0.3">
      <c r="A191">
        <v>6.3979400086720375</v>
      </c>
      <c r="B191">
        <v>0</v>
      </c>
    </row>
    <row r="192" spans="1:2" x14ac:dyDescent="0.3">
      <c r="A192">
        <v>4.7695510786217259</v>
      </c>
      <c r="B192">
        <v>0</v>
      </c>
    </row>
    <row r="193" spans="1:2" x14ac:dyDescent="0.3">
      <c r="A193">
        <v>5.5228787452803374</v>
      </c>
      <c r="B193">
        <v>0</v>
      </c>
    </row>
    <row r="194" spans="1:2" x14ac:dyDescent="0.3">
      <c r="A194">
        <v>7.2365720064370622</v>
      </c>
      <c r="B194">
        <v>1</v>
      </c>
    </row>
    <row r="195" spans="1:2" x14ac:dyDescent="0.3">
      <c r="A195">
        <v>5.0757207139381171</v>
      </c>
      <c r="B195">
        <v>0</v>
      </c>
    </row>
    <row r="196" spans="1:2" x14ac:dyDescent="0.3">
      <c r="A196">
        <v>9.4202164033831899</v>
      </c>
      <c r="B196">
        <v>1</v>
      </c>
    </row>
    <row r="197" spans="1:2" x14ac:dyDescent="0.3">
      <c r="A197">
        <v>5.4202164033831899</v>
      </c>
      <c r="B197">
        <v>0</v>
      </c>
    </row>
    <row r="198" spans="1:2" x14ac:dyDescent="0.3">
      <c r="A198">
        <v>5.769551078621725</v>
      </c>
      <c r="B198">
        <v>0</v>
      </c>
    </row>
    <row r="199" spans="1:2" x14ac:dyDescent="0.3">
      <c r="A199">
        <v>4.7825507979549773</v>
      </c>
      <c r="B199">
        <v>0</v>
      </c>
    </row>
    <row r="200" spans="1:2" x14ac:dyDescent="0.3">
      <c r="A200">
        <v>2.7062738755272853</v>
      </c>
      <c r="B200">
        <v>0</v>
      </c>
    </row>
    <row r="201" spans="1:2" x14ac:dyDescent="0.3">
      <c r="A201">
        <v>2.9999999999999996</v>
      </c>
      <c r="B201">
        <v>0</v>
      </c>
    </row>
    <row r="202" spans="1:2" x14ac:dyDescent="0.3">
      <c r="A202">
        <v>5.8538719643217618</v>
      </c>
      <c r="B202">
        <v>0</v>
      </c>
    </row>
    <row r="203" spans="1:2" x14ac:dyDescent="0.3">
      <c r="A203">
        <v>5.2676062401770309</v>
      </c>
      <c r="B203">
        <v>0</v>
      </c>
    </row>
    <row r="204" spans="1:2" x14ac:dyDescent="0.3">
      <c r="A204">
        <v>6.1549019599857431</v>
      </c>
      <c r="B204">
        <v>0</v>
      </c>
    </row>
    <row r="205" spans="1:2" x14ac:dyDescent="0.3">
      <c r="A205">
        <v>5.1120731320778381</v>
      </c>
      <c r="B205">
        <v>0</v>
      </c>
    </row>
    <row r="206" spans="1:2" x14ac:dyDescent="0.3">
      <c r="A206">
        <v>4.1060952365149248</v>
      </c>
      <c r="B206">
        <v>0</v>
      </c>
    </row>
    <row r="207" spans="1:2" x14ac:dyDescent="0.3">
      <c r="A207">
        <v>5.1279979492850565</v>
      </c>
      <c r="B207">
        <v>0</v>
      </c>
    </row>
    <row r="208" spans="1:2" x14ac:dyDescent="0.3">
      <c r="A208">
        <v>4.9392038608241444</v>
      </c>
      <c r="B208">
        <v>0</v>
      </c>
    </row>
    <row r="209" spans="1:2" x14ac:dyDescent="0.3">
      <c r="A209">
        <v>7.1804560644581317</v>
      </c>
      <c r="B209">
        <v>1</v>
      </c>
    </row>
    <row r="210" spans="1:2" x14ac:dyDescent="0.3">
      <c r="A210">
        <v>4.4948500216800928</v>
      </c>
      <c r="B210">
        <v>0</v>
      </c>
    </row>
    <row r="211" spans="1:2" x14ac:dyDescent="0.3">
      <c r="A211">
        <v>4.9952362102039354</v>
      </c>
      <c r="B211">
        <v>0</v>
      </c>
    </row>
    <row r="212" spans="1:2" x14ac:dyDescent="0.3">
      <c r="A212">
        <v>2.8577183644992141</v>
      </c>
      <c r="B212">
        <v>0</v>
      </c>
    </row>
    <row r="213" spans="1:2" x14ac:dyDescent="0.3">
      <c r="A213">
        <v>6.5514957428755975</v>
      </c>
      <c r="B213">
        <v>0</v>
      </c>
    </row>
    <row r="214" spans="1:2" x14ac:dyDescent="0.3">
      <c r="A214">
        <v>7.0655015487564325</v>
      </c>
      <c r="B214">
        <v>1</v>
      </c>
    </row>
    <row r="215" spans="1:2" x14ac:dyDescent="0.3">
      <c r="A215">
        <v>5.348888723071437</v>
      </c>
      <c r="B215">
        <v>0</v>
      </c>
    </row>
    <row r="216" spans="1:2" x14ac:dyDescent="0.3">
      <c r="A216">
        <v>5.069165762508276</v>
      </c>
      <c r="B216">
        <v>0</v>
      </c>
    </row>
    <row r="217" spans="1:2" x14ac:dyDescent="0.3">
      <c r="A217">
        <v>4.3010299956639804</v>
      </c>
      <c r="B217">
        <v>0</v>
      </c>
    </row>
    <row r="218" spans="1:2" x14ac:dyDescent="0.3">
      <c r="A218">
        <v>6.5228787452803365</v>
      </c>
      <c r="B218">
        <v>0</v>
      </c>
    </row>
    <row r="219" spans="1:2" x14ac:dyDescent="0.3">
      <c r="A219">
        <v>6.9586073148417746</v>
      </c>
      <c r="B219">
        <v>0</v>
      </c>
    </row>
    <row r="220" spans="1:2" x14ac:dyDescent="0.3">
      <c r="A220">
        <v>6.1804560644581308</v>
      </c>
      <c r="B220">
        <v>0</v>
      </c>
    </row>
    <row r="221" spans="1:2" x14ac:dyDescent="0.3">
      <c r="A221">
        <v>5.2890368810047237</v>
      </c>
      <c r="B221">
        <v>0</v>
      </c>
    </row>
    <row r="222" spans="1:2" x14ac:dyDescent="0.3">
      <c r="A222">
        <v>6.0177287669604311</v>
      </c>
      <c r="B222">
        <v>0</v>
      </c>
    </row>
    <row r="223" spans="1:2" x14ac:dyDescent="0.3">
      <c r="A223">
        <v>4.0124824250360822</v>
      </c>
      <c r="B223">
        <v>0</v>
      </c>
    </row>
    <row r="224" spans="1:2" x14ac:dyDescent="0.3">
      <c r="A224">
        <v>4.7369539537831455</v>
      </c>
      <c r="B224">
        <v>0</v>
      </c>
    </row>
    <row r="225" spans="1:2" x14ac:dyDescent="0.3">
      <c r="A225">
        <v>4.3685365756146419</v>
      </c>
      <c r="B225">
        <v>0</v>
      </c>
    </row>
    <row r="226" spans="1:2" x14ac:dyDescent="0.3">
      <c r="A226">
        <v>5.368583989128461</v>
      </c>
      <c r="B226">
        <v>0</v>
      </c>
    </row>
    <row r="227" spans="1:2" x14ac:dyDescent="0.3">
      <c r="A227">
        <v>5.0341603587474797</v>
      </c>
      <c r="B227">
        <v>0</v>
      </c>
    </row>
    <row r="228" spans="1:2" x14ac:dyDescent="0.3">
      <c r="A228">
        <v>6.6989700043360187</v>
      </c>
      <c r="B228">
        <v>0</v>
      </c>
    </row>
    <row r="229" spans="1:2" x14ac:dyDescent="0.3">
      <c r="A229">
        <v>2.5937511334385239</v>
      </c>
      <c r="B229">
        <v>0</v>
      </c>
    </row>
    <row r="230" spans="1:2" x14ac:dyDescent="0.3">
      <c r="A230">
        <v>5.1307701415271003</v>
      </c>
      <c r="B230">
        <v>0</v>
      </c>
    </row>
    <row r="231" spans="1:2" x14ac:dyDescent="0.3">
      <c r="A231">
        <v>7.3372421683184257</v>
      </c>
      <c r="B231">
        <v>1</v>
      </c>
    </row>
    <row r="232" spans="1:2" x14ac:dyDescent="0.3">
      <c r="A232">
        <v>4.4788619162959638</v>
      </c>
      <c r="B232">
        <v>0</v>
      </c>
    </row>
    <row r="233" spans="1:2" x14ac:dyDescent="0.3">
      <c r="A233">
        <v>4.4349379773095174</v>
      </c>
      <c r="B233">
        <v>0</v>
      </c>
    </row>
    <row r="234" spans="1:2" x14ac:dyDescent="0.3">
      <c r="A234">
        <v>2.9999999999999996</v>
      </c>
      <c r="B234">
        <v>0</v>
      </c>
    </row>
    <row r="235" spans="1:2" x14ac:dyDescent="0.3">
      <c r="A235">
        <v>7.8860566476931622</v>
      </c>
      <c r="B235">
        <v>1</v>
      </c>
    </row>
    <row r="236" spans="1:2" x14ac:dyDescent="0.3">
      <c r="A236">
        <v>5.3979400086720366</v>
      </c>
      <c r="B236">
        <v>0</v>
      </c>
    </row>
    <row r="237" spans="1:2" x14ac:dyDescent="0.3">
      <c r="A237">
        <v>6.2218487496163553</v>
      </c>
      <c r="B237">
        <v>0</v>
      </c>
    </row>
    <row r="238" spans="1:2" x14ac:dyDescent="0.3">
      <c r="A238">
        <v>3.2919869279837601</v>
      </c>
      <c r="B238">
        <v>0</v>
      </c>
    </row>
    <row r="239" spans="1:2" x14ac:dyDescent="0.3">
      <c r="A239">
        <v>6.3010299956639804</v>
      </c>
      <c r="B239">
        <v>0</v>
      </c>
    </row>
    <row r="240" spans="1:2" x14ac:dyDescent="0.3">
      <c r="A240">
        <v>5.8239087409443187</v>
      </c>
      <c r="B240">
        <v>0</v>
      </c>
    </row>
    <row r="241" spans="1:2" x14ac:dyDescent="0.3">
      <c r="A241">
        <v>5.9586073148417746</v>
      </c>
      <c r="B241">
        <v>0</v>
      </c>
    </row>
    <row r="242" spans="1:2" x14ac:dyDescent="0.3">
      <c r="A242">
        <v>6.3010299956639804</v>
      </c>
      <c r="B242">
        <v>0</v>
      </c>
    </row>
    <row r="243" spans="1:2" x14ac:dyDescent="0.3">
      <c r="A243">
        <v>5.6989700043360179</v>
      </c>
      <c r="B243">
        <v>0</v>
      </c>
    </row>
    <row r="244" spans="1:2" x14ac:dyDescent="0.3">
      <c r="A244">
        <v>6.1549019599857431</v>
      </c>
      <c r="B244">
        <v>0</v>
      </c>
    </row>
    <row r="245" spans="1:2" x14ac:dyDescent="0.3">
      <c r="A245">
        <v>4.414388326931074</v>
      </c>
      <c r="B245">
        <v>0</v>
      </c>
    </row>
    <row r="246" spans="1:2" x14ac:dyDescent="0.3">
      <c r="A246">
        <v>6.7695510786217259</v>
      </c>
      <c r="B246">
        <v>0</v>
      </c>
    </row>
    <row r="247" spans="1:2" x14ac:dyDescent="0.3">
      <c r="A247">
        <v>2.7785419396335533</v>
      </c>
      <c r="B247">
        <v>0</v>
      </c>
    </row>
    <row r="248" spans="1:2" x14ac:dyDescent="0.3">
      <c r="A248">
        <v>6.431798275933005</v>
      </c>
      <c r="B248">
        <v>0</v>
      </c>
    </row>
    <row r="249" spans="1:2" x14ac:dyDescent="0.3">
      <c r="A249">
        <v>5.3145810875862729</v>
      </c>
      <c r="B249">
        <v>0</v>
      </c>
    </row>
    <row r="250" spans="1:2" x14ac:dyDescent="0.3">
      <c r="A250">
        <v>6.1249387366082999</v>
      </c>
      <c r="B250">
        <v>0</v>
      </c>
    </row>
    <row r="251" spans="1:2" x14ac:dyDescent="0.3">
      <c r="A251">
        <v>5.1191864077192086</v>
      </c>
      <c r="B251">
        <v>0</v>
      </c>
    </row>
    <row r="252" spans="1:2" x14ac:dyDescent="0.3">
      <c r="A252">
        <v>6.1549019599857431</v>
      </c>
      <c r="B252">
        <v>0</v>
      </c>
    </row>
    <row r="253" spans="1:2" x14ac:dyDescent="0.3">
      <c r="A253">
        <v>5.7447274948966935</v>
      </c>
      <c r="B253">
        <v>0</v>
      </c>
    </row>
    <row r="254" spans="1:2" x14ac:dyDescent="0.3">
      <c r="A254">
        <v>5.5086383061657269</v>
      </c>
      <c r="B254">
        <v>0</v>
      </c>
    </row>
    <row r="255" spans="1:2" x14ac:dyDescent="0.3">
      <c r="A255">
        <v>4.7857710249010461</v>
      </c>
      <c r="B255">
        <v>0</v>
      </c>
    </row>
    <row r="256" spans="1:2" x14ac:dyDescent="0.3">
      <c r="A256">
        <v>5.4317982759330041</v>
      </c>
      <c r="B256">
        <v>0</v>
      </c>
    </row>
    <row r="257" spans="1:2" x14ac:dyDescent="0.3">
      <c r="A257">
        <v>5.6649990406428197</v>
      </c>
      <c r="B257">
        <v>0</v>
      </c>
    </row>
    <row r="258" spans="1:2" x14ac:dyDescent="0.3">
      <c r="A258">
        <v>5.8239087409443187</v>
      </c>
      <c r="B258">
        <v>0</v>
      </c>
    </row>
    <row r="259" spans="1:2" x14ac:dyDescent="0.3">
      <c r="A259">
        <v>4.4380490864680828</v>
      </c>
      <c r="B259">
        <v>0</v>
      </c>
    </row>
    <row r="260" spans="1:2" x14ac:dyDescent="0.3">
      <c r="A260">
        <v>3.5122173052336234</v>
      </c>
      <c r="B260">
        <v>0</v>
      </c>
    </row>
    <row r="261" spans="1:2" x14ac:dyDescent="0.3">
      <c r="A261">
        <v>5.6777807052660796</v>
      </c>
      <c r="B261">
        <v>0</v>
      </c>
    </row>
    <row r="262" spans="1:2" x14ac:dyDescent="0.3">
      <c r="A262">
        <v>6.1549019599857431</v>
      </c>
      <c r="B262">
        <v>0</v>
      </c>
    </row>
    <row r="263" spans="1:2" x14ac:dyDescent="0.3">
      <c r="A263">
        <v>5.0507663112330423</v>
      </c>
      <c r="B263">
        <v>0</v>
      </c>
    </row>
    <row r="264" spans="1:2" x14ac:dyDescent="0.3">
      <c r="A264">
        <v>6.0915149811213496</v>
      </c>
      <c r="B264">
        <v>0</v>
      </c>
    </row>
    <row r="265" spans="1:2" x14ac:dyDescent="0.3">
      <c r="A265">
        <v>4.8041718968826954</v>
      </c>
      <c r="B265">
        <v>0</v>
      </c>
    </row>
    <row r="266" spans="1:2" x14ac:dyDescent="0.3">
      <c r="A266">
        <v>2.9999999999999996</v>
      </c>
      <c r="B266">
        <v>0</v>
      </c>
    </row>
    <row r="267" spans="1:2" x14ac:dyDescent="0.3">
      <c r="A267">
        <v>3.4846556726169196</v>
      </c>
      <c r="B267">
        <v>0</v>
      </c>
    </row>
    <row r="268" spans="1:2" x14ac:dyDescent="0.3">
      <c r="A268">
        <v>5.1776219930735516</v>
      </c>
      <c r="B268">
        <v>0</v>
      </c>
    </row>
    <row r="269" spans="1:2" x14ac:dyDescent="0.3">
      <c r="A269">
        <v>6.3549403598710636</v>
      </c>
      <c r="B269">
        <v>0</v>
      </c>
    </row>
    <row r="270" spans="1:2" x14ac:dyDescent="0.3">
      <c r="A270">
        <v>5.9999999999999991</v>
      </c>
      <c r="B270">
        <v>0</v>
      </c>
    </row>
    <row r="271" spans="1:2" x14ac:dyDescent="0.3">
      <c r="A271">
        <v>5.8860566476931622</v>
      </c>
      <c r="B271">
        <v>0</v>
      </c>
    </row>
    <row r="272" spans="1:2" x14ac:dyDescent="0.3">
      <c r="A272">
        <v>8</v>
      </c>
      <c r="B272">
        <v>1</v>
      </c>
    </row>
    <row r="273" spans="1:2" x14ac:dyDescent="0.3">
      <c r="A273">
        <v>5.6989700043360179</v>
      </c>
      <c r="B273">
        <v>0</v>
      </c>
    </row>
    <row r="274" spans="1:2" x14ac:dyDescent="0.3">
      <c r="A274">
        <v>5.2218487496163561</v>
      </c>
      <c r="B274">
        <v>0</v>
      </c>
    </row>
    <row r="275" spans="1:2" x14ac:dyDescent="0.3">
      <c r="A275">
        <v>5.3925449767853308</v>
      </c>
      <c r="B275">
        <v>0</v>
      </c>
    </row>
    <row r="276" spans="1:2" x14ac:dyDescent="0.3">
      <c r="A276">
        <v>5.8538719643217618</v>
      </c>
      <c r="B276">
        <v>0</v>
      </c>
    </row>
    <row r="277" spans="1:2" x14ac:dyDescent="0.3">
      <c r="A277">
        <v>6.0457574905606748</v>
      </c>
      <c r="B277">
        <v>0</v>
      </c>
    </row>
    <row r="278" spans="1:2" x14ac:dyDescent="0.3">
      <c r="A278">
        <v>6.2218487496163553</v>
      </c>
      <c r="B278">
        <v>0</v>
      </c>
    </row>
    <row r="279" spans="1:2" x14ac:dyDescent="0.3">
      <c r="A279">
        <v>5.3565473235138121</v>
      </c>
      <c r="B279">
        <v>0</v>
      </c>
    </row>
    <row r="280" spans="1:2" x14ac:dyDescent="0.3">
      <c r="A280">
        <v>4.9378476975357728</v>
      </c>
      <c r="B280">
        <v>0</v>
      </c>
    </row>
    <row r="281" spans="1:2" x14ac:dyDescent="0.3">
      <c r="A281">
        <v>4.7549910972402465</v>
      </c>
      <c r="B281">
        <v>0</v>
      </c>
    </row>
    <row r="282" spans="1:2" x14ac:dyDescent="0.3">
      <c r="A282">
        <v>4.5376020021010435</v>
      </c>
      <c r="B282">
        <v>0</v>
      </c>
    </row>
    <row r="283" spans="1:2" x14ac:dyDescent="0.3">
      <c r="A283">
        <v>5.0409586076789052</v>
      </c>
      <c r="B283">
        <v>0</v>
      </c>
    </row>
    <row r="284" spans="1:2" x14ac:dyDescent="0.3">
      <c r="A284">
        <v>5.1191864077192086</v>
      </c>
      <c r="B284">
        <v>0</v>
      </c>
    </row>
    <row r="285" spans="1:2" x14ac:dyDescent="0.3">
      <c r="A285">
        <v>6.3010299956639804</v>
      </c>
      <c r="B285">
        <v>0</v>
      </c>
    </row>
    <row r="286" spans="1:2" x14ac:dyDescent="0.3">
      <c r="A286">
        <v>6.3010299956639804</v>
      </c>
      <c r="B286">
        <v>0</v>
      </c>
    </row>
    <row r="287" spans="1:2" x14ac:dyDescent="0.3">
      <c r="A287">
        <v>6.9030899869919429</v>
      </c>
      <c r="B287">
        <v>0</v>
      </c>
    </row>
    <row r="288" spans="1:2" x14ac:dyDescent="0.3">
      <c r="A288">
        <v>7</v>
      </c>
      <c r="B288">
        <v>1</v>
      </c>
    </row>
    <row r="289" spans="1:2" x14ac:dyDescent="0.3">
      <c r="A289">
        <v>6.6989700043360187</v>
      </c>
      <c r="B289">
        <v>0</v>
      </c>
    </row>
    <row r="290" spans="1:2" x14ac:dyDescent="0.3">
      <c r="A290">
        <v>6.2022858741762166</v>
      </c>
      <c r="B290">
        <v>0</v>
      </c>
    </row>
    <row r="291" spans="1:2" x14ac:dyDescent="0.3">
      <c r="A291">
        <v>5.6351946235981965</v>
      </c>
      <c r="B291">
        <v>0</v>
      </c>
    </row>
    <row r="292" spans="1:2" x14ac:dyDescent="0.3">
      <c r="A292">
        <v>4.9876427482357633</v>
      </c>
      <c r="B292">
        <v>0</v>
      </c>
    </row>
    <row r="293" spans="1:2" x14ac:dyDescent="0.3">
      <c r="A293">
        <v>5.0885916689436375</v>
      </c>
      <c r="B293">
        <v>0</v>
      </c>
    </row>
    <row r="294" spans="1:2" x14ac:dyDescent="0.3">
      <c r="A294">
        <v>5.3565473235138121</v>
      </c>
      <c r="B294">
        <v>0</v>
      </c>
    </row>
    <row r="295" spans="1:2" x14ac:dyDescent="0.3">
      <c r="A295">
        <v>5.8860566476931622</v>
      </c>
      <c r="B295">
        <v>0</v>
      </c>
    </row>
    <row r="296" spans="1:2" x14ac:dyDescent="0.3">
      <c r="A296">
        <v>5.6777807052660796</v>
      </c>
      <c r="B296">
        <v>0</v>
      </c>
    </row>
    <row r="297" spans="1:2" x14ac:dyDescent="0.3">
      <c r="A297">
        <v>6.0457574905606748</v>
      </c>
      <c r="B297">
        <v>0</v>
      </c>
    </row>
    <row r="298" spans="1:2" x14ac:dyDescent="0.3">
      <c r="A298">
        <v>4.7751305805232125</v>
      </c>
      <c r="B298">
        <v>0</v>
      </c>
    </row>
    <row r="299" spans="1:2" x14ac:dyDescent="0.3">
      <c r="A299">
        <v>7.5376020021010426</v>
      </c>
      <c r="B299">
        <v>1</v>
      </c>
    </row>
    <row r="300" spans="1:2" x14ac:dyDescent="0.3">
      <c r="A300">
        <v>4.0809219076239254</v>
      </c>
      <c r="B300">
        <v>0</v>
      </c>
    </row>
    <row r="301" spans="1:2" x14ac:dyDescent="0.3">
      <c r="A301">
        <v>5.0457574905606748</v>
      </c>
      <c r="B301">
        <v>0</v>
      </c>
    </row>
    <row r="302" spans="1:2" x14ac:dyDescent="0.3">
      <c r="A302">
        <v>5.6020599913279616</v>
      </c>
      <c r="B302">
        <v>0</v>
      </c>
    </row>
    <row r="303" spans="1:2" x14ac:dyDescent="0.3">
      <c r="A303">
        <v>8.0222763947111506</v>
      </c>
      <c r="B303">
        <v>1</v>
      </c>
    </row>
    <row r="304" spans="1:2" x14ac:dyDescent="0.3">
      <c r="A304">
        <v>7.0969100130080554</v>
      </c>
      <c r="B304">
        <v>1</v>
      </c>
    </row>
    <row r="305" spans="1:2" x14ac:dyDescent="0.3">
      <c r="A305">
        <v>5.1135092748275177</v>
      </c>
      <c r="B305">
        <v>0</v>
      </c>
    </row>
    <row r="306" spans="1:2" x14ac:dyDescent="0.3">
      <c r="A306">
        <v>4.030382838595254</v>
      </c>
      <c r="B306">
        <v>0</v>
      </c>
    </row>
    <row r="307" spans="1:2" x14ac:dyDescent="0.3">
      <c r="A307">
        <v>8</v>
      </c>
      <c r="B307">
        <v>1</v>
      </c>
    </row>
    <row r="308" spans="1:2" x14ac:dyDescent="0.3">
      <c r="A308">
        <v>8</v>
      </c>
      <c r="B308">
        <v>1</v>
      </c>
    </row>
    <row r="309" spans="1:2" x14ac:dyDescent="0.3">
      <c r="A309">
        <v>8</v>
      </c>
      <c r="B309">
        <v>1</v>
      </c>
    </row>
    <row r="310" spans="1:2" x14ac:dyDescent="0.3">
      <c r="A310">
        <v>4.3936186348893944</v>
      </c>
      <c r="B310">
        <v>0</v>
      </c>
    </row>
    <row r="311" spans="1:2" x14ac:dyDescent="0.3">
      <c r="A311">
        <v>5.0927323379699168</v>
      </c>
      <c r="B311">
        <v>0</v>
      </c>
    </row>
    <row r="312" spans="1:2" x14ac:dyDescent="0.3">
      <c r="A312">
        <v>4.0835809971781645</v>
      </c>
      <c r="B312">
        <v>0</v>
      </c>
    </row>
    <row r="313" spans="1:2" x14ac:dyDescent="0.3">
      <c r="A313">
        <v>6.7958800173440741</v>
      </c>
      <c r="B313">
        <v>0</v>
      </c>
    </row>
    <row r="314" spans="1:2" x14ac:dyDescent="0.3">
      <c r="A314">
        <v>5.362193351534458</v>
      </c>
      <c r="B314">
        <v>0</v>
      </c>
    </row>
    <row r="315" spans="1:2" x14ac:dyDescent="0.3">
      <c r="A315">
        <v>3.6967595086402798</v>
      </c>
      <c r="B315">
        <v>0</v>
      </c>
    </row>
    <row r="316" spans="1:2" x14ac:dyDescent="0.3">
      <c r="A316">
        <v>5.6989700043360179</v>
      </c>
      <c r="B316">
        <v>0</v>
      </c>
    </row>
    <row r="317" spans="1:2" x14ac:dyDescent="0.3">
      <c r="A317">
        <v>5.936915680945253</v>
      </c>
      <c r="B317">
        <v>0</v>
      </c>
    </row>
    <row r="318" spans="1:2" x14ac:dyDescent="0.3">
      <c r="A318">
        <v>5.1166409456611284</v>
      </c>
      <c r="B318">
        <v>0</v>
      </c>
    </row>
    <row r="319" spans="1:2" x14ac:dyDescent="0.3">
      <c r="A319">
        <v>4.7365133609092362</v>
      </c>
      <c r="B319">
        <v>0</v>
      </c>
    </row>
    <row r="320" spans="1:2" x14ac:dyDescent="0.3">
      <c r="A320">
        <v>3.3079557615685586</v>
      </c>
      <c r="B320">
        <v>0</v>
      </c>
    </row>
    <row r="321" spans="1:2" x14ac:dyDescent="0.3">
      <c r="A321">
        <v>5.4465149769256227</v>
      </c>
      <c r="B321">
        <v>0</v>
      </c>
    </row>
    <row r="322" spans="1:2" x14ac:dyDescent="0.3">
      <c r="A322">
        <v>4.1606647285205574</v>
      </c>
      <c r="B322">
        <v>0</v>
      </c>
    </row>
    <row r="323" spans="1:2" x14ac:dyDescent="0.3">
      <c r="A323">
        <v>3.3498777231729742</v>
      </c>
      <c r="B323">
        <v>0</v>
      </c>
    </row>
    <row r="324" spans="1:2" x14ac:dyDescent="0.3">
      <c r="A324">
        <v>6.8239087409443178</v>
      </c>
      <c r="B324">
        <v>0</v>
      </c>
    </row>
    <row r="325" spans="1:2" x14ac:dyDescent="0.3">
      <c r="A325">
        <v>4.8538719643217609</v>
      </c>
      <c r="B325">
        <v>0</v>
      </c>
    </row>
    <row r="326" spans="1:2" x14ac:dyDescent="0.3">
      <c r="A326">
        <v>3.6089430127644162</v>
      </c>
      <c r="B326">
        <v>0</v>
      </c>
    </row>
    <row r="327" spans="1:2" x14ac:dyDescent="0.3">
      <c r="A327">
        <v>5.1588327231214697</v>
      </c>
      <c r="B327">
        <v>0</v>
      </c>
    </row>
    <row r="328" spans="1:2" x14ac:dyDescent="0.3">
      <c r="A328">
        <v>4.4688050187120343</v>
      </c>
      <c r="B328">
        <v>0</v>
      </c>
    </row>
    <row r="329" spans="1:2" x14ac:dyDescent="0.3">
      <c r="A329">
        <v>4.8578027274574884</v>
      </c>
      <c r="B329">
        <v>0</v>
      </c>
    </row>
    <row r="330" spans="1:2" x14ac:dyDescent="0.3">
      <c r="A330">
        <v>2.7327796278909142</v>
      </c>
      <c r="B330">
        <v>0</v>
      </c>
    </row>
    <row r="331" spans="1:2" x14ac:dyDescent="0.3">
      <c r="A331">
        <v>5.8393146062541215</v>
      </c>
      <c r="B331">
        <v>0</v>
      </c>
    </row>
    <row r="332" spans="1:2" x14ac:dyDescent="0.3">
      <c r="A332">
        <v>3.5360853218165098</v>
      </c>
      <c r="B332">
        <v>0</v>
      </c>
    </row>
    <row r="333" spans="1:2" x14ac:dyDescent="0.3">
      <c r="A333">
        <v>6.3630852430393343</v>
      </c>
      <c r="B333">
        <v>0</v>
      </c>
    </row>
    <row r="334" spans="1:2" x14ac:dyDescent="0.3">
      <c r="A334">
        <v>6.2566676445178713</v>
      </c>
      <c r="B334">
        <v>0</v>
      </c>
    </row>
    <row r="335" spans="1:2" x14ac:dyDescent="0.3">
      <c r="A335">
        <v>3.3013639399187302</v>
      </c>
      <c r="B335">
        <v>0</v>
      </c>
    </row>
    <row r="336" spans="1:2" x14ac:dyDescent="0.3">
      <c r="A336">
        <v>7.3279021420642811</v>
      </c>
      <c r="B336">
        <v>1</v>
      </c>
    </row>
    <row r="337" spans="1:2" x14ac:dyDescent="0.3">
      <c r="A337">
        <v>6.6989700043360187</v>
      </c>
      <c r="B337">
        <v>0</v>
      </c>
    </row>
    <row r="338" spans="1:2" x14ac:dyDescent="0.3">
      <c r="A338">
        <v>4.3010299956639804</v>
      </c>
      <c r="B338">
        <v>0</v>
      </c>
    </row>
    <row r="339" spans="1:2" x14ac:dyDescent="0.3">
      <c r="A339">
        <v>5.1384655891409619</v>
      </c>
      <c r="B339">
        <v>0</v>
      </c>
    </row>
    <row r="340" spans="1:2" x14ac:dyDescent="0.3">
      <c r="A340">
        <v>5.9469215565165792</v>
      </c>
      <c r="B340">
        <v>0</v>
      </c>
    </row>
    <row r="341" spans="1:2" x14ac:dyDescent="0.3">
      <c r="A341">
        <v>4.7447274948966935</v>
      </c>
      <c r="B341">
        <v>0</v>
      </c>
    </row>
    <row r="342" spans="1:2" x14ac:dyDescent="0.3">
      <c r="A342">
        <v>4.7544873321858496</v>
      </c>
      <c r="B342">
        <v>0</v>
      </c>
    </row>
    <row r="343" spans="1:2" x14ac:dyDescent="0.3">
      <c r="A343">
        <v>5.0507180106733633</v>
      </c>
      <c r="B343">
        <v>0</v>
      </c>
    </row>
    <row r="344" spans="1:2" x14ac:dyDescent="0.3">
      <c r="A344">
        <v>5.8613671125396412</v>
      </c>
      <c r="B344">
        <v>0</v>
      </c>
    </row>
    <row r="345" spans="1:2" x14ac:dyDescent="0.3">
      <c r="A345">
        <v>4.9378476975357728</v>
      </c>
      <c r="B345">
        <v>0</v>
      </c>
    </row>
    <row r="346" spans="1:2" x14ac:dyDescent="0.3">
      <c r="A346">
        <v>6.0719335307136664</v>
      </c>
      <c r="B346">
        <v>0</v>
      </c>
    </row>
    <row r="347" spans="1:2" x14ac:dyDescent="0.3">
      <c r="A347">
        <v>3.7036137543417302</v>
      </c>
      <c r="B347">
        <v>0</v>
      </c>
    </row>
    <row r="348" spans="1:2" x14ac:dyDescent="0.3">
      <c r="A348">
        <v>5.6516171740949614</v>
      </c>
      <c r="B348">
        <v>0</v>
      </c>
    </row>
    <row r="349" spans="1:2" x14ac:dyDescent="0.3">
      <c r="A349">
        <v>3.6517333966103815</v>
      </c>
      <c r="B349">
        <v>0</v>
      </c>
    </row>
    <row r="350" spans="1:2" x14ac:dyDescent="0.3">
      <c r="A350">
        <v>5.0281262592590883</v>
      </c>
      <c r="B350">
        <v>0</v>
      </c>
    </row>
    <row r="351" spans="1:2" x14ac:dyDescent="0.3">
      <c r="A351">
        <v>4.4349379773095174</v>
      </c>
      <c r="B351">
        <v>0</v>
      </c>
    </row>
    <row r="352" spans="1:2" x14ac:dyDescent="0.3">
      <c r="A352">
        <v>4.4559319556497243</v>
      </c>
      <c r="B352">
        <v>0</v>
      </c>
    </row>
    <row r="353" spans="1:2" x14ac:dyDescent="0.3">
      <c r="A353">
        <v>4.8538719643217609</v>
      </c>
      <c r="B353">
        <v>0</v>
      </c>
    </row>
    <row r="354" spans="1:2" x14ac:dyDescent="0.3">
      <c r="A354">
        <v>4.4559319556497243</v>
      </c>
      <c r="B354">
        <v>0</v>
      </c>
    </row>
    <row r="355" spans="1:2" x14ac:dyDescent="0.3">
      <c r="A355">
        <v>4.8306469828150611</v>
      </c>
      <c r="B355">
        <v>0</v>
      </c>
    </row>
    <row r="356" spans="1:2" x14ac:dyDescent="0.3">
      <c r="A356">
        <v>6.4685210829577446</v>
      </c>
      <c r="B356">
        <v>0</v>
      </c>
    </row>
    <row r="357" spans="1:2" x14ac:dyDescent="0.3">
      <c r="A357">
        <v>5.1155301749703632</v>
      </c>
      <c r="B357">
        <v>0</v>
      </c>
    </row>
    <row r="358" spans="1:2" x14ac:dyDescent="0.3">
      <c r="A358">
        <v>3.6989700043360187</v>
      </c>
      <c r="B358">
        <v>0</v>
      </c>
    </row>
    <row r="359" spans="1:2" x14ac:dyDescent="0.3">
      <c r="A359">
        <v>4.9721906539840992</v>
      </c>
      <c r="B359">
        <v>0</v>
      </c>
    </row>
    <row r="360" spans="1:2" x14ac:dyDescent="0.3">
      <c r="A360">
        <v>4.7847260611308107</v>
      </c>
      <c r="B360">
        <v>0</v>
      </c>
    </row>
    <row r="361" spans="1:2" x14ac:dyDescent="0.3">
      <c r="A361">
        <v>7</v>
      </c>
      <c r="B361">
        <v>1</v>
      </c>
    </row>
    <row r="362" spans="1:2" x14ac:dyDescent="0.3">
      <c r="A362">
        <v>4.8032077485454909</v>
      </c>
      <c r="B362">
        <v>0</v>
      </c>
    </row>
    <row r="363" spans="1:2" x14ac:dyDescent="0.3">
      <c r="A363">
        <v>6.1586091802483764</v>
      </c>
      <c r="B363">
        <v>0</v>
      </c>
    </row>
    <row r="364" spans="1:2" x14ac:dyDescent="0.3">
      <c r="A364">
        <v>6.3853616377504867</v>
      </c>
      <c r="B364">
        <v>0</v>
      </c>
    </row>
    <row r="365" spans="1:2" x14ac:dyDescent="0.3">
      <c r="A365">
        <v>3.1505722476689977</v>
      </c>
      <c r="B365">
        <v>0</v>
      </c>
    </row>
    <row r="366" spans="1:2" x14ac:dyDescent="0.3">
      <c r="A366">
        <v>3.6020599913279621</v>
      </c>
      <c r="B366">
        <v>0</v>
      </c>
    </row>
    <row r="367" spans="1:2" x14ac:dyDescent="0.3">
      <c r="A367">
        <v>5.3178549236261672</v>
      </c>
      <c r="B367">
        <v>0</v>
      </c>
    </row>
    <row r="368" spans="1:2" x14ac:dyDescent="0.3">
      <c r="A368">
        <v>6.3767507096020992</v>
      </c>
      <c r="B368">
        <v>0</v>
      </c>
    </row>
    <row r="369" spans="1:2" x14ac:dyDescent="0.3">
      <c r="A369">
        <v>5.4685210829577438</v>
      </c>
      <c r="B369">
        <v>0</v>
      </c>
    </row>
    <row r="370" spans="1:2" x14ac:dyDescent="0.3">
      <c r="A370">
        <v>3.9018498000565396</v>
      </c>
      <c r="B370">
        <v>0</v>
      </c>
    </row>
    <row r="371" spans="1:2" x14ac:dyDescent="0.3">
      <c r="A371">
        <v>6.6367686426690309</v>
      </c>
      <c r="B371">
        <v>0</v>
      </c>
    </row>
    <row r="372" spans="1:2" x14ac:dyDescent="0.3">
      <c r="A372">
        <v>5.0408312721572761</v>
      </c>
      <c r="B372">
        <v>0</v>
      </c>
    </row>
    <row r="373" spans="1:2" x14ac:dyDescent="0.3">
      <c r="A373">
        <v>5.6805168093812544</v>
      </c>
      <c r="B373">
        <v>0</v>
      </c>
    </row>
    <row r="374" spans="1:2" x14ac:dyDescent="0.3">
      <c r="A374">
        <v>6.3010299956639804</v>
      </c>
      <c r="B374">
        <v>0</v>
      </c>
    </row>
    <row r="375" spans="1:2" x14ac:dyDescent="0.3">
      <c r="A375">
        <v>5.9999999999999991</v>
      </c>
      <c r="B375">
        <v>0</v>
      </c>
    </row>
    <row r="376" spans="1:2" x14ac:dyDescent="0.3">
      <c r="A376">
        <v>6.3010299956639804</v>
      </c>
      <c r="B376">
        <v>0</v>
      </c>
    </row>
    <row r="377" spans="1:2" x14ac:dyDescent="0.3">
      <c r="A377">
        <v>3.9208187539523749</v>
      </c>
      <c r="B377">
        <v>0</v>
      </c>
    </row>
    <row r="378" spans="1:2" x14ac:dyDescent="0.3">
      <c r="A378">
        <v>3.6197887582883936</v>
      </c>
      <c r="B378">
        <v>0</v>
      </c>
    </row>
    <row r="379" spans="1:2" x14ac:dyDescent="0.3">
      <c r="A379">
        <v>2.9999999999999996</v>
      </c>
      <c r="B379">
        <v>0</v>
      </c>
    </row>
    <row r="380" spans="1:2" x14ac:dyDescent="0.3">
      <c r="A380">
        <v>4.4357243734592151</v>
      </c>
      <c r="B380">
        <v>0</v>
      </c>
    </row>
    <row r="381" spans="1:2" x14ac:dyDescent="0.3">
      <c r="A381">
        <v>5.795880017344075</v>
      </c>
      <c r="B381">
        <v>0</v>
      </c>
    </row>
    <row r="382" spans="1:2" x14ac:dyDescent="0.3">
      <c r="A382">
        <v>6.5228787452803365</v>
      </c>
      <c r="B382">
        <v>0</v>
      </c>
    </row>
    <row r="383" spans="1:2" x14ac:dyDescent="0.3">
      <c r="A383">
        <v>7</v>
      </c>
      <c r="B383">
        <v>1</v>
      </c>
    </row>
    <row r="384" spans="1:2" x14ac:dyDescent="0.3">
      <c r="A384">
        <v>6.1549019599857431</v>
      </c>
      <c r="B384">
        <v>0</v>
      </c>
    </row>
    <row r="385" spans="1:2" x14ac:dyDescent="0.3">
      <c r="A385">
        <v>4.488794109640704</v>
      </c>
      <c r="B385">
        <v>0</v>
      </c>
    </row>
    <row r="386" spans="1:2" x14ac:dyDescent="0.3">
      <c r="A386">
        <v>4.9393021596463873</v>
      </c>
      <c r="B386">
        <v>0</v>
      </c>
    </row>
    <row r="387" spans="1:2" x14ac:dyDescent="0.3">
      <c r="A387">
        <v>5.2182446253475305</v>
      </c>
      <c r="B387">
        <v>0</v>
      </c>
    </row>
    <row r="388" spans="1:2" x14ac:dyDescent="0.3">
      <c r="A388">
        <v>4.7497363155690611</v>
      </c>
      <c r="B388">
        <v>0</v>
      </c>
    </row>
    <row r="389" spans="1:2" x14ac:dyDescent="0.3">
      <c r="A389">
        <v>5.7099653886374817</v>
      </c>
      <c r="B389">
        <v>0</v>
      </c>
    </row>
    <row r="390" spans="1:2" x14ac:dyDescent="0.3">
      <c r="A390">
        <v>6.1135092748275177</v>
      </c>
      <c r="B390">
        <v>0</v>
      </c>
    </row>
    <row r="391" spans="1:2" x14ac:dyDescent="0.3">
      <c r="A391">
        <v>6.0457574905606748</v>
      </c>
      <c r="B391">
        <v>0</v>
      </c>
    </row>
    <row r="392" spans="1:2" x14ac:dyDescent="0.3">
      <c r="A392">
        <v>4.6805168093812544</v>
      </c>
      <c r="B392">
        <v>0</v>
      </c>
    </row>
    <row r="393" spans="1:2" x14ac:dyDescent="0.3">
      <c r="A393">
        <v>5.4089353929735005</v>
      </c>
      <c r="B393">
        <v>0</v>
      </c>
    </row>
    <row r="394" spans="1:2" x14ac:dyDescent="0.3">
      <c r="A394">
        <v>6.3959002462010597</v>
      </c>
      <c r="B394">
        <v>0</v>
      </c>
    </row>
    <row r="395" spans="1:2" x14ac:dyDescent="0.3">
      <c r="A395">
        <v>3.4548790254871808</v>
      </c>
      <c r="B395">
        <v>0</v>
      </c>
    </row>
    <row r="396" spans="1:2" x14ac:dyDescent="0.3">
      <c r="A396">
        <v>9.1804560644581308</v>
      </c>
      <c r="B396">
        <v>1</v>
      </c>
    </row>
    <row r="397" spans="1:2" x14ac:dyDescent="0.3">
      <c r="A397">
        <v>4.7347103741391701</v>
      </c>
      <c r="B397">
        <v>0</v>
      </c>
    </row>
    <row r="398" spans="1:2" x14ac:dyDescent="0.3">
      <c r="A398">
        <v>5.0166265472274594</v>
      </c>
      <c r="B398">
        <v>0</v>
      </c>
    </row>
    <row r="399" spans="1:2" x14ac:dyDescent="0.3">
      <c r="A399">
        <v>4.8511359950115738</v>
      </c>
      <c r="B399">
        <v>0</v>
      </c>
    </row>
    <row r="400" spans="1:2" x14ac:dyDescent="0.3">
      <c r="A400">
        <v>4.7910553977304309</v>
      </c>
      <c r="B400">
        <v>0</v>
      </c>
    </row>
    <row r="401" spans="1:2" x14ac:dyDescent="0.3">
      <c r="A401">
        <v>6.4685210829577446</v>
      </c>
      <c r="B401">
        <v>0</v>
      </c>
    </row>
    <row r="402" spans="1:2" x14ac:dyDescent="0.3">
      <c r="A402">
        <v>5.2479515521805613</v>
      </c>
      <c r="B402">
        <v>0</v>
      </c>
    </row>
    <row r="403" spans="1:2" x14ac:dyDescent="0.3">
      <c r="A403">
        <v>6.3665315444204129</v>
      </c>
      <c r="B403">
        <v>0</v>
      </c>
    </row>
    <row r="404" spans="1:2" x14ac:dyDescent="0.3">
      <c r="A404">
        <v>7.2596373105057559</v>
      </c>
      <c r="B404">
        <v>1</v>
      </c>
    </row>
    <row r="405" spans="1:2" x14ac:dyDescent="0.3">
      <c r="A405">
        <v>4.1366771398795432</v>
      </c>
      <c r="B405">
        <v>0</v>
      </c>
    </row>
    <row r="406" spans="1:2" x14ac:dyDescent="0.3">
      <c r="A406">
        <v>4.3872161432802645</v>
      </c>
      <c r="B406">
        <v>0</v>
      </c>
    </row>
    <row r="407" spans="1:2" x14ac:dyDescent="0.3">
      <c r="A407">
        <v>3.9999999999999991</v>
      </c>
      <c r="B407">
        <v>0</v>
      </c>
    </row>
    <row r="408" spans="1:2" x14ac:dyDescent="0.3">
      <c r="A408">
        <v>4.2006594505464179</v>
      </c>
      <c r="B408">
        <v>0</v>
      </c>
    </row>
    <row r="409" spans="1:2" x14ac:dyDescent="0.3">
      <c r="A409">
        <v>4.3872161432802645</v>
      </c>
      <c r="B409">
        <v>0</v>
      </c>
    </row>
    <row r="410" spans="1:2" x14ac:dyDescent="0.3">
      <c r="A410">
        <v>6.3190167809700837</v>
      </c>
      <c r="B410">
        <v>0</v>
      </c>
    </row>
    <row r="411" spans="1:2" x14ac:dyDescent="0.3">
      <c r="A411">
        <v>7.0655015487564325</v>
      </c>
      <c r="B411">
        <v>1</v>
      </c>
    </row>
    <row r="412" spans="1:2" x14ac:dyDescent="0.3">
      <c r="A412">
        <v>9.4436974992327105</v>
      </c>
      <c r="B412">
        <v>1</v>
      </c>
    </row>
    <row r="413" spans="1:2" x14ac:dyDescent="0.3">
      <c r="A413">
        <v>5.9586073148417746</v>
      </c>
      <c r="B413">
        <v>0</v>
      </c>
    </row>
    <row r="414" spans="1:2" x14ac:dyDescent="0.3">
      <c r="A414">
        <v>7.2839966563651997</v>
      </c>
      <c r="B414">
        <v>1</v>
      </c>
    </row>
    <row r="415" spans="1:2" x14ac:dyDescent="0.3">
      <c r="A415">
        <v>5.2218487496163561</v>
      </c>
      <c r="B415">
        <v>0</v>
      </c>
    </row>
    <row r="416" spans="1:2" x14ac:dyDescent="0.3">
      <c r="A416">
        <v>5.8416375079047498</v>
      </c>
      <c r="B416">
        <v>0</v>
      </c>
    </row>
    <row r="417" spans="1:2" x14ac:dyDescent="0.3">
      <c r="A417">
        <v>7.3098039199714853</v>
      </c>
      <c r="B417">
        <v>1</v>
      </c>
    </row>
    <row r="418" spans="1:2" x14ac:dyDescent="0.3">
      <c r="A418">
        <v>5.0915149811213496</v>
      </c>
      <c r="B418">
        <v>0</v>
      </c>
    </row>
    <row r="419" spans="1:2" x14ac:dyDescent="0.3">
      <c r="A419">
        <v>6.5228787452803365</v>
      </c>
      <c r="B419">
        <v>0</v>
      </c>
    </row>
    <row r="420" spans="1:2" x14ac:dyDescent="0.3">
      <c r="A420">
        <v>4.9208187539523749</v>
      </c>
      <c r="B420">
        <v>0</v>
      </c>
    </row>
    <row r="421" spans="1:2" x14ac:dyDescent="0.3">
      <c r="A421">
        <v>3.3010299956639808</v>
      </c>
      <c r="B421">
        <v>0</v>
      </c>
    </row>
    <row r="422" spans="1:2" x14ac:dyDescent="0.3">
      <c r="A422">
        <v>4.6760760153875154</v>
      </c>
      <c r="B422">
        <v>0</v>
      </c>
    </row>
    <row r="423" spans="1:2" x14ac:dyDescent="0.3">
      <c r="A423">
        <v>3.3010299956639808</v>
      </c>
      <c r="B423">
        <v>0</v>
      </c>
    </row>
    <row r="424" spans="1:2" x14ac:dyDescent="0.3">
      <c r="A424">
        <v>5.6525901154095601</v>
      </c>
      <c r="B424">
        <v>0</v>
      </c>
    </row>
    <row r="425" spans="1:2" x14ac:dyDescent="0.3">
      <c r="A425">
        <v>6.0969100130080562</v>
      </c>
      <c r="B425">
        <v>0</v>
      </c>
    </row>
    <row r="426" spans="1:2" x14ac:dyDescent="0.3">
      <c r="A426">
        <v>6.3979400086720375</v>
      </c>
      <c r="B426">
        <v>0</v>
      </c>
    </row>
    <row r="427" spans="1:2" x14ac:dyDescent="0.3">
      <c r="A427">
        <v>6.0969100130080562</v>
      </c>
      <c r="B427">
        <v>0</v>
      </c>
    </row>
    <row r="428" spans="1:2" x14ac:dyDescent="0.3">
      <c r="A428">
        <v>4.4068913060494159</v>
      </c>
      <c r="B428">
        <v>0</v>
      </c>
    </row>
    <row r="429" spans="1:2" x14ac:dyDescent="0.3">
      <c r="A429">
        <v>4.0190830417499264</v>
      </c>
      <c r="B429">
        <v>0</v>
      </c>
    </row>
    <row r="430" spans="1:2" x14ac:dyDescent="0.3">
      <c r="A430">
        <v>4.7376595378677564</v>
      </c>
      <c r="B430">
        <v>0</v>
      </c>
    </row>
    <row r="431" spans="1:2" x14ac:dyDescent="0.3">
      <c r="A431">
        <v>5.0624064762516765</v>
      </c>
      <c r="B431">
        <v>0</v>
      </c>
    </row>
    <row r="432" spans="1:2" x14ac:dyDescent="0.3">
      <c r="A432">
        <v>6.9208187539523749</v>
      </c>
      <c r="B432">
        <v>0</v>
      </c>
    </row>
    <row r="433" spans="1:2" x14ac:dyDescent="0.3">
      <c r="A433">
        <v>7.1307682802690229</v>
      </c>
      <c r="B433">
        <v>1</v>
      </c>
    </row>
    <row r="434" spans="1:2" x14ac:dyDescent="0.3">
      <c r="A434">
        <v>2.7547610251682744</v>
      </c>
      <c r="B434">
        <v>0</v>
      </c>
    </row>
    <row r="435" spans="1:2" x14ac:dyDescent="0.3">
      <c r="A435">
        <v>2.8230686842642041</v>
      </c>
      <c r="B435">
        <v>0</v>
      </c>
    </row>
    <row r="436" spans="1:2" x14ac:dyDescent="0.3">
      <c r="A436">
        <v>3.7719088574352009</v>
      </c>
      <c r="B436">
        <v>0</v>
      </c>
    </row>
    <row r="437" spans="1:2" x14ac:dyDescent="0.3">
      <c r="A437">
        <v>5.6989700043360179</v>
      </c>
      <c r="B437">
        <v>0</v>
      </c>
    </row>
    <row r="438" spans="1:2" x14ac:dyDescent="0.3">
      <c r="A438">
        <v>5.4485500020271243</v>
      </c>
      <c r="B438">
        <v>0</v>
      </c>
    </row>
    <row r="439" spans="1:2" x14ac:dyDescent="0.3">
      <c r="A439">
        <v>6.8239087409443178</v>
      </c>
      <c r="B439">
        <v>0</v>
      </c>
    </row>
    <row r="440" spans="1:2" x14ac:dyDescent="0.3">
      <c r="A440">
        <v>5.8239087409443187</v>
      </c>
      <c r="B440">
        <v>0</v>
      </c>
    </row>
    <row r="441" spans="1:2" x14ac:dyDescent="0.3">
      <c r="A441">
        <v>5.8860566476931622</v>
      </c>
      <c r="B441">
        <v>0</v>
      </c>
    </row>
    <row r="442" spans="1:2" x14ac:dyDescent="0.3">
      <c r="A442">
        <v>5.8538719643217618</v>
      </c>
      <c r="B442">
        <v>0</v>
      </c>
    </row>
    <row r="443" spans="1:2" x14ac:dyDescent="0.3">
      <c r="A443">
        <v>5.9999999999999991</v>
      </c>
      <c r="B443">
        <v>0</v>
      </c>
    </row>
    <row r="444" spans="1:2" x14ac:dyDescent="0.3">
      <c r="A444">
        <v>5.9999999999999991</v>
      </c>
      <c r="B444">
        <v>0</v>
      </c>
    </row>
    <row r="445" spans="1:2" x14ac:dyDescent="0.3">
      <c r="A445">
        <v>6.200659450546417</v>
      </c>
      <c r="B445">
        <v>0</v>
      </c>
    </row>
    <row r="446" spans="1:2" x14ac:dyDescent="0.3">
      <c r="A446">
        <v>8.1611509092627443</v>
      </c>
      <c r="B446">
        <v>1</v>
      </c>
    </row>
    <row r="447" spans="1:2" x14ac:dyDescent="0.3">
      <c r="A447">
        <v>8.0268721464003008</v>
      </c>
      <c r="B447">
        <v>1</v>
      </c>
    </row>
    <row r="448" spans="1:2" x14ac:dyDescent="0.3">
      <c r="A448">
        <v>9.2218487496163561</v>
      </c>
      <c r="B448">
        <v>1</v>
      </c>
    </row>
    <row r="449" spans="1:2" x14ac:dyDescent="0.3">
      <c r="A449">
        <v>9.0969100130080545</v>
      </c>
      <c r="B449">
        <v>1</v>
      </c>
    </row>
    <row r="450" spans="1:2" x14ac:dyDescent="0.3">
      <c r="A450">
        <v>9.6777807052660787</v>
      </c>
      <c r="B450">
        <v>1</v>
      </c>
    </row>
    <row r="451" spans="1:2" x14ac:dyDescent="0.3">
      <c r="A451">
        <v>5.795880017344075</v>
      </c>
      <c r="B451">
        <v>0</v>
      </c>
    </row>
    <row r="452" spans="1:2" x14ac:dyDescent="0.3">
      <c r="A452">
        <v>4.6989700043360187</v>
      </c>
      <c r="B452">
        <v>0</v>
      </c>
    </row>
    <row r="453" spans="1:2" x14ac:dyDescent="0.3">
      <c r="A453">
        <v>4.7212463990471703</v>
      </c>
      <c r="B453">
        <v>0</v>
      </c>
    </row>
    <row r="454" spans="1:2" x14ac:dyDescent="0.3">
      <c r="A454">
        <v>6.2709861101067492</v>
      </c>
      <c r="B454">
        <v>0</v>
      </c>
    </row>
    <row r="455" spans="1:2" x14ac:dyDescent="0.3">
      <c r="A455">
        <v>6.6989700043360187</v>
      </c>
      <c r="B455">
        <v>0</v>
      </c>
    </row>
    <row r="456" spans="1:2" x14ac:dyDescent="0.3">
      <c r="A456">
        <v>5.5620812844111702</v>
      </c>
      <c r="B456">
        <v>0</v>
      </c>
    </row>
    <row r="457" spans="1:2" x14ac:dyDescent="0.3">
      <c r="A457">
        <v>5.795880017344075</v>
      </c>
      <c r="B457">
        <v>0</v>
      </c>
    </row>
    <row r="458" spans="1:2" x14ac:dyDescent="0.3">
      <c r="A458">
        <v>3.4186658130534751</v>
      </c>
      <c r="B458">
        <v>0</v>
      </c>
    </row>
    <row r="459" spans="1:2" x14ac:dyDescent="0.3">
      <c r="A459">
        <v>6.7212463990471703</v>
      </c>
      <c r="B459">
        <v>0</v>
      </c>
    </row>
    <row r="460" spans="1:2" x14ac:dyDescent="0.3">
      <c r="A460">
        <v>6.3872161432802645</v>
      </c>
      <c r="B460">
        <v>0</v>
      </c>
    </row>
    <row r="461" spans="1:2" x14ac:dyDescent="0.3">
      <c r="A461">
        <v>7.2757241303992108</v>
      </c>
      <c r="B461">
        <v>1</v>
      </c>
    </row>
    <row r="462" spans="1:2" x14ac:dyDescent="0.3">
      <c r="A462">
        <v>6.8885694482340192</v>
      </c>
      <c r="B462">
        <v>0</v>
      </c>
    </row>
    <row r="463" spans="1:2" x14ac:dyDescent="0.3">
      <c r="A463">
        <v>8.3526170298853781</v>
      </c>
      <c r="B463">
        <v>1</v>
      </c>
    </row>
    <row r="464" spans="1:2" x14ac:dyDescent="0.3">
      <c r="A464">
        <v>6.5228787452803365</v>
      </c>
      <c r="B464">
        <v>0</v>
      </c>
    </row>
    <row r="465" spans="1:2" x14ac:dyDescent="0.3">
      <c r="A465">
        <v>4.6197887582883936</v>
      </c>
      <c r="B465">
        <v>0</v>
      </c>
    </row>
    <row r="466" spans="1:2" x14ac:dyDescent="0.3">
      <c r="A466">
        <v>6.3665315444204129</v>
      </c>
      <c r="B466">
        <v>0</v>
      </c>
    </row>
    <row r="467" spans="1:2" x14ac:dyDescent="0.3">
      <c r="A467">
        <v>3.7695510786217254</v>
      </c>
      <c r="B467">
        <v>0</v>
      </c>
    </row>
    <row r="468" spans="1:2" x14ac:dyDescent="0.3">
      <c r="A468">
        <v>6.9208187539523749</v>
      </c>
      <c r="B468">
        <v>0</v>
      </c>
    </row>
    <row r="469" spans="1:2" x14ac:dyDescent="0.3">
      <c r="A469">
        <v>5.6777807052660796</v>
      </c>
      <c r="B469">
        <v>0</v>
      </c>
    </row>
    <row r="470" spans="1:2" x14ac:dyDescent="0.3">
      <c r="A470">
        <v>4.4559319556497243</v>
      </c>
      <c r="B470">
        <v>0</v>
      </c>
    </row>
    <row r="471" spans="1:2" x14ac:dyDescent="0.3">
      <c r="A471">
        <v>7.3979400086720375</v>
      </c>
      <c r="B471">
        <v>1</v>
      </c>
    </row>
    <row r="472" spans="1:2" x14ac:dyDescent="0.3">
      <c r="A472">
        <v>7.0655015487564325</v>
      </c>
      <c r="B472">
        <v>1</v>
      </c>
    </row>
    <row r="473" spans="1:2" x14ac:dyDescent="0.3">
      <c r="A473">
        <v>5.6020599913279616</v>
      </c>
      <c r="B473">
        <v>0</v>
      </c>
    </row>
    <row r="474" spans="1:2" x14ac:dyDescent="0.3">
      <c r="A474">
        <v>4.6989700043360187</v>
      </c>
      <c r="B474">
        <v>0</v>
      </c>
    </row>
    <row r="475" spans="1:2" x14ac:dyDescent="0.3">
      <c r="A475">
        <v>6.3010299956639804</v>
      </c>
      <c r="B475">
        <v>0</v>
      </c>
    </row>
    <row r="476" spans="1:2" x14ac:dyDescent="0.3">
      <c r="A476">
        <v>6.1549019599857431</v>
      </c>
      <c r="B476">
        <v>0</v>
      </c>
    </row>
    <row r="477" spans="1:2" x14ac:dyDescent="0.3">
      <c r="A477">
        <v>4.8860566476931631</v>
      </c>
      <c r="B477">
        <v>0</v>
      </c>
    </row>
    <row r="478" spans="1:2" x14ac:dyDescent="0.3">
      <c r="A478">
        <v>5.1135092748275177</v>
      </c>
      <c r="B478">
        <v>0</v>
      </c>
    </row>
    <row r="479" spans="1:2" x14ac:dyDescent="0.3">
      <c r="A479">
        <v>3.9208187539523749</v>
      </c>
      <c r="B479">
        <v>0</v>
      </c>
    </row>
    <row r="480" spans="1:2" x14ac:dyDescent="0.3">
      <c r="A480">
        <v>5.795880017344075</v>
      </c>
      <c r="B480">
        <v>0</v>
      </c>
    </row>
    <row r="481" spans="1:2" x14ac:dyDescent="0.3">
      <c r="A481">
        <v>2.9999999999999996</v>
      </c>
      <c r="B481">
        <v>0</v>
      </c>
    </row>
    <row r="482" spans="1:2" x14ac:dyDescent="0.3">
      <c r="A482">
        <v>7.5850266520291818</v>
      </c>
      <c r="B482">
        <v>1</v>
      </c>
    </row>
    <row r="483" spans="1:2" x14ac:dyDescent="0.3">
      <c r="A483">
        <v>3.5686362358410122</v>
      </c>
      <c r="B483">
        <v>0</v>
      </c>
    </row>
    <row r="484" spans="1:2" x14ac:dyDescent="0.3">
      <c r="A484">
        <v>6.7695510786217259</v>
      </c>
      <c r="B484">
        <v>0</v>
      </c>
    </row>
    <row r="485" spans="1:2" x14ac:dyDescent="0.3">
      <c r="A485">
        <v>5.8794260687941495</v>
      </c>
      <c r="B485">
        <v>0</v>
      </c>
    </row>
    <row r="486" spans="1:2" x14ac:dyDescent="0.3">
      <c r="A486">
        <v>6.3372421683184257</v>
      </c>
      <c r="B486">
        <v>0</v>
      </c>
    </row>
    <row r="487" spans="1:2" x14ac:dyDescent="0.3">
      <c r="A487">
        <v>5.6197887582883927</v>
      </c>
      <c r="B487">
        <v>0</v>
      </c>
    </row>
    <row r="488" spans="1:2" x14ac:dyDescent="0.3">
      <c r="A488">
        <v>5.9999999999999991</v>
      </c>
      <c r="B488">
        <v>0</v>
      </c>
    </row>
    <row r="489" spans="1:2" x14ac:dyDescent="0.3">
      <c r="A489">
        <v>6.3010299956639804</v>
      </c>
      <c r="B489">
        <v>0</v>
      </c>
    </row>
    <row r="490" spans="1:2" x14ac:dyDescent="0.3">
      <c r="A490">
        <v>6.0969100130080562</v>
      </c>
      <c r="B490">
        <v>0</v>
      </c>
    </row>
    <row r="491" spans="1:2" x14ac:dyDescent="0.3">
      <c r="A491">
        <v>6.0969100130080562</v>
      </c>
      <c r="B491">
        <v>0</v>
      </c>
    </row>
    <row r="492" spans="1:2" x14ac:dyDescent="0.3">
      <c r="A492">
        <v>5.3010299956639813</v>
      </c>
      <c r="B492">
        <v>0</v>
      </c>
    </row>
    <row r="493" spans="1:2" x14ac:dyDescent="0.3">
      <c r="A493">
        <v>7.769551078621725</v>
      </c>
      <c r="B493">
        <v>1</v>
      </c>
    </row>
    <row r="494" spans="1:2" x14ac:dyDescent="0.3">
      <c r="A494">
        <v>6.3010299956639804</v>
      </c>
      <c r="B494">
        <v>0</v>
      </c>
    </row>
    <row r="495" spans="1:2" x14ac:dyDescent="0.3">
      <c r="A495">
        <v>5.0315170514460643</v>
      </c>
      <c r="B495">
        <v>0</v>
      </c>
    </row>
    <row r="496" spans="1:2" x14ac:dyDescent="0.3">
      <c r="A496">
        <v>5.4948500216800937</v>
      </c>
      <c r="B496">
        <v>0</v>
      </c>
    </row>
    <row r="497" spans="1:2" x14ac:dyDescent="0.3">
      <c r="A497">
        <v>4.1870866433571443</v>
      </c>
      <c r="B497">
        <v>0</v>
      </c>
    </row>
    <row r="498" spans="1:2" x14ac:dyDescent="0.3">
      <c r="A498">
        <v>5.3872161432802637</v>
      </c>
      <c r="B498">
        <v>0</v>
      </c>
    </row>
    <row r="499" spans="1:2" x14ac:dyDescent="0.3">
      <c r="A499">
        <v>3.8153085691824007</v>
      </c>
      <c r="B499">
        <v>0</v>
      </c>
    </row>
    <row r="500" spans="1:2" x14ac:dyDescent="0.3">
      <c r="A500">
        <v>6.8538719643217609</v>
      </c>
      <c r="B500">
        <v>0</v>
      </c>
    </row>
    <row r="501" spans="1:2" x14ac:dyDescent="0.3">
      <c r="A501">
        <v>7.7212463990471711</v>
      </c>
      <c r="B501">
        <v>1</v>
      </c>
    </row>
    <row r="502" spans="1:2" x14ac:dyDescent="0.3">
      <c r="A502">
        <v>5.6126101736612704</v>
      </c>
      <c r="B502">
        <v>0</v>
      </c>
    </row>
    <row r="503" spans="1:2" x14ac:dyDescent="0.3">
      <c r="A503">
        <v>7.5376020021010426</v>
      </c>
      <c r="B503">
        <v>1</v>
      </c>
    </row>
    <row r="504" spans="1:2" x14ac:dyDescent="0.3">
      <c r="A504">
        <v>5.7212463990471711</v>
      </c>
      <c r="B504">
        <v>0</v>
      </c>
    </row>
    <row r="505" spans="1:2" x14ac:dyDescent="0.3">
      <c r="A505">
        <v>7.6989700043360179</v>
      </c>
      <c r="B505">
        <v>1</v>
      </c>
    </row>
    <row r="506" spans="1:2" x14ac:dyDescent="0.3">
      <c r="A506">
        <v>4.7958800173440741</v>
      </c>
      <c r="B506">
        <v>0</v>
      </c>
    </row>
    <row r="507" spans="1:2" x14ac:dyDescent="0.3">
      <c r="A507">
        <v>8.5751183633689312</v>
      </c>
      <c r="B507">
        <v>1</v>
      </c>
    </row>
    <row r="508" spans="1:2" x14ac:dyDescent="0.3">
      <c r="A508">
        <v>7.1487416512809245</v>
      </c>
      <c r="B508">
        <v>1</v>
      </c>
    </row>
    <row r="509" spans="1:2" x14ac:dyDescent="0.3">
      <c r="A509">
        <v>7.346787486224656</v>
      </c>
      <c r="B509">
        <v>1</v>
      </c>
    </row>
    <row r="510" spans="1:2" x14ac:dyDescent="0.3">
      <c r="A510">
        <v>2.9999999999999996</v>
      </c>
      <c r="B510">
        <v>0</v>
      </c>
    </row>
    <row r="511" spans="1:2" x14ac:dyDescent="0.3">
      <c r="A511">
        <v>7.1135092748275168</v>
      </c>
      <c r="B511">
        <v>1</v>
      </c>
    </row>
    <row r="512" spans="1:2" x14ac:dyDescent="0.3">
      <c r="A512">
        <v>6.9616580663463923</v>
      </c>
      <c r="B512">
        <v>0</v>
      </c>
    </row>
    <row r="513" spans="1:2" x14ac:dyDescent="0.3">
      <c r="A513">
        <v>9.0268721464003008</v>
      </c>
      <c r="B513">
        <v>1</v>
      </c>
    </row>
    <row r="514" spans="1:2" x14ac:dyDescent="0.3">
      <c r="A514">
        <v>9.2839966563651988</v>
      </c>
      <c r="B514">
        <v>1</v>
      </c>
    </row>
    <row r="515" spans="1:2" x14ac:dyDescent="0.3">
      <c r="A515">
        <v>7.3979400086720375</v>
      </c>
      <c r="B515">
        <v>1</v>
      </c>
    </row>
    <row r="516" spans="1:2" x14ac:dyDescent="0.3">
      <c r="A516">
        <v>5.6020599913279616</v>
      </c>
      <c r="B516">
        <v>0</v>
      </c>
    </row>
    <row r="517" spans="1:2" x14ac:dyDescent="0.3">
      <c r="A517">
        <v>5.3979400086720366</v>
      </c>
      <c r="B517">
        <v>0</v>
      </c>
    </row>
    <row r="518" spans="1:2" x14ac:dyDescent="0.3">
      <c r="A518">
        <v>5.259637310505755</v>
      </c>
      <c r="B518">
        <v>0</v>
      </c>
    </row>
    <row r="519" spans="1:2" x14ac:dyDescent="0.3">
      <c r="A519">
        <v>5.481486060122112</v>
      </c>
      <c r="B519">
        <v>0</v>
      </c>
    </row>
    <row r="520" spans="1:2" x14ac:dyDescent="0.3">
      <c r="A520">
        <v>5.9999999999999991</v>
      </c>
      <c r="B520">
        <v>0</v>
      </c>
    </row>
    <row r="521" spans="1:2" x14ac:dyDescent="0.3">
      <c r="A521">
        <v>6.0969100130080562</v>
      </c>
      <c r="B521">
        <v>0</v>
      </c>
    </row>
    <row r="522" spans="1:2" x14ac:dyDescent="0.3">
      <c r="A522">
        <v>5.1804560644581308</v>
      </c>
      <c r="B522">
        <v>0</v>
      </c>
    </row>
    <row r="523" spans="1:2" x14ac:dyDescent="0.3">
      <c r="A523">
        <v>6.1549019599857431</v>
      </c>
      <c r="B523">
        <v>0</v>
      </c>
    </row>
    <row r="524" spans="1:2" x14ac:dyDescent="0.3">
      <c r="A524">
        <v>6.1549019599857431</v>
      </c>
      <c r="B524">
        <v>0</v>
      </c>
    </row>
    <row r="525" spans="1:2" x14ac:dyDescent="0.3">
      <c r="A525">
        <v>5.6989700043360179</v>
      </c>
      <c r="B525">
        <v>0</v>
      </c>
    </row>
    <row r="526" spans="1:2" x14ac:dyDescent="0.3">
      <c r="A526">
        <v>6.5528419686577797</v>
      </c>
      <c r="B526">
        <v>0</v>
      </c>
    </row>
    <row r="527" spans="1:2" x14ac:dyDescent="0.3">
      <c r="A527">
        <v>7.0362121726544435</v>
      </c>
      <c r="B527">
        <v>1</v>
      </c>
    </row>
    <row r="528" spans="1:2" x14ac:dyDescent="0.3">
      <c r="A528">
        <v>6.2218487496163553</v>
      </c>
      <c r="B528">
        <v>0</v>
      </c>
    </row>
    <row r="529" spans="1:2" x14ac:dyDescent="0.3">
      <c r="A529">
        <v>8.3872161432802628</v>
      </c>
      <c r="B529">
        <v>1</v>
      </c>
    </row>
    <row r="530" spans="1:2" x14ac:dyDescent="0.3">
      <c r="A530">
        <v>5.124938736608299</v>
      </c>
      <c r="B530">
        <v>0</v>
      </c>
    </row>
    <row r="531" spans="1:2" x14ac:dyDescent="0.3">
      <c r="A531">
        <v>9.0222763947111524</v>
      </c>
      <c r="B531">
        <v>1</v>
      </c>
    </row>
    <row r="532" spans="1:2" x14ac:dyDescent="0.3">
      <c r="A532">
        <v>5.3979400086720366</v>
      </c>
      <c r="B532">
        <v>0</v>
      </c>
    </row>
    <row r="533" spans="1:2" x14ac:dyDescent="0.3">
      <c r="A533">
        <v>7.9208187539523749</v>
      </c>
      <c r="B533">
        <v>1</v>
      </c>
    </row>
    <row r="534" spans="1:2" x14ac:dyDescent="0.3">
      <c r="A534">
        <v>5.9999999999999991</v>
      </c>
      <c r="B534">
        <v>0</v>
      </c>
    </row>
    <row r="535" spans="1:2" x14ac:dyDescent="0.3">
      <c r="A535">
        <v>8</v>
      </c>
      <c r="B535">
        <v>1</v>
      </c>
    </row>
    <row r="536" spans="1:2" x14ac:dyDescent="0.3">
      <c r="A536">
        <v>8</v>
      </c>
      <c r="B536">
        <v>1</v>
      </c>
    </row>
    <row r="537" spans="1:2" x14ac:dyDescent="0.3">
      <c r="A537">
        <v>8</v>
      </c>
      <c r="B537">
        <v>1</v>
      </c>
    </row>
    <row r="538" spans="1:2" x14ac:dyDescent="0.3">
      <c r="A538">
        <v>8</v>
      </c>
      <c r="B538">
        <v>1</v>
      </c>
    </row>
    <row r="539" spans="1:2" x14ac:dyDescent="0.3">
      <c r="A539">
        <v>4.1549019599857431</v>
      </c>
      <c r="B539">
        <v>0</v>
      </c>
    </row>
    <row r="540" spans="1:2" x14ac:dyDescent="0.3">
      <c r="A540">
        <v>6.2596373105057559</v>
      </c>
      <c r="B540">
        <v>0</v>
      </c>
    </row>
    <row r="541" spans="1:2" x14ac:dyDescent="0.3">
      <c r="A541">
        <v>6.1249387366082999</v>
      </c>
      <c r="B541">
        <v>0</v>
      </c>
    </row>
    <row r="542" spans="1:2" x14ac:dyDescent="0.3">
      <c r="A542">
        <v>4.6197887582883936</v>
      </c>
      <c r="B542">
        <v>0</v>
      </c>
    </row>
    <row r="543" spans="1:2" x14ac:dyDescent="0.3">
      <c r="A543">
        <v>5.9999999999999991</v>
      </c>
      <c r="B543">
        <v>0</v>
      </c>
    </row>
    <row r="544" spans="1:2" x14ac:dyDescent="0.3">
      <c r="A544">
        <v>7.6197887582883927</v>
      </c>
      <c r="B544">
        <v>1</v>
      </c>
    </row>
    <row r="545" spans="1:2" x14ac:dyDescent="0.3">
      <c r="A545">
        <v>6.4948500216800928</v>
      </c>
      <c r="B545">
        <v>0</v>
      </c>
    </row>
    <row r="546" spans="1:2" x14ac:dyDescent="0.3">
      <c r="A546">
        <v>7.3372421683184257</v>
      </c>
      <c r="B546">
        <v>1</v>
      </c>
    </row>
    <row r="547" spans="1:2" x14ac:dyDescent="0.3">
      <c r="A547">
        <v>8</v>
      </c>
      <c r="B547">
        <v>1</v>
      </c>
    </row>
    <row r="548" spans="1:2" x14ac:dyDescent="0.3">
      <c r="A548">
        <v>8</v>
      </c>
      <c r="B548">
        <v>1</v>
      </c>
    </row>
    <row r="549" spans="1:2" x14ac:dyDescent="0.3">
      <c r="A549">
        <v>2.9999999999999996</v>
      </c>
      <c r="B549">
        <v>0</v>
      </c>
    </row>
    <row r="550" spans="1:2" x14ac:dyDescent="0.3">
      <c r="A550">
        <v>9.27572413039921</v>
      </c>
      <c r="B550">
        <v>1</v>
      </c>
    </row>
    <row r="551" spans="1:2" x14ac:dyDescent="0.3">
      <c r="A551">
        <v>7.0315170514460634</v>
      </c>
      <c r="B551">
        <v>1</v>
      </c>
    </row>
    <row r="552" spans="1:2" x14ac:dyDescent="0.3">
      <c r="A552">
        <v>4.6020599913279616</v>
      </c>
      <c r="B552">
        <v>0</v>
      </c>
    </row>
    <row r="553" spans="1:2" x14ac:dyDescent="0.3">
      <c r="A553">
        <v>4.6777807052660805</v>
      </c>
      <c r="B553">
        <v>0</v>
      </c>
    </row>
    <row r="554" spans="1:2" x14ac:dyDescent="0.3">
      <c r="A554">
        <v>6.0506099933550868</v>
      </c>
      <c r="B554">
        <v>0</v>
      </c>
    </row>
    <row r="555" spans="1:2" x14ac:dyDescent="0.3">
      <c r="A555">
        <v>5</v>
      </c>
      <c r="B555">
        <v>0</v>
      </c>
    </row>
    <row r="556" spans="1:2" x14ac:dyDescent="0.3">
      <c r="A556">
        <v>5.197226274708024</v>
      </c>
      <c r="B556">
        <v>0</v>
      </c>
    </row>
    <row r="557" spans="1:2" x14ac:dyDescent="0.3">
      <c r="A557">
        <v>6.7586207907838141</v>
      </c>
      <c r="B557">
        <v>0</v>
      </c>
    </row>
    <row r="558" spans="1:2" x14ac:dyDescent="0.3">
      <c r="A558">
        <v>6.8538719643217609</v>
      </c>
      <c r="B558">
        <v>0</v>
      </c>
    </row>
    <row r="559" spans="1:2" x14ac:dyDescent="0.3">
      <c r="A559">
        <v>8.7166987712964499</v>
      </c>
      <c r="B559">
        <v>1</v>
      </c>
    </row>
    <row r="560" spans="1:2" x14ac:dyDescent="0.3">
      <c r="A560">
        <v>5.1023729087095582</v>
      </c>
      <c r="B560">
        <v>0</v>
      </c>
    </row>
    <row r="561" spans="1:2" x14ac:dyDescent="0.3">
      <c r="A561">
        <v>5.5686362358410122</v>
      </c>
      <c r="B561">
        <v>0</v>
      </c>
    </row>
    <row r="562" spans="1:2" x14ac:dyDescent="0.3">
      <c r="A562">
        <v>6.3010299956639804</v>
      </c>
      <c r="B562">
        <v>0</v>
      </c>
    </row>
    <row r="563" spans="1:2" x14ac:dyDescent="0.3">
      <c r="A563">
        <v>7.7212463990471711</v>
      </c>
      <c r="B563">
        <v>1</v>
      </c>
    </row>
    <row r="564" spans="1:2" x14ac:dyDescent="0.3">
      <c r="A564">
        <v>8</v>
      </c>
      <c r="B564">
        <v>1</v>
      </c>
    </row>
    <row r="565" spans="1:2" x14ac:dyDescent="0.3">
      <c r="A565">
        <v>6.3979400086720375</v>
      </c>
      <c r="B565">
        <v>0</v>
      </c>
    </row>
    <row r="566" spans="1:2" x14ac:dyDescent="0.3">
      <c r="A566">
        <v>3.4089353929735</v>
      </c>
      <c r="B566">
        <v>0</v>
      </c>
    </row>
    <row r="567" spans="1:2" x14ac:dyDescent="0.3">
      <c r="A567">
        <v>5.9999999999999991</v>
      </c>
      <c r="B567">
        <v>0</v>
      </c>
    </row>
    <row r="568" spans="1:2" x14ac:dyDescent="0.3">
      <c r="A568">
        <v>8.3187587626244106</v>
      </c>
      <c r="B568">
        <v>1</v>
      </c>
    </row>
    <row r="569" spans="1:2" x14ac:dyDescent="0.3">
      <c r="A569">
        <v>5.1549019599857422</v>
      </c>
      <c r="B569">
        <v>0</v>
      </c>
    </row>
    <row r="570" spans="1:2" x14ac:dyDescent="0.3">
      <c r="A570">
        <v>6.9586073148417746</v>
      </c>
      <c r="B570">
        <v>0</v>
      </c>
    </row>
    <row r="571" spans="1:2" x14ac:dyDescent="0.3">
      <c r="A571">
        <v>4.3010299956639804</v>
      </c>
      <c r="B571">
        <v>0</v>
      </c>
    </row>
    <row r="572" spans="1:2" x14ac:dyDescent="0.3">
      <c r="A572">
        <v>5.2020403562628035</v>
      </c>
      <c r="B572">
        <v>0</v>
      </c>
    </row>
    <row r="573" spans="1:2" x14ac:dyDescent="0.3">
      <c r="A573">
        <v>5.920818753952374</v>
      </c>
      <c r="B573">
        <v>0</v>
      </c>
    </row>
    <row r="574" spans="1:2" x14ac:dyDescent="0.3">
      <c r="A574">
        <v>5.7212463990471711</v>
      </c>
      <c r="B574">
        <v>0</v>
      </c>
    </row>
    <row r="575" spans="1:2" x14ac:dyDescent="0.3">
      <c r="A575">
        <v>5.5376020021010435</v>
      </c>
      <c r="B575">
        <v>0</v>
      </c>
    </row>
    <row r="576" spans="1:2" x14ac:dyDescent="0.3">
      <c r="A576">
        <v>6.2218487496163553</v>
      </c>
      <c r="B576">
        <v>0</v>
      </c>
    </row>
    <row r="577" spans="1:2" x14ac:dyDescent="0.3">
      <c r="A577">
        <v>5.795880017344075</v>
      </c>
      <c r="B577">
        <v>0</v>
      </c>
    </row>
    <row r="578" spans="1:2" x14ac:dyDescent="0.3">
      <c r="A578">
        <v>6.5228787452803365</v>
      </c>
      <c r="B578">
        <v>0</v>
      </c>
    </row>
    <row r="579" spans="1:2" x14ac:dyDescent="0.3">
      <c r="A579">
        <v>5.6382721639824069</v>
      </c>
      <c r="B579">
        <v>0</v>
      </c>
    </row>
    <row r="580" spans="1:2" x14ac:dyDescent="0.3">
      <c r="A580">
        <v>4.5686362358410122</v>
      </c>
      <c r="B580">
        <v>0</v>
      </c>
    </row>
    <row r="581" spans="1:2" x14ac:dyDescent="0.3">
      <c r="A581">
        <v>5.1739251972991731</v>
      </c>
      <c r="B581">
        <v>0</v>
      </c>
    </row>
    <row r="582" spans="1:2" x14ac:dyDescent="0.3">
      <c r="A582">
        <v>4.3010299956639804</v>
      </c>
      <c r="B582">
        <v>0</v>
      </c>
    </row>
    <row r="583" spans="1:2" x14ac:dyDescent="0.3">
      <c r="A583">
        <v>5.009661145212398</v>
      </c>
      <c r="B583">
        <v>0</v>
      </c>
    </row>
    <row r="584" spans="1:2" x14ac:dyDescent="0.3">
      <c r="A584">
        <v>5.9586073148417746</v>
      </c>
      <c r="B584">
        <v>0</v>
      </c>
    </row>
    <row r="585" spans="1:2" x14ac:dyDescent="0.3">
      <c r="A585">
        <v>7</v>
      </c>
      <c r="B585">
        <v>1</v>
      </c>
    </row>
    <row r="586" spans="1:2" x14ac:dyDescent="0.3">
      <c r="A586">
        <v>4.7878123955960419</v>
      </c>
      <c r="B586">
        <v>0</v>
      </c>
    </row>
    <row r="587" spans="1:2" x14ac:dyDescent="0.3">
      <c r="A587">
        <v>5.0705810742857071</v>
      </c>
      <c r="B587">
        <v>0</v>
      </c>
    </row>
    <row r="588" spans="1:2" x14ac:dyDescent="0.3">
      <c r="A588">
        <v>5.7637147225519705</v>
      </c>
      <c r="B588">
        <v>0</v>
      </c>
    </row>
    <row r="589" spans="1:2" x14ac:dyDescent="0.3">
      <c r="A589">
        <v>5.4948500216800937</v>
      </c>
      <c r="B589">
        <v>0</v>
      </c>
    </row>
    <row r="590" spans="1:2" x14ac:dyDescent="0.3">
      <c r="A590">
        <v>5.1191864077192086</v>
      </c>
      <c r="B590">
        <v>0</v>
      </c>
    </row>
    <row r="591" spans="1:2" x14ac:dyDescent="0.3">
      <c r="A591">
        <v>5.5376020021010435</v>
      </c>
      <c r="B591">
        <v>0</v>
      </c>
    </row>
    <row r="592" spans="1:2" x14ac:dyDescent="0.3">
      <c r="A592">
        <v>6.0457574905606748</v>
      </c>
      <c r="B592">
        <v>0</v>
      </c>
    </row>
    <row r="593" spans="1:2" x14ac:dyDescent="0.3">
      <c r="A593">
        <v>5.4948500216800937</v>
      </c>
      <c r="B593">
        <v>0</v>
      </c>
    </row>
    <row r="594" spans="1:2" x14ac:dyDescent="0.3">
      <c r="A594">
        <v>4.3010299956639804</v>
      </c>
      <c r="B594">
        <v>0</v>
      </c>
    </row>
    <row r="595" spans="1:2" x14ac:dyDescent="0.3">
      <c r="A595">
        <v>6.3979400086720375</v>
      </c>
      <c r="B595">
        <v>0</v>
      </c>
    </row>
    <row r="596" spans="1:2" x14ac:dyDescent="0.3">
      <c r="A596">
        <v>5.6575773191777934</v>
      </c>
      <c r="B596">
        <v>0</v>
      </c>
    </row>
    <row r="597" spans="1:2" x14ac:dyDescent="0.3">
      <c r="A597">
        <v>7.9586073148417746</v>
      </c>
      <c r="B597">
        <v>1</v>
      </c>
    </row>
    <row r="598" spans="1:2" x14ac:dyDescent="0.3">
      <c r="A598">
        <v>5.9065783148377644</v>
      </c>
      <c r="B598">
        <v>0</v>
      </c>
    </row>
    <row r="599" spans="1:2" x14ac:dyDescent="0.3">
      <c r="A599">
        <v>5.6989700043360179</v>
      </c>
      <c r="B599">
        <v>0</v>
      </c>
    </row>
    <row r="600" spans="1:2" x14ac:dyDescent="0.3">
      <c r="A600">
        <v>5.920818753952374</v>
      </c>
      <c r="B600">
        <v>0</v>
      </c>
    </row>
    <row r="601" spans="1:2" x14ac:dyDescent="0.3">
      <c r="A601">
        <v>5.9999999999999991</v>
      </c>
      <c r="B601">
        <v>0</v>
      </c>
    </row>
    <row r="602" spans="1:2" x14ac:dyDescent="0.3">
      <c r="A602">
        <v>4.9208187539523749</v>
      </c>
      <c r="B602">
        <v>0</v>
      </c>
    </row>
    <row r="603" spans="1:2" x14ac:dyDescent="0.3">
      <c r="A603">
        <v>5.6777807052660796</v>
      </c>
      <c r="B603">
        <v>0</v>
      </c>
    </row>
    <row r="604" spans="1:2" x14ac:dyDescent="0.3">
      <c r="A604">
        <v>5.1487416512809245</v>
      </c>
      <c r="B604">
        <v>0</v>
      </c>
    </row>
    <row r="605" spans="1:2" x14ac:dyDescent="0.3">
      <c r="A605">
        <v>5.6575773191777934</v>
      </c>
      <c r="B605">
        <v>0</v>
      </c>
    </row>
    <row r="606" spans="1:2" x14ac:dyDescent="0.3">
      <c r="A606">
        <v>3.9999999999999991</v>
      </c>
      <c r="B606">
        <v>0</v>
      </c>
    </row>
    <row r="607" spans="1:2" x14ac:dyDescent="0.3">
      <c r="A607">
        <v>3.4948500216800937</v>
      </c>
      <c r="B607">
        <v>0</v>
      </c>
    </row>
    <row r="608" spans="1:2" x14ac:dyDescent="0.3">
      <c r="A608">
        <v>5.9393021596463882</v>
      </c>
      <c r="B608">
        <v>0</v>
      </c>
    </row>
    <row r="609" spans="1:2" x14ac:dyDescent="0.3">
      <c r="A609">
        <v>7.9586073148417746</v>
      </c>
      <c r="B609">
        <v>1</v>
      </c>
    </row>
    <row r="610" spans="1:2" x14ac:dyDescent="0.3">
      <c r="A610">
        <v>8</v>
      </c>
      <c r="B610">
        <v>1</v>
      </c>
    </row>
    <row r="611" spans="1:2" x14ac:dyDescent="0.3">
      <c r="A611">
        <v>8</v>
      </c>
      <c r="B611">
        <v>1</v>
      </c>
    </row>
    <row r="612" spans="1:2" x14ac:dyDescent="0.3">
      <c r="A612">
        <v>8.9586073148417729</v>
      </c>
      <c r="B612">
        <v>1</v>
      </c>
    </row>
    <row r="613" spans="1:2" x14ac:dyDescent="0.3">
      <c r="A613">
        <v>8.123205023799299</v>
      </c>
      <c r="B613">
        <v>1</v>
      </c>
    </row>
    <row r="614" spans="1:2" x14ac:dyDescent="0.3">
      <c r="A614">
        <v>6.3010299956639804</v>
      </c>
      <c r="B614">
        <v>0</v>
      </c>
    </row>
    <row r="615" spans="1:2" x14ac:dyDescent="0.3">
      <c r="A615">
        <v>5.8538719643217618</v>
      </c>
      <c r="B615">
        <v>0</v>
      </c>
    </row>
    <row r="616" spans="1:2" x14ac:dyDescent="0.3">
      <c r="A616">
        <v>5.3098039199714862</v>
      </c>
      <c r="B616">
        <v>0</v>
      </c>
    </row>
    <row r="617" spans="1:2" x14ac:dyDescent="0.3">
      <c r="A617">
        <v>5.6989700043360179</v>
      </c>
      <c r="B617">
        <v>0</v>
      </c>
    </row>
    <row r="618" spans="1:2" x14ac:dyDescent="0.3">
      <c r="A618">
        <v>5.481486060122112</v>
      </c>
      <c r="B618">
        <v>0</v>
      </c>
    </row>
    <row r="619" spans="1:2" x14ac:dyDescent="0.3">
      <c r="A619">
        <v>4.6345120151090997</v>
      </c>
      <c r="B619">
        <v>0</v>
      </c>
    </row>
    <row r="620" spans="1:2" x14ac:dyDescent="0.3">
      <c r="A620">
        <v>5.3098039199714862</v>
      </c>
      <c r="B620">
        <v>0</v>
      </c>
    </row>
    <row r="621" spans="1:2" x14ac:dyDescent="0.3">
      <c r="A621">
        <v>5.8538719643217618</v>
      </c>
      <c r="B621">
        <v>0</v>
      </c>
    </row>
    <row r="622" spans="1:2" x14ac:dyDescent="0.3">
      <c r="A622">
        <v>4.7695510786217259</v>
      </c>
      <c r="B622">
        <v>0</v>
      </c>
    </row>
    <row r="623" spans="1:2" x14ac:dyDescent="0.3">
      <c r="A623">
        <v>6.2218487496163553</v>
      </c>
      <c r="B623">
        <v>0</v>
      </c>
    </row>
    <row r="624" spans="1:2" x14ac:dyDescent="0.3">
      <c r="A624">
        <v>5.3010299956639813</v>
      </c>
      <c r="B624">
        <v>0</v>
      </c>
    </row>
    <row r="625" spans="1:2" x14ac:dyDescent="0.3">
      <c r="A625">
        <v>5.5686362358410122</v>
      </c>
      <c r="B625">
        <v>0</v>
      </c>
    </row>
    <row r="626" spans="1:2" x14ac:dyDescent="0.3">
      <c r="A626">
        <v>5.8239087409443187</v>
      </c>
      <c r="B626">
        <v>0</v>
      </c>
    </row>
    <row r="627" spans="1:2" x14ac:dyDescent="0.3">
      <c r="A627">
        <v>7.3187587626244124</v>
      </c>
      <c r="B627">
        <v>1</v>
      </c>
    </row>
    <row r="628" spans="1:2" x14ac:dyDescent="0.3">
      <c r="A628">
        <v>5.920818753952374</v>
      </c>
      <c r="B628">
        <v>0</v>
      </c>
    </row>
    <row r="629" spans="1:2" x14ac:dyDescent="0.3">
      <c r="A629">
        <v>5.5850266520291809</v>
      </c>
      <c r="B629">
        <v>0</v>
      </c>
    </row>
    <row r="630" spans="1:2" x14ac:dyDescent="0.3">
      <c r="A630">
        <v>5.3665315444204129</v>
      </c>
      <c r="B630">
        <v>0</v>
      </c>
    </row>
    <row r="631" spans="1:2" x14ac:dyDescent="0.3">
      <c r="A631">
        <v>7.5086383061657269</v>
      </c>
      <c r="B631">
        <v>1</v>
      </c>
    </row>
    <row r="632" spans="1:2" x14ac:dyDescent="0.3">
      <c r="A632">
        <v>7.0315170514460634</v>
      </c>
      <c r="B632">
        <v>1</v>
      </c>
    </row>
    <row r="633" spans="1:2" x14ac:dyDescent="0.3">
      <c r="A633">
        <v>5.5199930570428482</v>
      </c>
      <c r="B633">
        <v>0</v>
      </c>
    </row>
    <row r="634" spans="1:2" x14ac:dyDescent="0.3">
      <c r="A634">
        <v>6.2518119729937984</v>
      </c>
      <c r="B634">
        <v>0</v>
      </c>
    </row>
    <row r="635" spans="1:2" x14ac:dyDescent="0.3">
      <c r="A635">
        <v>5.2757241303992108</v>
      </c>
      <c r="B635">
        <v>0</v>
      </c>
    </row>
    <row r="636" spans="1:2" x14ac:dyDescent="0.3">
      <c r="A636">
        <v>5.4559319556497234</v>
      </c>
      <c r="B636">
        <v>0</v>
      </c>
    </row>
    <row r="637" spans="1:2" x14ac:dyDescent="0.3">
      <c r="A637">
        <v>4.6108339156354665</v>
      </c>
      <c r="B637">
        <v>0</v>
      </c>
    </row>
    <row r="638" spans="1:2" x14ac:dyDescent="0.3">
      <c r="A638">
        <v>7.5850266520291818</v>
      </c>
      <c r="B638">
        <v>1</v>
      </c>
    </row>
    <row r="639" spans="1:2" x14ac:dyDescent="0.3">
      <c r="A639">
        <v>6.9586073148417746</v>
      </c>
      <c r="B639">
        <v>0</v>
      </c>
    </row>
    <row r="640" spans="1:2" x14ac:dyDescent="0.3">
      <c r="A640">
        <v>7.0506099933550868</v>
      </c>
      <c r="B640">
        <v>1</v>
      </c>
    </row>
    <row r="641" spans="1:2" x14ac:dyDescent="0.3">
      <c r="A641">
        <v>7.7958800173440741</v>
      </c>
      <c r="B641">
        <v>1</v>
      </c>
    </row>
    <row r="642" spans="1:2" x14ac:dyDescent="0.3">
      <c r="A642">
        <v>8</v>
      </c>
      <c r="B642">
        <v>1</v>
      </c>
    </row>
    <row r="643" spans="1:2" x14ac:dyDescent="0.3">
      <c r="A643">
        <v>6.8239087409443178</v>
      </c>
      <c r="B643">
        <v>0</v>
      </c>
    </row>
    <row r="644" spans="1:2" x14ac:dyDescent="0.3">
      <c r="A644">
        <v>5</v>
      </c>
      <c r="B644">
        <v>0</v>
      </c>
    </row>
    <row r="645" spans="1:2" x14ac:dyDescent="0.3">
      <c r="A645">
        <v>4.9208187539523749</v>
      </c>
      <c r="B645">
        <v>0</v>
      </c>
    </row>
    <row r="646" spans="1:2" x14ac:dyDescent="0.3">
      <c r="A646">
        <v>3.2839966563652006</v>
      </c>
      <c r="B646">
        <v>0</v>
      </c>
    </row>
    <row r="647" spans="1:2" x14ac:dyDescent="0.3">
      <c r="A647">
        <v>5.7011469235902927</v>
      </c>
      <c r="B647">
        <v>0</v>
      </c>
    </row>
    <row r="648" spans="1:2" x14ac:dyDescent="0.3">
      <c r="A648">
        <v>5.1999706407558648</v>
      </c>
      <c r="B648">
        <v>0</v>
      </c>
    </row>
    <row r="649" spans="1:2" x14ac:dyDescent="0.3">
      <c r="A649">
        <v>6.5228787452803365</v>
      </c>
      <c r="B649">
        <v>0</v>
      </c>
    </row>
    <row r="650" spans="1:2" x14ac:dyDescent="0.3">
      <c r="A650">
        <v>5.5686362358410122</v>
      </c>
      <c r="B650">
        <v>0</v>
      </c>
    </row>
    <row r="651" spans="1:2" x14ac:dyDescent="0.3">
      <c r="A651">
        <v>6.3010299956639804</v>
      </c>
      <c r="B651">
        <v>0</v>
      </c>
    </row>
    <row r="652" spans="1:2" x14ac:dyDescent="0.3">
      <c r="A652">
        <v>5.4089353929735005</v>
      </c>
      <c r="B652">
        <v>0</v>
      </c>
    </row>
    <row r="653" spans="1:2" x14ac:dyDescent="0.3">
      <c r="A653">
        <v>6.0177287669604311</v>
      </c>
      <c r="B653">
        <v>0</v>
      </c>
    </row>
    <row r="654" spans="1:2" x14ac:dyDescent="0.3">
      <c r="A654">
        <v>7.8860566476931622</v>
      </c>
      <c r="B654">
        <v>1</v>
      </c>
    </row>
    <row r="655" spans="1:2" x14ac:dyDescent="0.3">
      <c r="A655">
        <v>8</v>
      </c>
      <c r="B655">
        <v>1</v>
      </c>
    </row>
    <row r="656" spans="1:2" x14ac:dyDescent="0.3">
      <c r="A656">
        <v>8.1372724716820244</v>
      </c>
      <c r="B656">
        <v>1</v>
      </c>
    </row>
    <row r="657" spans="1:2" x14ac:dyDescent="0.3">
      <c r="A657">
        <v>9.5376020021010426</v>
      </c>
      <c r="B657">
        <v>1</v>
      </c>
    </row>
    <row r="658" spans="1:2" x14ac:dyDescent="0.3">
      <c r="A658">
        <v>6.0809219076239254</v>
      </c>
      <c r="B658">
        <v>0</v>
      </c>
    </row>
    <row r="659" spans="1:2" x14ac:dyDescent="0.3">
      <c r="A659">
        <v>5.5850266520291809</v>
      </c>
      <c r="B659">
        <v>0</v>
      </c>
    </row>
    <row r="660" spans="1:2" x14ac:dyDescent="0.3">
      <c r="A660">
        <v>5.920818753952374</v>
      </c>
      <c r="B660">
        <v>0</v>
      </c>
    </row>
    <row r="661" spans="1:2" x14ac:dyDescent="0.3">
      <c r="A661">
        <v>6.6989700043360187</v>
      </c>
      <c r="B661">
        <v>0</v>
      </c>
    </row>
    <row r="662" spans="1:2" x14ac:dyDescent="0.3">
      <c r="A662">
        <v>4.0809219076239254</v>
      </c>
      <c r="B662">
        <v>0</v>
      </c>
    </row>
    <row r="663" spans="1:2" x14ac:dyDescent="0.3">
      <c r="A663">
        <v>5.0693008674469526</v>
      </c>
      <c r="B663">
        <v>0</v>
      </c>
    </row>
    <row r="664" spans="1:2" x14ac:dyDescent="0.3">
      <c r="A664">
        <v>6.3857764516890096</v>
      </c>
      <c r="B664">
        <v>0</v>
      </c>
    </row>
    <row r="665" spans="1:2" x14ac:dyDescent="0.3">
      <c r="A665">
        <v>6.9208187539523749</v>
      </c>
      <c r="B665">
        <v>0</v>
      </c>
    </row>
    <row r="666" spans="1:2" x14ac:dyDescent="0.3">
      <c r="A666">
        <v>7.0506099933550868</v>
      </c>
      <c r="B666">
        <v>1</v>
      </c>
    </row>
    <row r="667" spans="1:2" x14ac:dyDescent="0.3">
      <c r="A667">
        <v>4.3555614105321609</v>
      </c>
      <c r="B667">
        <v>0</v>
      </c>
    </row>
    <row r="668" spans="1:2" x14ac:dyDescent="0.3">
      <c r="A668">
        <v>5.5361070110140922</v>
      </c>
      <c r="B668">
        <v>0</v>
      </c>
    </row>
    <row r="669" spans="1:2" x14ac:dyDescent="0.3">
      <c r="A669">
        <v>4.4436974992327123</v>
      </c>
      <c r="B669">
        <v>0</v>
      </c>
    </row>
    <row r="670" spans="1:2" x14ac:dyDescent="0.3">
      <c r="A670">
        <v>5.795880017344075</v>
      </c>
      <c r="B670">
        <v>0</v>
      </c>
    </row>
    <row r="671" spans="1:2" x14ac:dyDescent="0.3">
      <c r="A671">
        <v>6.8823641826105053</v>
      </c>
      <c r="B671">
        <v>0</v>
      </c>
    </row>
    <row r="672" spans="1:2" x14ac:dyDescent="0.3">
      <c r="A672">
        <v>8.5751183633689312</v>
      </c>
      <c r="B672">
        <v>1</v>
      </c>
    </row>
    <row r="673" spans="1:2" x14ac:dyDescent="0.3">
      <c r="A673">
        <v>8.6675615400843942</v>
      </c>
      <c r="B673">
        <v>1</v>
      </c>
    </row>
    <row r="674" spans="1:2" x14ac:dyDescent="0.3">
      <c r="A674">
        <v>8.8827287043442347</v>
      </c>
      <c r="B674">
        <v>1</v>
      </c>
    </row>
    <row r="675" spans="1:2" x14ac:dyDescent="0.3">
      <c r="A675">
        <v>7.2218487496163553</v>
      </c>
      <c r="B675">
        <v>1</v>
      </c>
    </row>
    <row r="676" spans="1:2" x14ac:dyDescent="0.3">
      <c r="A676">
        <v>7.5228787452803374</v>
      </c>
      <c r="B676">
        <v>1</v>
      </c>
    </row>
    <row r="677" spans="1:2" x14ac:dyDescent="0.3">
      <c r="A677">
        <v>6.8860566476931631</v>
      </c>
      <c r="B677">
        <v>0</v>
      </c>
    </row>
    <row r="678" spans="1:2" x14ac:dyDescent="0.3">
      <c r="A678">
        <v>5.2839966563651997</v>
      </c>
      <c r="B678">
        <v>0</v>
      </c>
    </row>
    <row r="679" spans="1:2" x14ac:dyDescent="0.3">
      <c r="A679">
        <v>4.8927900303521312</v>
      </c>
      <c r="B679">
        <v>0</v>
      </c>
    </row>
    <row r="680" spans="1:2" x14ac:dyDescent="0.3">
      <c r="A680">
        <v>5.1897674820049158</v>
      </c>
      <c r="B680">
        <v>0</v>
      </c>
    </row>
    <row r="681" spans="1:2" x14ac:dyDescent="0.3">
      <c r="A681">
        <v>5.2321023839819087</v>
      </c>
      <c r="B681">
        <v>0</v>
      </c>
    </row>
    <row r="682" spans="1:2" x14ac:dyDescent="0.3">
      <c r="A682">
        <v>8</v>
      </c>
      <c r="B682">
        <v>1</v>
      </c>
    </row>
    <row r="683" spans="1:2" x14ac:dyDescent="0.3">
      <c r="A683">
        <v>5.3010299956639813</v>
      </c>
      <c r="B683">
        <v>0</v>
      </c>
    </row>
    <row r="684" spans="1:2" x14ac:dyDescent="0.3">
      <c r="A684">
        <v>4.4649750269490651</v>
      </c>
      <c r="B684">
        <v>0</v>
      </c>
    </row>
    <row r="685" spans="1:2" x14ac:dyDescent="0.3">
      <c r="A685">
        <v>3.7447274948966935</v>
      </c>
      <c r="B685">
        <v>0</v>
      </c>
    </row>
    <row r="686" spans="1:2" x14ac:dyDescent="0.3">
      <c r="A686">
        <v>4.2218487496163561</v>
      </c>
      <c r="B686">
        <v>0</v>
      </c>
    </row>
    <row r="687" spans="1:2" x14ac:dyDescent="0.3">
      <c r="A687">
        <v>4.9208187539523749</v>
      </c>
      <c r="B687">
        <v>0</v>
      </c>
    </row>
    <row r="688" spans="1:2" x14ac:dyDescent="0.3">
      <c r="A688">
        <v>4.3010299956639804</v>
      </c>
      <c r="B688">
        <v>0</v>
      </c>
    </row>
    <row r="689" spans="1:2" x14ac:dyDescent="0.3">
      <c r="A689">
        <v>5.0177287669604302</v>
      </c>
      <c r="B689">
        <v>0</v>
      </c>
    </row>
    <row r="690" spans="1:2" x14ac:dyDescent="0.3">
      <c r="A690">
        <v>8.3089185078770313</v>
      </c>
      <c r="B690">
        <v>1</v>
      </c>
    </row>
    <row r="691" spans="1:2" x14ac:dyDescent="0.3">
      <c r="A691">
        <v>6.6575773191777934</v>
      </c>
      <c r="B691">
        <v>0</v>
      </c>
    </row>
    <row r="692" spans="1:2" x14ac:dyDescent="0.3">
      <c r="A692">
        <v>8.6798537138889458</v>
      </c>
      <c r="B692">
        <v>1</v>
      </c>
    </row>
    <row r="693" spans="1:2" x14ac:dyDescent="0.3">
      <c r="A693">
        <v>4.346787486224656</v>
      </c>
      <c r="B693">
        <v>0</v>
      </c>
    </row>
    <row r="694" spans="1:2" x14ac:dyDescent="0.3">
      <c r="A694">
        <v>4.7469867255121576</v>
      </c>
      <c r="B694">
        <v>0</v>
      </c>
    </row>
    <row r="695" spans="1:2" x14ac:dyDescent="0.3">
      <c r="A695">
        <v>7.431798275933005</v>
      </c>
      <c r="B695">
        <v>1</v>
      </c>
    </row>
    <row r="696" spans="1:2" x14ac:dyDescent="0.3">
      <c r="A696">
        <v>4.7695510786217259</v>
      </c>
      <c r="B696">
        <v>0</v>
      </c>
    </row>
    <row r="697" spans="1:2" x14ac:dyDescent="0.3">
      <c r="A697">
        <v>4.4089353929735005</v>
      </c>
      <c r="B697">
        <v>0</v>
      </c>
    </row>
    <row r="698" spans="1:2" x14ac:dyDescent="0.3">
      <c r="A698">
        <v>3.9999999999999991</v>
      </c>
      <c r="B698">
        <v>0</v>
      </c>
    </row>
    <row r="699" spans="1:2" x14ac:dyDescent="0.3">
      <c r="A699">
        <v>4.1191864077192077</v>
      </c>
      <c r="B699">
        <v>0</v>
      </c>
    </row>
    <row r="700" spans="1:2" x14ac:dyDescent="0.3">
      <c r="A700">
        <v>3.9999999999999991</v>
      </c>
      <c r="B700">
        <v>0</v>
      </c>
    </row>
    <row r="701" spans="1:2" x14ac:dyDescent="0.3">
      <c r="A701">
        <v>3.7447274948966935</v>
      </c>
      <c r="B701">
        <v>0</v>
      </c>
    </row>
    <row r="702" spans="1:2" x14ac:dyDescent="0.3">
      <c r="A702">
        <v>4.8860566476931631</v>
      </c>
      <c r="B702">
        <v>0</v>
      </c>
    </row>
    <row r="703" spans="1:2" x14ac:dyDescent="0.3">
      <c r="A703">
        <v>5.8961962790440428</v>
      </c>
      <c r="B703">
        <v>0</v>
      </c>
    </row>
    <row r="704" spans="1:2" x14ac:dyDescent="0.3">
      <c r="A704">
        <v>8</v>
      </c>
      <c r="B704">
        <v>1</v>
      </c>
    </row>
    <row r="705" spans="1:2" x14ac:dyDescent="0.3">
      <c r="A705">
        <v>7.769551078621725</v>
      </c>
      <c r="B705">
        <v>1</v>
      </c>
    </row>
    <row r="706" spans="1:2" x14ac:dyDescent="0.3">
      <c r="A706">
        <v>9.2441251443275068</v>
      </c>
      <c r="B706">
        <v>1</v>
      </c>
    </row>
    <row r="707" spans="1:2" x14ac:dyDescent="0.3">
      <c r="A707">
        <v>8</v>
      </c>
      <c r="B707">
        <v>1</v>
      </c>
    </row>
    <row r="708" spans="1:2" x14ac:dyDescent="0.3">
      <c r="A708">
        <v>5.242831807785727</v>
      </c>
      <c r="B708">
        <v>0</v>
      </c>
    </row>
    <row r="709" spans="1:2" x14ac:dyDescent="0.3">
      <c r="A709">
        <v>9.5850266520291818</v>
      </c>
      <c r="B709">
        <v>1</v>
      </c>
    </row>
    <row r="710" spans="1:2" x14ac:dyDescent="0.3">
      <c r="A710">
        <v>4.9833862387403594</v>
      </c>
      <c r="B710">
        <v>0</v>
      </c>
    </row>
    <row r="711" spans="1:2" x14ac:dyDescent="0.3">
      <c r="A711">
        <v>6.9788107009300617</v>
      </c>
      <c r="B711">
        <v>0</v>
      </c>
    </row>
    <row r="712" spans="1:2" x14ac:dyDescent="0.3">
      <c r="A712">
        <v>3.6989700043360187</v>
      </c>
      <c r="B712">
        <v>0</v>
      </c>
    </row>
    <row r="713" spans="1:2" x14ac:dyDescent="0.3">
      <c r="A713">
        <v>7.5228787452803374</v>
      </c>
      <c r="B713">
        <v>1</v>
      </c>
    </row>
    <row r="714" spans="1:2" x14ac:dyDescent="0.3">
      <c r="A714">
        <v>3.6989700043360187</v>
      </c>
      <c r="B714">
        <v>0</v>
      </c>
    </row>
    <row r="715" spans="1:2" x14ac:dyDescent="0.3">
      <c r="A715">
        <v>4.2518119729937984</v>
      </c>
      <c r="B715">
        <v>0</v>
      </c>
    </row>
    <row r="716" spans="1:2" x14ac:dyDescent="0.3">
      <c r="A716">
        <v>8</v>
      </c>
      <c r="B716">
        <v>1</v>
      </c>
    </row>
    <row r="717" spans="1:2" x14ac:dyDescent="0.3">
      <c r="A717">
        <v>6.1549019599857431</v>
      </c>
      <c r="B717">
        <v>0</v>
      </c>
    </row>
    <row r="718" spans="1:2" x14ac:dyDescent="0.3">
      <c r="A718">
        <v>6.3010299956639804</v>
      </c>
      <c r="B718">
        <v>0</v>
      </c>
    </row>
    <row r="719" spans="1:2" x14ac:dyDescent="0.3">
      <c r="A719">
        <v>6.0457574905606748</v>
      </c>
      <c r="B719">
        <v>0</v>
      </c>
    </row>
    <row r="720" spans="1:2" x14ac:dyDescent="0.3">
      <c r="A720">
        <v>5.920818753952374</v>
      </c>
      <c r="B720">
        <v>0</v>
      </c>
    </row>
    <row r="721" spans="1:2" x14ac:dyDescent="0.3">
      <c r="A721">
        <v>6.3979400086720375</v>
      </c>
      <c r="B721">
        <v>0</v>
      </c>
    </row>
    <row r="722" spans="1:2" x14ac:dyDescent="0.3">
      <c r="A722">
        <v>5.5228787452803374</v>
      </c>
      <c r="B722">
        <v>0</v>
      </c>
    </row>
    <row r="723" spans="1:2" x14ac:dyDescent="0.3">
      <c r="A723">
        <v>5.2839966563651997</v>
      </c>
      <c r="B723">
        <v>0</v>
      </c>
    </row>
    <row r="724" spans="1:2" x14ac:dyDescent="0.3">
      <c r="A724">
        <v>5.9586073148417746</v>
      </c>
      <c r="B724">
        <v>0</v>
      </c>
    </row>
    <row r="725" spans="1:2" x14ac:dyDescent="0.3">
      <c r="A725">
        <v>6.4559319556497243</v>
      </c>
      <c r="B725">
        <v>0</v>
      </c>
    </row>
    <row r="726" spans="1:2" x14ac:dyDescent="0.3">
      <c r="A726">
        <v>5.0109720122392867</v>
      </c>
      <c r="B726">
        <v>0</v>
      </c>
    </row>
    <row r="727" spans="1:2" x14ac:dyDescent="0.3">
      <c r="A727">
        <v>6.3701957581722564</v>
      </c>
      <c r="B727">
        <v>0</v>
      </c>
    </row>
    <row r="728" spans="1:2" x14ac:dyDescent="0.3">
      <c r="A728">
        <v>4.2076083105017457</v>
      </c>
      <c r="B728">
        <v>0</v>
      </c>
    </row>
    <row r="729" spans="1:2" x14ac:dyDescent="0.3">
      <c r="A729">
        <v>7.5228787452803374</v>
      </c>
      <c r="B729">
        <v>1</v>
      </c>
    </row>
    <row r="730" spans="1:2" x14ac:dyDescent="0.3">
      <c r="A730">
        <v>7.0457574905606739</v>
      </c>
      <c r="B730">
        <v>1</v>
      </c>
    </row>
    <row r="731" spans="1:2" x14ac:dyDescent="0.3">
      <c r="A731">
        <v>8.6882461389442458</v>
      </c>
      <c r="B731">
        <v>1</v>
      </c>
    </row>
    <row r="732" spans="1:2" x14ac:dyDescent="0.3">
      <c r="A732">
        <v>5.0647386923382109</v>
      </c>
      <c r="B732">
        <v>0</v>
      </c>
    </row>
    <row r="733" spans="1:2" x14ac:dyDescent="0.3">
      <c r="A733">
        <v>6.5228787452803365</v>
      </c>
      <c r="B733">
        <v>0</v>
      </c>
    </row>
    <row r="734" spans="1:2" x14ac:dyDescent="0.3">
      <c r="A734">
        <v>4.4559319556497243</v>
      </c>
      <c r="B734">
        <v>0</v>
      </c>
    </row>
    <row r="735" spans="1:2" x14ac:dyDescent="0.3">
      <c r="A735">
        <v>4.3767507096020992</v>
      </c>
      <c r="B735">
        <v>0</v>
      </c>
    </row>
    <row r="736" spans="1:2" x14ac:dyDescent="0.3">
      <c r="A736">
        <v>5.5421181032660076</v>
      </c>
      <c r="B736">
        <v>0</v>
      </c>
    </row>
    <row r="737" spans="1:2" x14ac:dyDescent="0.3">
      <c r="A737">
        <v>6.5850266520291818</v>
      </c>
      <c r="B737">
        <v>0</v>
      </c>
    </row>
    <row r="738" spans="1:2" x14ac:dyDescent="0.3">
      <c r="A738">
        <v>7.769551078621725</v>
      </c>
      <c r="B738">
        <v>1</v>
      </c>
    </row>
    <row r="739" spans="1:2" x14ac:dyDescent="0.3">
      <c r="A739">
        <v>8</v>
      </c>
      <c r="B739">
        <v>1</v>
      </c>
    </row>
    <row r="740" spans="1:2" x14ac:dyDescent="0.3">
      <c r="A740">
        <v>8</v>
      </c>
      <c r="B740">
        <v>1</v>
      </c>
    </row>
    <row r="741" spans="1:2" x14ac:dyDescent="0.3">
      <c r="A741">
        <v>6.0132282657337548</v>
      </c>
      <c r="B741">
        <v>0</v>
      </c>
    </row>
    <row r="742" spans="1:2" x14ac:dyDescent="0.3">
      <c r="A742">
        <v>7.8860566476931622</v>
      </c>
      <c r="B742">
        <v>1</v>
      </c>
    </row>
    <row r="743" spans="1:2" x14ac:dyDescent="0.3">
      <c r="A743">
        <v>6.7447274948966927</v>
      </c>
      <c r="B743">
        <v>0</v>
      </c>
    </row>
    <row r="744" spans="1:2" x14ac:dyDescent="0.3">
      <c r="A744">
        <v>7.3010299956639804</v>
      </c>
      <c r="B744">
        <v>1</v>
      </c>
    </row>
    <row r="745" spans="1:2" x14ac:dyDescent="0.3">
      <c r="A745">
        <v>3.9208187539523749</v>
      </c>
      <c r="B745">
        <v>0</v>
      </c>
    </row>
    <row r="746" spans="1:2" x14ac:dyDescent="0.3">
      <c r="A746">
        <v>4.075720713938118</v>
      </c>
      <c r="B746">
        <v>0</v>
      </c>
    </row>
    <row r="747" spans="1:2" x14ac:dyDescent="0.3">
      <c r="A747">
        <v>7.2365720064370622</v>
      </c>
      <c r="B747">
        <v>1</v>
      </c>
    </row>
    <row r="748" spans="1:2" x14ac:dyDescent="0.3">
      <c r="A748">
        <v>5.2518119729937993</v>
      </c>
      <c r="B748">
        <v>0</v>
      </c>
    </row>
    <row r="749" spans="1:2" x14ac:dyDescent="0.3">
      <c r="A749">
        <v>5.8761483590329133</v>
      </c>
      <c r="B749">
        <v>0</v>
      </c>
    </row>
    <row r="750" spans="1:2" x14ac:dyDescent="0.3">
      <c r="A750">
        <v>6.1938200260161116</v>
      </c>
      <c r="B750">
        <v>0</v>
      </c>
    </row>
    <row r="751" spans="1:2" x14ac:dyDescent="0.3">
      <c r="A751">
        <v>5.2676062401770309</v>
      </c>
      <c r="B751">
        <v>0</v>
      </c>
    </row>
    <row r="752" spans="1:2" x14ac:dyDescent="0.3">
      <c r="A752">
        <v>4.6989700043360187</v>
      </c>
      <c r="B752">
        <v>0</v>
      </c>
    </row>
    <row r="753" spans="1:2" x14ac:dyDescent="0.3">
      <c r="A753">
        <v>4.3872161432802645</v>
      </c>
      <c r="B753">
        <v>0</v>
      </c>
    </row>
    <row r="754" spans="1:2" x14ac:dyDescent="0.3">
      <c r="A754">
        <v>5.0655015487564317</v>
      </c>
      <c r="B754">
        <v>0</v>
      </c>
    </row>
    <row r="755" spans="1:2" x14ac:dyDescent="0.3">
      <c r="A755">
        <v>4.327902142064282</v>
      </c>
      <c r="B755">
        <v>0</v>
      </c>
    </row>
    <row r="756" spans="1:2" x14ac:dyDescent="0.3">
      <c r="A756">
        <v>6.2083093509798815</v>
      </c>
      <c r="B756">
        <v>0</v>
      </c>
    </row>
    <row r="757" spans="1:2" x14ac:dyDescent="0.3">
      <c r="A757">
        <v>6.3701957581722564</v>
      </c>
      <c r="B757">
        <v>0</v>
      </c>
    </row>
    <row r="758" spans="1:2" x14ac:dyDescent="0.3">
      <c r="A758">
        <v>4.7986028756795482</v>
      </c>
      <c r="B758">
        <v>0</v>
      </c>
    </row>
    <row r="759" spans="1:2" x14ac:dyDescent="0.3">
      <c r="A759">
        <v>4.6777807052660805</v>
      </c>
      <c r="B759">
        <v>0</v>
      </c>
    </row>
    <row r="760" spans="1:2" x14ac:dyDescent="0.3">
      <c r="A760">
        <v>4.3372421683184257</v>
      </c>
      <c r="B760">
        <v>0</v>
      </c>
    </row>
    <row r="761" spans="1:2" x14ac:dyDescent="0.3">
      <c r="A761">
        <v>6.7447274948966927</v>
      </c>
      <c r="B761">
        <v>0</v>
      </c>
    </row>
    <row r="762" spans="1:2" x14ac:dyDescent="0.3">
      <c r="A762">
        <v>5.6382721639824069</v>
      </c>
      <c r="B762">
        <v>0</v>
      </c>
    </row>
    <row r="763" spans="1:2" x14ac:dyDescent="0.3">
      <c r="A763">
        <v>8</v>
      </c>
      <c r="B763">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CCC06-4AD8-407D-AB21-A3CF4DEF7892}">
  <dimension ref="A1:AW951"/>
  <sheetViews>
    <sheetView topLeftCell="G933" workbookViewId="0">
      <selection activeCell="I954" sqref="I954"/>
    </sheetView>
  </sheetViews>
  <sheetFormatPr defaultRowHeight="14.4" x14ac:dyDescent="0.3"/>
  <cols>
    <col min="1" max="1" width="20.88671875" bestFit="1" customWidth="1"/>
    <col min="2" max="2" width="25.77734375" bestFit="1" customWidth="1"/>
    <col min="3" max="3" width="20.77734375" bestFit="1" customWidth="1"/>
    <col min="4" max="4" width="18.21875" bestFit="1" customWidth="1"/>
    <col min="5" max="5" width="16.5546875" bestFit="1" customWidth="1"/>
    <col min="6" max="6" width="8.109375" bestFit="1" customWidth="1"/>
    <col min="7" max="7" width="17.5546875" bestFit="1" customWidth="1"/>
    <col min="8" max="8" width="80.88671875" bestFit="1" customWidth="1"/>
    <col min="9" max="9" width="15.5546875" bestFit="1" customWidth="1"/>
    <col min="10" max="10" width="18.33203125" bestFit="1" customWidth="1"/>
    <col min="11" max="11" width="16.21875" bestFit="1" customWidth="1"/>
    <col min="12" max="12" width="15.77734375" bestFit="1" customWidth="1"/>
    <col min="13" max="14" width="15.77734375" customWidth="1"/>
    <col min="15" max="15" width="16.6640625" bestFit="1" customWidth="1"/>
    <col min="16" max="16" width="22.88671875" bestFit="1" customWidth="1"/>
    <col min="17" max="17" width="11.5546875" bestFit="1" customWidth="1"/>
    <col min="18" max="18" width="11.6640625" bestFit="1" customWidth="1"/>
    <col min="19" max="19" width="20.6640625" bestFit="1" customWidth="1"/>
    <col min="20" max="20" width="19.88671875" bestFit="1" customWidth="1"/>
    <col min="21" max="21" width="20.77734375" bestFit="1" customWidth="1"/>
    <col min="22" max="22" width="20.5546875" bestFit="1" customWidth="1"/>
    <col min="23" max="23" width="19.21875" bestFit="1" customWidth="1"/>
    <col min="24" max="24" width="17.77734375" bestFit="1" customWidth="1"/>
    <col min="25" max="25" width="80.88671875" bestFit="1" customWidth="1"/>
    <col min="26" max="26" width="12.5546875" bestFit="1" customWidth="1"/>
    <col min="27" max="27" width="15.6640625" bestFit="1" customWidth="1"/>
    <col min="28" max="28" width="20.5546875" bestFit="1" customWidth="1"/>
    <col min="29" max="29" width="16.5546875" bestFit="1" customWidth="1"/>
    <col min="30" max="30" width="23.5546875" bestFit="1" customWidth="1"/>
    <col min="31" max="31" width="19.109375" bestFit="1" customWidth="1"/>
    <col min="32" max="32" width="16.109375" bestFit="1" customWidth="1"/>
    <col min="33" max="33" width="25.21875" bestFit="1" customWidth="1"/>
    <col min="34" max="34" width="18.109375" bestFit="1" customWidth="1"/>
    <col min="35" max="35" width="23.5546875" bestFit="1" customWidth="1"/>
    <col min="36" max="36" width="23.109375" bestFit="1" customWidth="1"/>
    <col min="37" max="37" width="18.33203125" bestFit="1" customWidth="1"/>
    <col min="38" max="38" width="14" bestFit="1" customWidth="1"/>
    <col min="39" max="39" width="17.109375" bestFit="1" customWidth="1"/>
    <col min="40" max="40" width="16.88671875" bestFit="1" customWidth="1"/>
    <col min="41" max="41" width="21.88671875" bestFit="1" customWidth="1"/>
    <col min="42" max="42" width="11.21875" bestFit="1" customWidth="1"/>
    <col min="43" max="43" width="19" bestFit="1" customWidth="1"/>
    <col min="44" max="44" width="25.77734375" bestFit="1" customWidth="1"/>
    <col min="45" max="45" width="16.21875" bestFit="1" customWidth="1"/>
    <col min="46" max="46" width="16" bestFit="1" customWidth="1"/>
    <col min="47" max="47" width="41.44140625" bestFit="1" customWidth="1"/>
    <col min="48" max="48" width="13.21875" bestFit="1" customWidth="1"/>
    <col min="49" max="49" width="20.33203125" bestFit="1" customWidth="1"/>
  </cols>
  <sheetData>
    <row r="1" spans="1:49" x14ac:dyDescent="0.3">
      <c r="A1" t="s">
        <v>0</v>
      </c>
      <c r="B1" t="s">
        <v>1</v>
      </c>
      <c r="C1" t="s">
        <v>2</v>
      </c>
      <c r="D1" t="s">
        <v>3</v>
      </c>
      <c r="E1" t="s">
        <v>4</v>
      </c>
      <c r="F1" t="s">
        <v>5</v>
      </c>
      <c r="G1" t="s">
        <v>6</v>
      </c>
      <c r="H1" t="s">
        <v>7</v>
      </c>
      <c r="I1" t="s">
        <v>8</v>
      </c>
      <c r="J1" t="s">
        <v>9</v>
      </c>
      <c r="K1" t="s">
        <v>10</v>
      </c>
      <c r="L1" t="s">
        <v>11</v>
      </c>
      <c r="M1" t="s">
        <v>52</v>
      </c>
      <c r="N1" t="s">
        <v>2535</v>
      </c>
      <c r="O1" t="s">
        <v>12</v>
      </c>
      <c r="P1" t="s">
        <v>13</v>
      </c>
      <c r="Q1" t="s">
        <v>14</v>
      </c>
      <c r="R1" t="s">
        <v>15</v>
      </c>
      <c r="S1" t="s">
        <v>16</v>
      </c>
      <c r="T1" t="s">
        <v>17</v>
      </c>
      <c r="U1" t="s">
        <v>18</v>
      </c>
      <c r="V1" t="s">
        <v>19</v>
      </c>
      <c r="W1" t="s">
        <v>20</v>
      </c>
      <c r="X1" t="s">
        <v>21</v>
      </c>
      <c r="Y1" t="s">
        <v>22</v>
      </c>
      <c r="Z1" t="s">
        <v>23</v>
      </c>
      <c r="AA1" t="s">
        <v>24</v>
      </c>
      <c r="AB1" t="s">
        <v>25</v>
      </c>
      <c r="AC1" t="s">
        <v>26</v>
      </c>
      <c r="AD1" t="s">
        <v>27</v>
      </c>
      <c r="AE1" t="s">
        <v>28</v>
      </c>
      <c r="AF1" t="s">
        <v>29</v>
      </c>
      <c r="AG1" t="s">
        <v>30</v>
      </c>
      <c r="AH1" t="s">
        <v>31</v>
      </c>
      <c r="AI1" t="s">
        <v>32</v>
      </c>
      <c r="AJ1" t="s">
        <v>33</v>
      </c>
      <c r="AK1" t="s">
        <v>34</v>
      </c>
      <c r="AL1" t="s">
        <v>35</v>
      </c>
      <c r="AM1" t="s">
        <v>36</v>
      </c>
      <c r="AN1" t="s">
        <v>37</v>
      </c>
      <c r="AO1" t="s">
        <v>38</v>
      </c>
      <c r="AP1" t="s">
        <v>39</v>
      </c>
      <c r="AQ1" t="s">
        <v>40</v>
      </c>
      <c r="AR1" t="s">
        <v>41</v>
      </c>
      <c r="AS1" t="s">
        <v>42</v>
      </c>
      <c r="AT1" t="s">
        <v>43</v>
      </c>
      <c r="AU1" t="s">
        <v>44</v>
      </c>
      <c r="AV1" t="s">
        <v>45</v>
      </c>
      <c r="AW1" t="s">
        <v>46</v>
      </c>
    </row>
    <row r="2" spans="1:49" x14ac:dyDescent="0.3">
      <c r="A2" t="s">
        <v>47</v>
      </c>
      <c r="B2" t="s">
        <v>48</v>
      </c>
      <c r="C2" t="s">
        <v>49</v>
      </c>
      <c r="D2">
        <v>420.46</v>
      </c>
      <c r="E2">
        <v>0</v>
      </c>
      <c r="F2">
        <v>2.79</v>
      </c>
      <c r="G2" t="s">
        <v>50</v>
      </c>
      <c r="H2" t="s">
        <v>51</v>
      </c>
      <c r="I2" t="s">
        <v>52</v>
      </c>
      <c r="J2" t="s">
        <v>53</v>
      </c>
      <c r="K2">
        <v>13.8</v>
      </c>
      <c r="L2" t="s">
        <v>54</v>
      </c>
      <c r="M2">
        <f>DOWNLOAD_2kLRbPnDtawQopEJ_UKtt22ud9U57gk8mqebZIeugNk[[#This Row],[Standard Value]]/DOWNLOAD_2kLRbPnDtawQopEJ_UKtt22ud9U57gk8mqebZIeugNk[[#This Row],[Molecular Weight]]*1000*1000</f>
        <v>32821.195833135142</v>
      </c>
      <c r="N2">
        <f>-LOG(DOWNLOAD_2kLRbPnDtawQopEJ_UKtt22ud9U57gk8mqebZIeugNk[[#This Row],[IC50]]*POWER(10, -9), 10)</f>
        <v>4.4838455995696203</v>
      </c>
      <c r="P2" t="s">
        <v>48</v>
      </c>
      <c r="R2" t="s">
        <v>55</v>
      </c>
      <c r="W2">
        <v>0</v>
      </c>
      <c r="X2" t="s">
        <v>56</v>
      </c>
      <c r="Y2" t="s">
        <v>57</v>
      </c>
      <c r="Z2" t="s">
        <v>58</v>
      </c>
      <c r="AA2" t="s">
        <v>59</v>
      </c>
      <c r="AB2" t="s">
        <v>60</v>
      </c>
      <c r="AC2" t="s">
        <v>61</v>
      </c>
      <c r="AD2" t="s">
        <v>49</v>
      </c>
      <c r="AE2" t="s">
        <v>49</v>
      </c>
      <c r="AF2" t="s">
        <v>49</v>
      </c>
      <c r="AG2" t="s">
        <v>49</v>
      </c>
      <c r="AH2" t="s">
        <v>48</v>
      </c>
      <c r="AI2" t="s">
        <v>48</v>
      </c>
      <c r="AJ2" t="s">
        <v>48</v>
      </c>
      <c r="AK2" t="s">
        <v>62</v>
      </c>
      <c r="AL2" t="s">
        <v>63</v>
      </c>
      <c r="AM2" t="s">
        <v>61</v>
      </c>
      <c r="AN2" t="s">
        <v>64</v>
      </c>
      <c r="AO2" t="s">
        <v>65</v>
      </c>
      <c r="AP2">
        <v>1</v>
      </c>
      <c r="AQ2" t="s">
        <v>66</v>
      </c>
      <c r="AR2" t="s">
        <v>67</v>
      </c>
      <c r="AS2">
        <v>1988</v>
      </c>
      <c r="AT2" t="s">
        <v>49</v>
      </c>
      <c r="AU2" t="s">
        <v>48</v>
      </c>
      <c r="AV2" t="s">
        <v>48</v>
      </c>
      <c r="AW2" t="s">
        <v>48</v>
      </c>
    </row>
    <row r="3" spans="1:49" x14ac:dyDescent="0.3">
      <c r="A3" t="s">
        <v>68</v>
      </c>
      <c r="B3" t="s">
        <v>48</v>
      </c>
      <c r="C3" t="s">
        <v>49</v>
      </c>
      <c r="D3">
        <v>260.22000000000003</v>
      </c>
      <c r="E3">
        <v>0</v>
      </c>
      <c r="F3">
        <v>2.8</v>
      </c>
      <c r="G3" t="s">
        <v>69</v>
      </c>
      <c r="H3" t="s">
        <v>70</v>
      </c>
      <c r="I3" t="s">
        <v>52</v>
      </c>
      <c r="J3" t="s">
        <v>71</v>
      </c>
      <c r="K3">
        <v>500</v>
      </c>
      <c r="L3" t="s">
        <v>54</v>
      </c>
      <c r="M3">
        <f>DOWNLOAD_2kLRbPnDtawQopEJ_UKtt22ud9U57gk8mqebZIeugNk[[#This Row],[Standard Value]]/DOWNLOAD_2kLRbPnDtawQopEJ_UKtt22ud9U57gk8mqebZIeugNk[[#This Row],[Molecular Weight]]*1000*1000</f>
        <v>1921451.0798555065</v>
      </c>
      <c r="N3">
        <f>-LOG(DOWNLOAD_2kLRbPnDtawQopEJ_UKtt22ud9U57gk8mqebZIeugNk[[#This Row],[IC50]]*POWER(10, -9), 10)</f>
        <v>2.7163706681963866</v>
      </c>
      <c r="P3" t="s">
        <v>72</v>
      </c>
      <c r="R3" t="s">
        <v>55</v>
      </c>
      <c r="W3">
        <v>0</v>
      </c>
      <c r="X3" t="s">
        <v>73</v>
      </c>
      <c r="Y3" t="s">
        <v>74</v>
      </c>
      <c r="Z3" t="s">
        <v>58</v>
      </c>
      <c r="AA3" t="s">
        <v>59</v>
      </c>
      <c r="AB3" t="s">
        <v>60</v>
      </c>
      <c r="AC3" t="s">
        <v>61</v>
      </c>
      <c r="AD3" t="s">
        <v>49</v>
      </c>
      <c r="AE3" t="s">
        <v>49</v>
      </c>
      <c r="AF3" t="s">
        <v>49</v>
      </c>
      <c r="AG3" t="s">
        <v>49</v>
      </c>
      <c r="AH3" t="s">
        <v>48</v>
      </c>
      <c r="AI3" t="s">
        <v>48</v>
      </c>
      <c r="AJ3" t="s">
        <v>48</v>
      </c>
      <c r="AK3" t="s">
        <v>62</v>
      </c>
      <c r="AL3" t="s">
        <v>63</v>
      </c>
      <c r="AM3" t="s">
        <v>61</v>
      </c>
      <c r="AN3" t="s">
        <v>64</v>
      </c>
      <c r="AO3" t="s">
        <v>75</v>
      </c>
      <c r="AP3">
        <v>1</v>
      </c>
      <c r="AQ3" t="s">
        <v>66</v>
      </c>
      <c r="AR3" t="s">
        <v>76</v>
      </c>
      <c r="AS3">
        <v>1998</v>
      </c>
      <c r="AT3" t="s">
        <v>49</v>
      </c>
      <c r="AU3" t="s">
        <v>48</v>
      </c>
      <c r="AV3" t="s">
        <v>48</v>
      </c>
      <c r="AW3" t="s">
        <v>48</v>
      </c>
    </row>
    <row r="4" spans="1:49" x14ac:dyDescent="0.3">
      <c r="A4" t="s">
        <v>77</v>
      </c>
      <c r="B4" t="s">
        <v>48</v>
      </c>
      <c r="C4" t="s">
        <v>49</v>
      </c>
      <c r="D4">
        <v>346.36</v>
      </c>
      <c r="E4">
        <v>0</v>
      </c>
      <c r="F4">
        <v>1.35</v>
      </c>
      <c r="G4" t="s">
        <v>78</v>
      </c>
      <c r="H4" t="s">
        <v>79</v>
      </c>
      <c r="I4" t="s">
        <v>52</v>
      </c>
      <c r="J4" t="s">
        <v>53</v>
      </c>
      <c r="K4">
        <v>0.75</v>
      </c>
      <c r="L4" t="s">
        <v>54</v>
      </c>
      <c r="M4">
        <f>DOWNLOAD_2kLRbPnDtawQopEJ_UKtt22ud9U57gk8mqebZIeugNk[[#This Row],[Standard Value]]/DOWNLOAD_2kLRbPnDtawQopEJ_UKtt22ud9U57gk8mqebZIeugNk[[#This Row],[Molecular Weight]]*1000*1000</f>
        <v>2165.3770643261346</v>
      </c>
      <c r="N4">
        <f>-LOG(DOWNLOAD_2kLRbPnDtawQopEJ_UKtt22ud9U57gk8mqebZIeugNk[[#This Row],[IC50]]*POWER(10, -9), 10)</f>
        <v>5.664466467579639</v>
      </c>
      <c r="P4" t="s">
        <v>48</v>
      </c>
      <c r="R4" t="s">
        <v>55</v>
      </c>
      <c r="W4">
        <v>0</v>
      </c>
      <c r="X4" t="s">
        <v>80</v>
      </c>
      <c r="Y4" t="s">
        <v>81</v>
      </c>
      <c r="Z4" t="s">
        <v>58</v>
      </c>
      <c r="AA4" t="s">
        <v>59</v>
      </c>
      <c r="AB4" t="s">
        <v>60</v>
      </c>
      <c r="AC4" t="s">
        <v>61</v>
      </c>
      <c r="AD4" t="s">
        <v>49</v>
      </c>
      <c r="AE4" t="s">
        <v>49</v>
      </c>
      <c r="AF4" t="s">
        <v>49</v>
      </c>
      <c r="AG4" t="s">
        <v>49</v>
      </c>
      <c r="AH4" t="s">
        <v>48</v>
      </c>
      <c r="AI4" t="s">
        <v>48</v>
      </c>
      <c r="AJ4" t="s">
        <v>48</v>
      </c>
      <c r="AK4" t="s">
        <v>62</v>
      </c>
      <c r="AL4" t="s">
        <v>63</v>
      </c>
      <c r="AM4" t="s">
        <v>61</v>
      </c>
      <c r="AN4" t="s">
        <v>64</v>
      </c>
      <c r="AO4" t="s">
        <v>82</v>
      </c>
      <c r="AP4">
        <v>1</v>
      </c>
      <c r="AQ4" t="s">
        <v>66</v>
      </c>
      <c r="AR4" t="s">
        <v>67</v>
      </c>
      <c r="AS4">
        <v>1993</v>
      </c>
      <c r="AT4" t="s">
        <v>49</v>
      </c>
      <c r="AU4" t="s">
        <v>48</v>
      </c>
      <c r="AV4" t="s">
        <v>48</v>
      </c>
      <c r="AW4" t="s">
        <v>48</v>
      </c>
    </row>
    <row r="5" spans="1:49" x14ac:dyDescent="0.3">
      <c r="A5" t="s">
        <v>83</v>
      </c>
      <c r="B5" t="s">
        <v>48</v>
      </c>
      <c r="C5" t="s">
        <v>49</v>
      </c>
      <c r="D5">
        <v>569.66</v>
      </c>
      <c r="E5">
        <v>1</v>
      </c>
      <c r="F5">
        <v>3</v>
      </c>
      <c r="G5" t="s">
        <v>84</v>
      </c>
      <c r="H5" t="s">
        <v>85</v>
      </c>
      <c r="I5" t="s">
        <v>52</v>
      </c>
      <c r="J5" t="s">
        <v>53</v>
      </c>
      <c r="K5">
        <v>0.25</v>
      </c>
      <c r="L5" t="s">
        <v>54</v>
      </c>
      <c r="M5">
        <f>DOWNLOAD_2kLRbPnDtawQopEJ_UKtt22ud9U57gk8mqebZIeugNk[[#This Row],[Standard Value]]/DOWNLOAD_2kLRbPnDtawQopEJ_UKtt22ud9U57gk8mqebZIeugNk[[#This Row],[Molecular Weight]]*1000*1000</f>
        <v>438.85826633430469</v>
      </c>
      <c r="N5">
        <f>-LOG(DOWNLOAD_2kLRbPnDtawQopEJ_UKtt22ud9U57gk8mqebZIeugNk[[#This Row],[IC50]]*POWER(10, -9), 10)</f>
        <v>6.3576757168594851</v>
      </c>
      <c r="P5" t="s">
        <v>48</v>
      </c>
      <c r="R5" t="s">
        <v>55</v>
      </c>
      <c r="W5">
        <v>0</v>
      </c>
      <c r="X5" t="s">
        <v>86</v>
      </c>
      <c r="Y5" t="s">
        <v>87</v>
      </c>
      <c r="Z5" t="s">
        <v>58</v>
      </c>
      <c r="AA5" t="s">
        <v>59</v>
      </c>
      <c r="AB5" t="s">
        <v>60</v>
      </c>
      <c r="AC5" t="s">
        <v>61</v>
      </c>
      <c r="AD5" t="s">
        <v>49</v>
      </c>
      <c r="AE5" t="s">
        <v>49</v>
      </c>
      <c r="AF5" t="s">
        <v>49</v>
      </c>
      <c r="AG5" t="s">
        <v>49</v>
      </c>
      <c r="AH5" t="s">
        <v>48</v>
      </c>
      <c r="AI5" t="s">
        <v>48</v>
      </c>
      <c r="AJ5" t="s">
        <v>48</v>
      </c>
      <c r="AK5" t="s">
        <v>62</v>
      </c>
      <c r="AL5" t="s">
        <v>63</v>
      </c>
      <c r="AM5" t="s">
        <v>61</v>
      </c>
      <c r="AN5" t="s">
        <v>64</v>
      </c>
      <c r="AO5" t="s">
        <v>88</v>
      </c>
      <c r="AP5">
        <v>1</v>
      </c>
      <c r="AQ5" t="s">
        <v>66</v>
      </c>
      <c r="AR5" t="s">
        <v>76</v>
      </c>
      <c r="AS5">
        <v>2001</v>
      </c>
      <c r="AT5" t="s">
        <v>49</v>
      </c>
      <c r="AU5" t="s">
        <v>48</v>
      </c>
      <c r="AV5" t="s">
        <v>48</v>
      </c>
      <c r="AW5" t="s">
        <v>48</v>
      </c>
    </row>
    <row r="6" spans="1:49" x14ac:dyDescent="0.3">
      <c r="A6" t="s">
        <v>89</v>
      </c>
      <c r="B6" t="s">
        <v>48</v>
      </c>
      <c r="C6" t="s">
        <v>49</v>
      </c>
      <c r="D6">
        <v>375.4</v>
      </c>
      <c r="E6">
        <v>0</v>
      </c>
      <c r="F6">
        <v>2.11</v>
      </c>
      <c r="G6" t="s">
        <v>90</v>
      </c>
      <c r="H6" t="s">
        <v>91</v>
      </c>
      <c r="I6" t="s">
        <v>52</v>
      </c>
      <c r="J6" t="s">
        <v>53</v>
      </c>
      <c r="K6">
        <v>6.4</v>
      </c>
      <c r="L6" t="s">
        <v>54</v>
      </c>
      <c r="M6">
        <f>DOWNLOAD_2kLRbPnDtawQopEJ_UKtt22ud9U57gk8mqebZIeugNk[[#This Row],[Standard Value]]/DOWNLOAD_2kLRbPnDtawQopEJ_UKtt22ud9U57gk8mqebZIeugNk[[#This Row],[Molecular Weight]]*1000*1000</f>
        <v>17048.481619605755</v>
      </c>
      <c r="N6">
        <f>-LOG(DOWNLOAD_2kLRbPnDtawQopEJ_UKtt22ud9U57gk8mqebZIeugNk[[#This Row],[IC50]]*POWER(10, -9), 10)</f>
        <v>4.7683142943014394</v>
      </c>
      <c r="P6" t="s">
        <v>48</v>
      </c>
      <c r="R6" t="s">
        <v>55</v>
      </c>
      <c r="W6">
        <v>0</v>
      </c>
      <c r="X6" t="s">
        <v>92</v>
      </c>
      <c r="Y6" t="s">
        <v>93</v>
      </c>
      <c r="Z6" t="s">
        <v>58</v>
      </c>
      <c r="AA6" t="s">
        <v>59</v>
      </c>
      <c r="AB6" t="s">
        <v>60</v>
      </c>
      <c r="AC6" t="s">
        <v>61</v>
      </c>
      <c r="AD6" t="s">
        <v>49</v>
      </c>
      <c r="AE6" t="s">
        <v>49</v>
      </c>
      <c r="AF6" t="s">
        <v>49</v>
      </c>
      <c r="AG6" t="s">
        <v>49</v>
      </c>
      <c r="AH6" t="s">
        <v>48</v>
      </c>
      <c r="AI6" t="s">
        <v>48</v>
      </c>
      <c r="AJ6" t="s">
        <v>48</v>
      </c>
      <c r="AK6" t="s">
        <v>62</v>
      </c>
      <c r="AL6" t="s">
        <v>63</v>
      </c>
      <c r="AM6" t="s">
        <v>61</v>
      </c>
      <c r="AN6" t="s">
        <v>64</v>
      </c>
      <c r="AO6" t="s">
        <v>94</v>
      </c>
      <c r="AP6">
        <v>1</v>
      </c>
      <c r="AQ6" t="s">
        <v>66</v>
      </c>
      <c r="AR6" t="s">
        <v>67</v>
      </c>
      <c r="AS6">
        <v>2003</v>
      </c>
      <c r="AT6" t="s">
        <v>49</v>
      </c>
      <c r="AU6" t="s">
        <v>48</v>
      </c>
      <c r="AV6" t="s">
        <v>48</v>
      </c>
      <c r="AW6" t="s">
        <v>48</v>
      </c>
    </row>
    <row r="7" spans="1:49" x14ac:dyDescent="0.3">
      <c r="A7" t="s">
        <v>95</v>
      </c>
      <c r="B7" t="s">
        <v>48</v>
      </c>
      <c r="C7" t="s">
        <v>49</v>
      </c>
      <c r="D7">
        <v>417.46</v>
      </c>
      <c r="E7">
        <v>0</v>
      </c>
      <c r="F7">
        <v>3.42</v>
      </c>
      <c r="G7" t="s">
        <v>96</v>
      </c>
      <c r="H7" t="s">
        <v>97</v>
      </c>
      <c r="I7" t="s">
        <v>52</v>
      </c>
      <c r="J7" t="s">
        <v>53</v>
      </c>
      <c r="K7">
        <v>6.3</v>
      </c>
      <c r="L7" t="s">
        <v>54</v>
      </c>
      <c r="M7">
        <f>DOWNLOAD_2kLRbPnDtawQopEJ_UKtt22ud9U57gk8mqebZIeugNk[[#This Row],[Standard Value]]/DOWNLOAD_2kLRbPnDtawQopEJ_UKtt22ud9U57gk8mqebZIeugNk[[#This Row],[Molecular Weight]]*1000*1000</f>
        <v>15091.266229099794</v>
      </c>
      <c r="N7">
        <f>-LOG(DOWNLOAD_2kLRbPnDtawQopEJ_UKtt22ud9U57gk8mqebZIeugNk[[#This Row],[IC50]]*POWER(10, -9), 10)</f>
        <v>4.821274319320505</v>
      </c>
      <c r="P7" t="s">
        <v>48</v>
      </c>
      <c r="R7" t="s">
        <v>55</v>
      </c>
      <c r="W7">
        <v>0</v>
      </c>
      <c r="X7" t="s">
        <v>98</v>
      </c>
      <c r="Y7" t="s">
        <v>99</v>
      </c>
      <c r="Z7" t="s">
        <v>58</v>
      </c>
      <c r="AA7" t="s">
        <v>59</v>
      </c>
      <c r="AB7" t="s">
        <v>60</v>
      </c>
      <c r="AC7" t="s">
        <v>49</v>
      </c>
      <c r="AD7" t="s">
        <v>49</v>
      </c>
      <c r="AE7" t="s">
        <v>49</v>
      </c>
      <c r="AF7" t="s">
        <v>49</v>
      </c>
      <c r="AG7" t="s">
        <v>49</v>
      </c>
      <c r="AH7" t="s">
        <v>48</v>
      </c>
      <c r="AI7" t="s">
        <v>48</v>
      </c>
      <c r="AJ7" t="s">
        <v>48</v>
      </c>
      <c r="AK7" t="s">
        <v>62</v>
      </c>
      <c r="AL7" t="s">
        <v>63</v>
      </c>
      <c r="AM7" t="s">
        <v>61</v>
      </c>
      <c r="AN7" t="s">
        <v>64</v>
      </c>
      <c r="AO7" t="s">
        <v>100</v>
      </c>
      <c r="AP7">
        <v>1</v>
      </c>
      <c r="AQ7" t="s">
        <v>66</v>
      </c>
      <c r="AR7" t="s">
        <v>67</v>
      </c>
      <c r="AS7">
        <v>1991</v>
      </c>
      <c r="AT7" t="s">
        <v>49</v>
      </c>
      <c r="AU7" t="s">
        <v>48</v>
      </c>
      <c r="AV7" t="s">
        <v>48</v>
      </c>
      <c r="AW7" t="s">
        <v>48</v>
      </c>
    </row>
    <row r="8" spans="1:49" x14ac:dyDescent="0.3">
      <c r="A8" t="s">
        <v>101</v>
      </c>
      <c r="B8" t="s">
        <v>48</v>
      </c>
      <c r="C8" t="s">
        <v>49</v>
      </c>
      <c r="D8">
        <v>411.84</v>
      </c>
      <c r="E8">
        <v>0</v>
      </c>
      <c r="F8">
        <v>2.21</v>
      </c>
      <c r="G8" t="s">
        <v>102</v>
      </c>
      <c r="H8" t="s">
        <v>103</v>
      </c>
      <c r="I8" t="s">
        <v>52</v>
      </c>
      <c r="J8" t="s">
        <v>53</v>
      </c>
      <c r="K8">
        <v>3</v>
      </c>
      <c r="L8" t="s">
        <v>54</v>
      </c>
      <c r="M8">
        <f>DOWNLOAD_2kLRbPnDtawQopEJ_UKtt22ud9U57gk8mqebZIeugNk[[#This Row],[Standard Value]]/DOWNLOAD_2kLRbPnDtawQopEJ_UKtt22ud9U57gk8mqebZIeugNk[[#This Row],[Molecular Weight]]*1000*1000</f>
        <v>7284.3822843822845</v>
      </c>
      <c r="N8">
        <f>-LOG(DOWNLOAD_2kLRbPnDtawQopEJ_UKtt22ud9U57gk8mqebZIeugNk[[#This Row],[IC50]]*POWER(10, -9), 10)</f>
        <v>5.1376072705046303</v>
      </c>
      <c r="P8" t="s">
        <v>48</v>
      </c>
      <c r="R8" t="s">
        <v>55</v>
      </c>
      <c r="W8">
        <v>0</v>
      </c>
      <c r="X8" t="s">
        <v>98</v>
      </c>
      <c r="Y8" t="s">
        <v>99</v>
      </c>
      <c r="Z8" t="s">
        <v>58</v>
      </c>
      <c r="AA8" t="s">
        <v>59</v>
      </c>
      <c r="AB8" t="s">
        <v>60</v>
      </c>
      <c r="AC8" t="s">
        <v>49</v>
      </c>
      <c r="AD8" t="s">
        <v>49</v>
      </c>
      <c r="AE8" t="s">
        <v>49</v>
      </c>
      <c r="AF8" t="s">
        <v>49</v>
      </c>
      <c r="AG8" t="s">
        <v>49</v>
      </c>
      <c r="AH8" t="s">
        <v>48</v>
      </c>
      <c r="AI8" t="s">
        <v>48</v>
      </c>
      <c r="AJ8" t="s">
        <v>48</v>
      </c>
      <c r="AK8" t="s">
        <v>62</v>
      </c>
      <c r="AL8" t="s">
        <v>63</v>
      </c>
      <c r="AM8" t="s">
        <v>61</v>
      </c>
      <c r="AN8" t="s">
        <v>64</v>
      </c>
      <c r="AO8" t="s">
        <v>100</v>
      </c>
      <c r="AP8">
        <v>1</v>
      </c>
      <c r="AQ8" t="s">
        <v>66</v>
      </c>
      <c r="AR8" t="s">
        <v>67</v>
      </c>
      <c r="AS8">
        <v>1991</v>
      </c>
      <c r="AT8" t="s">
        <v>49</v>
      </c>
      <c r="AU8" t="s">
        <v>48</v>
      </c>
      <c r="AV8" t="s">
        <v>48</v>
      </c>
      <c r="AW8" t="s">
        <v>48</v>
      </c>
    </row>
    <row r="9" spans="1:49" x14ac:dyDescent="0.3">
      <c r="A9" t="s">
        <v>104</v>
      </c>
      <c r="B9" t="s">
        <v>48</v>
      </c>
      <c r="C9" t="s">
        <v>49</v>
      </c>
      <c r="D9">
        <v>400.45</v>
      </c>
      <c r="E9">
        <v>0</v>
      </c>
      <c r="F9">
        <v>2.68</v>
      </c>
      <c r="G9" t="s">
        <v>105</v>
      </c>
      <c r="H9" t="s">
        <v>106</v>
      </c>
      <c r="I9" t="s">
        <v>52</v>
      </c>
      <c r="J9" t="s">
        <v>53</v>
      </c>
      <c r="K9">
        <v>6.3</v>
      </c>
      <c r="L9" t="s">
        <v>54</v>
      </c>
      <c r="M9">
        <f>DOWNLOAD_2kLRbPnDtawQopEJ_UKtt22ud9U57gk8mqebZIeugNk[[#This Row],[Standard Value]]/DOWNLOAD_2kLRbPnDtawQopEJ_UKtt22ud9U57gk8mqebZIeugNk[[#This Row],[Molecular Weight]]*1000*1000</f>
        <v>15732.301161193656</v>
      </c>
      <c r="N9">
        <f>-LOG(DOWNLOAD_2kLRbPnDtawQopEJ_UKtt22ud9U57gk8mqebZIeugNk[[#This Row],[IC50]]*POWER(10, -9), 10)</f>
        <v>4.8032077485454909</v>
      </c>
      <c r="P9" t="s">
        <v>48</v>
      </c>
      <c r="R9" t="s">
        <v>55</v>
      </c>
      <c r="W9">
        <v>0</v>
      </c>
      <c r="X9" t="s">
        <v>98</v>
      </c>
      <c r="Y9" t="s">
        <v>99</v>
      </c>
      <c r="Z9" t="s">
        <v>58</v>
      </c>
      <c r="AA9" t="s">
        <v>59</v>
      </c>
      <c r="AB9" t="s">
        <v>60</v>
      </c>
      <c r="AC9" t="s">
        <v>49</v>
      </c>
      <c r="AD9" t="s">
        <v>49</v>
      </c>
      <c r="AE9" t="s">
        <v>49</v>
      </c>
      <c r="AF9" t="s">
        <v>49</v>
      </c>
      <c r="AG9" t="s">
        <v>49</v>
      </c>
      <c r="AH9" t="s">
        <v>48</v>
      </c>
      <c r="AI9" t="s">
        <v>48</v>
      </c>
      <c r="AJ9" t="s">
        <v>48</v>
      </c>
      <c r="AK9" t="s">
        <v>62</v>
      </c>
      <c r="AL9" t="s">
        <v>63</v>
      </c>
      <c r="AM9" t="s">
        <v>61</v>
      </c>
      <c r="AN9" t="s">
        <v>64</v>
      </c>
      <c r="AO9" t="s">
        <v>100</v>
      </c>
      <c r="AP9">
        <v>1</v>
      </c>
      <c r="AQ9" t="s">
        <v>66</v>
      </c>
      <c r="AR9" t="s">
        <v>67</v>
      </c>
      <c r="AS9">
        <v>1991</v>
      </c>
      <c r="AT9" t="s">
        <v>49</v>
      </c>
      <c r="AU9" t="s">
        <v>48</v>
      </c>
      <c r="AV9" t="s">
        <v>48</v>
      </c>
      <c r="AW9" t="s">
        <v>48</v>
      </c>
    </row>
    <row r="10" spans="1:49" x14ac:dyDescent="0.3">
      <c r="A10" t="s">
        <v>107</v>
      </c>
      <c r="B10" t="s">
        <v>48</v>
      </c>
      <c r="C10" t="s">
        <v>49</v>
      </c>
      <c r="D10">
        <v>228.2</v>
      </c>
      <c r="E10">
        <v>0</v>
      </c>
      <c r="F10">
        <v>2.36</v>
      </c>
      <c r="G10" t="s">
        <v>108</v>
      </c>
      <c r="H10" t="s">
        <v>109</v>
      </c>
      <c r="I10" t="s">
        <v>52</v>
      </c>
      <c r="J10" t="s">
        <v>71</v>
      </c>
      <c r="K10">
        <v>500</v>
      </c>
      <c r="L10" t="s">
        <v>54</v>
      </c>
      <c r="M10">
        <f>DOWNLOAD_2kLRbPnDtawQopEJ_UKtt22ud9U57gk8mqebZIeugNk[[#This Row],[Standard Value]]/DOWNLOAD_2kLRbPnDtawQopEJ_UKtt22ud9U57gk8mqebZIeugNk[[#This Row],[Molecular Weight]]*1000*1000</f>
        <v>2191060.4732690621</v>
      </c>
      <c r="N10">
        <f>-LOG(DOWNLOAD_2kLRbPnDtawQopEJ_UKtt22ud9U57gk8mqebZIeugNk[[#This Row],[IC50]]*POWER(10, -9), 10)</f>
        <v>2.6593456357461767</v>
      </c>
      <c r="P10" t="s">
        <v>72</v>
      </c>
      <c r="R10" t="s">
        <v>55</v>
      </c>
      <c r="W10">
        <v>0</v>
      </c>
      <c r="X10" t="s">
        <v>73</v>
      </c>
      <c r="Y10" t="s">
        <v>74</v>
      </c>
      <c r="Z10" t="s">
        <v>58</v>
      </c>
      <c r="AA10" t="s">
        <v>59</v>
      </c>
      <c r="AB10" t="s">
        <v>60</v>
      </c>
      <c r="AC10" t="s">
        <v>61</v>
      </c>
      <c r="AD10" t="s">
        <v>49</v>
      </c>
      <c r="AE10" t="s">
        <v>49</v>
      </c>
      <c r="AF10" t="s">
        <v>49</v>
      </c>
      <c r="AG10" t="s">
        <v>49</v>
      </c>
      <c r="AH10" t="s">
        <v>48</v>
      </c>
      <c r="AI10" t="s">
        <v>48</v>
      </c>
      <c r="AJ10" t="s">
        <v>48</v>
      </c>
      <c r="AK10" t="s">
        <v>62</v>
      </c>
      <c r="AL10" t="s">
        <v>63</v>
      </c>
      <c r="AM10" t="s">
        <v>61</v>
      </c>
      <c r="AN10" t="s">
        <v>64</v>
      </c>
      <c r="AO10" t="s">
        <v>75</v>
      </c>
      <c r="AP10">
        <v>1</v>
      </c>
      <c r="AQ10" t="s">
        <v>66</v>
      </c>
      <c r="AR10" t="s">
        <v>76</v>
      </c>
      <c r="AS10">
        <v>1998</v>
      </c>
      <c r="AT10" t="s">
        <v>49</v>
      </c>
      <c r="AU10" t="s">
        <v>48</v>
      </c>
      <c r="AV10" t="s">
        <v>48</v>
      </c>
      <c r="AW10" t="s">
        <v>48</v>
      </c>
    </row>
    <row r="11" spans="1:49" x14ac:dyDescent="0.3">
      <c r="A11" t="s">
        <v>110</v>
      </c>
      <c r="B11" t="s">
        <v>111</v>
      </c>
      <c r="C11" t="s">
        <v>112</v>
      </c>
      <c r="D11">
        <v>303.32</v>
      </c>
      <c r="E11">
        <v>0</v>
      </c>
      <c r="F11">
        <v>-0.08</v>
      </c>
      <c r="G11" t="s">
        <v>113</v>
      </c>
      <c r="H11" t="s">
        <v>114</v>
      </c>
      <c r="I11" t="s">
        <v>52</v>
      </c>
      <c r="J11" t="s">
        <v>71</v>
      </c>
      <c r="K11">
        <v>100</v>
      </c>
      <c r="L11" t="s">
        <v>54</v>
      </c>
      <c r="M11">
        <f>DOWNLOAD_2kLRbPnDtawQopEJ_UKtt22ud9U57gk8mqebZIeugNk[[#This Row],[Standard Value]]/DOWNLOAD_2kLRbPnDtawQopEJ_UKtt22ud9U57gk8mqebZIeugNk[[#This Row],[Molecular Weight]]*1000*1000</f>
        <v>329684.82131082687</v>
      </c>
      <c r="N11">
        <f>-LOG(DOWNLOAD_2kLRbPnDtawQopEJ_UKtt22ud9U57gk8mqebZIeugNk[[#This Row],[IC50]]*POWER(10, -9), 10)</f>
        <v>3.4819010473145249</v>
      </c>
      <c r="P11" t="s">
        <v>72</v>
      </c>
      <c r="R11" t="s">
        <v>55</v>
      </c>
      <c r="W11">
        <v>0</v>
      </c>
      <c r="X11" t="s">
        <v>115</v>
      </c>
      <c r="Y11" t="s">
        <v>116</v>
      </c>
      <c r="Z11" t="s">
        <v>58</v>
      </c>
      <c r="AA11" t="s">
        <v>59</v>
      </c>
      <c r="AB11" t="s">
        <v>60</v>
      </c>
      <c r="AC11" t="s">
        <v>61</v>
      </c>
      <c r="AD11" t="s">
        <v>49</v>
      </c>
      <c r="AE11" t="s">
        <v>49</v>
      </c>
      <c r="AF11" t="s">
        <v>49</v>
      </c>
      <c r="AG11" t="s">
        <v>49</v>
      </c>
      <c r="AH11" t="s">
        <v>48</v>
      </c>
      <c r="AI11" t="s">
        <v>48</v>
      </c>
      <c r="AJ11" t="s">
        <v>48</v>
      </c>
      <c r="AK11" t="s">
        <v>62</v>
      </c>
      <c r="AL11" t="s">
        <v>63</v>
      </c>
      <c r="AM11" t="s">
        <v>61</v>
      </c>
      <c r="AN11" t="s">
        <v>64</v>
      </c>
      <c r="AO11" t="s">
        <v>117</v>
      </c>
      <c r="AP11">
        <v>1</v>
      </c>
      <c r="AQ11" t="s">
        <v>66</v>
      </c>
      <c r="AR11" t="s">
        <v>67</v>
      </c>
      <c r="AS11">
        <v>1986</v>
      </c>
      <c r="AT11" t="s">
        <v>49</v>
      </c>
      <c r="AU11" t="s">
        <v>48</v>
      </c>
      <c r="AV11" t="s">
        <v>48</v>
      </c>
      <c r="AW11" t="s">
        <v>48</v>
      </c>
    </row>
    <row r="12" spans="1:49" x14ac:dyDescent="0.3">
      <c r="A12" t="s">
        <v>118</v>
      </c>
      <c r="B12" t="s">
        <v>48</v>
      </c>
      <c r="C12" t="s">
        <v>49</v>
      </c>
      <c r="D12">
        <v>437.37</v>
      </c>
      <c r="E12">
        <v>1</v>
      </c>
      <c r="F12">
        <v>6.3</v>
      </c>
      <c r="G12" t="s">
        <v>119</v>
      </c>
      <c r="H12" t="s">
        <v>120</v>
      </c>
      <c r="I12" t="s">
        <v>52</v>
      </c>
      <c r="J12" t="s">
        <v>53</v>
      </c>
      <c r="K12">
        <v>14</v>
      </c>
      <c r="L12" t="s">
        <v>54</v>
      </c>
      <c r="M12">
        <f>DOWNLOAD_2kLRbPnDtawQopEJ_UKtt22ud9U57gk8mqebZIeugNk[[#This Row],[Standard Value]]/DOWNLOAD_2kLRbPnDtawQopEJ_UKtt22ud9U57gk8mqebZIeugNk[[#This Row],[Molecular Weight]]*1000*1000</f>
        <v>32009.511397672446</v>
      </c>
      <c r="N12">
        <f>-LOG(DOWNLOAD_2kLRbPnDtawQopEJ_UKtt22ud9U57gk8mqebZIeugNk[[#This Row],[IC50]]*POWER(10, -9), 10)</f>
        <v>4.4947209550003286</v>
      </c>
      <c r="P12" t="s">
        <v>48</v>
      </c>
      <c r="R12" t="s">
        <v>55</v>
      </c>
      <c r="W12">
        <v>0</v>
      </c>
      <c r="X12" t="s">
        <v>121</v>
      </c>
      <c r="Y12" t="s">
        <v>87</v>
      </c>
      <c r="Z12" t="s">
        <v>58</v>
      </c>
      <c r="AA12" t="s">
        <v>59</v>
      </c>
      <c r="AB12" t="s">
        <v>60</v>
      </c>
      <c r="AC12" t="s">
        <v>61</v>
      </c>
      <c r="AD12" t="s">
        <v>49</v>
      </c>
      <c r="AE12" t="s">
        <v>49</v>
      </c>
      <c r="AF12" t="s">
        <v>49</v>
      </c>
      <c r="AG12" t="s">
        <v>49</v>
      </c>
      <c r="AH12" t="s">
        <v>48</v>
      </c>
      <c r="AI12" t="s">
        <v>48</v>
      </c>
      <c r="AJ12" t="s">
        <v>48</v>
      </c>
      <c r="AK12" t="s">
        <v>62</v>
      </c>
      <c r="AL12" t="s">
        <v>63</v>
      </c>
      <c r="AM12" t="s">
        <v>61</v>
      </c>
      <c r="AN12" t="s">
        <v>64</v>
      </c>
      <c r="AO12" t="s">
        <v>122</v>
      </c>
      <c r="AP12">
        <v>1</v>
      </c>
      <c r="AQ12" t="s">
        <v>66</v>
      </c>
      <c r="AR12" t="s">
        <v>76</v>
      </c>
      <c r="AS12">
        <v>2004</v>
      </c>
      <c r="AT12" t="s">
        <v>49</v>
      </c>
      <c r="AU12" t="s">
        <v>48</v>
      </c>
      <c r="AV12" t="s">
        <v>48</v>
      </c>
      <c r="AW12" t="s">
        <v>48</v>
      </c>
    </row>
    <row r="13" spans="1:49" x14ac:dyDescent="0.3">
      <c r="A13" t="s">
        <v>123</v>
      </c>
      <c r="B13" t="s">
        <v>48</v>
      </c>
      <c r="C13" t="s">
        <v>49</v>
      </c>
      <c r="D13">
        <v>392.42</v>
      </c>
      <c r="E13">
        <v>0</v>
      </c>
      <c r="F13">
        <v>3.32</v>
      </c>
      <c r="G13" t="s">
        <v>124</v>
      </c>
      <c r="H13" t="s">
        <v>125</v>
      </c>
      <c r="I13" t="s">
        <v>52</v>
      </c>
      <c r="J13" t="s">
        <v>53</v>
      </c>
      <c r="K13">
        <v>28</v>
      </c>
      <c r="L13" t="s">
        <v>126</v>
      </c>
      <c r="M13">
        <f>DOWNLOAD_2kLRbPnDtawQopEJ_UKtt22ud9U57gk8mqebZIeugNk[[#This Row],[Standard Value]]</f>
        <v>28</v>
      </c>
      <c r="N13">
        <f>-LOG(DOWNLOAD_2kLRbPnDtawQopEJ_UKtt22ud9U57gk8mqebZIeugNk[[#This Row],[IC50]]*POWER(10, -9), 10)</f>
        <v>7.5528419686577806</v>
      </c>
      <c r="O13">
        <v>7.55</v>
      </c>
      <c r="P13" t="s">
        <v>48</v>
      </c>
      <c r="R13" t="s">
        <v>127</v>
      </c>
      <c r="S13">
        <v>19.25</v>
      </c>
      <c r="T13">
        <v>0.36</v>
      </c>
      <c r="U13">
        <v>4.2300000000000004</v>
      </c>
      <c r="V13">
        <v>5.89</v>
      </c>
      <c r="W13">
        <v>0</v>
      </c>
      <c r="X13" t="s">
        <v>128</v>
      </c>
      <c r="Y13" t="s">
        <v>129</v>
      </c>
      <c r="Z13" t="s">
        <v>58</v>
      </c>
      <c r="AA13" t="s">
        <v>59</v>
      </c>
      <c r="AB13" t="s">
        <v>60</v>
      </c>
      <c r="AC13" t="s">
        <v>61</v>
      </c>
      <c r="AD13" t="s">
        <v>49</v>
      </c>
      <c r="AE13" t="s">
        <v>49</v>
      </c>
      <c r="AF13" t="s">
        <v>49</v>
      </c>
      <c r="AG13" t="s">
        <v>49</v>
      </c>
      <c r="AH13" t="s">
        <v>48</v>
      </c>
      <c r="AI13" t="s">
        <v>48</v>
      </c>
      <c r="AJ13" t="s">
        <v>48</v>
      </c>
      <c r="AK13" t="s">
        <v>62</v>
      </c>
      <c r="AL13" t="s">
        <v>63</v>
      </c>
      <c r="AM13" t="s">
        <v>61</v>
      </c>
      <c r="AN13" t="s">
        <v>64</v>
      </c>
      <c r="AO13" t="s">
        <v>130</v>
      </c>
      <c r="AP13">
        <v>1</v>
      </c>
      <c r="AQ13" t="s">
        <v>66</v>
      </c>
      <c r="AR13" t="s">
        <v>131</v>
      </c>
      <c r="AS13">
        <v>2014</v>
      </c>
      <c r="AT13" t="s">
        <v>49</v>
      </c>
      <c r="AU13" t="s">
        <v>48</v>
      </c>
      <c r="AV13" t="s">
        <v>48</v>
      </c>
      <c r="AW13" t="s">
        <v>48</v>
      </c>
    </row>
    <row r="14" spans="1:49" x14ac:dyDescent="0.3">
      <c r="A14" t="s">
        <v>132</v>
      </c>
      <c r="B14" t="s">
        <v>48</v>
      </c>
      <c r="C14" t="s">
        <v>49</v>
      </c>
      <c r="D14">
        <v>378.4</v>
      </c>
      <c r="E14">
        <v>0</v>
      </c>
      <c r="F14">
        <v>3.74</v>
      </c>
      <c r="G14" t="s">
        <v>133</v>
      </c>
      <c r="H14" t="s">
        <v>134</v>
      </c>
      <c r="I14" t="s">
        <v>52</v>
      </c>
      <c r="J14" t="s">
        <v>53</v>
      </c>
      <c r="K14">
        <v>10.8</v>
      </c>
      <c r="L14" t="s">
        <v>54</v>
      </c>
      <c r="M14">
        <f>DOWNLOAD_2kLRbPnDtawQopEJ_UKtt22ud9U57gk8mqebZIeugNk[[#This Row],[Standard Value]]/DOWNLOAD_2kLRbPnDtawQopEJ_UKtt22ud9U57gk8mqebZIeugNk[[#This Row],[Molecular Weight]]*1000*1000</f>
        <v>28541.226215644823</v>
      </c>
      <c r="N14">
        <f>-LOG(DOWNLOAD_2kLRbPnDtawQopEJ_UKtt22ud9U57gk8mqebZIeugNk[[#This Row],[IC50]]*POWER(10, -9), 10)</f>
        <v>4.544527372242805</v>
      </c>
      <c r="P14" t="s">
        <v>48</v>
      </c>
      <c r="R14" t="s">
        <v>55</v>
      </c>
      <c r="W14">
        <v>0</v>
      </c>
      <c r="X14" t="s">
        <v>135</v>
      </c>
      <c r="Y14" t="s">
        <v>136</v>
      </c>
      <c r="Z14" t="s">
        <v>58</v>
      </c>
      <c r="AA14" t="s">
        <v>59</v>
      </c>
      <c r="AB14" t="s">
        <v>60</v>
      </c>
      <c r="AC14" t="s">
        <v>61</v>
      </c>
      <c r="AD14" t="s">
        <v>49</v>
      </c>
      <c r="AE14" t="s">
        <v>49</v>
      </c>
      <c r="AF14" t="s">
        <v>49</v>
      </c>
      <c r="AG14" t="s">
        <v>49</v>
      </c>
      <c r="AH14" t="s">
        <v>48</v>
      </c>
      <c r="AI14" t="s">
        <v>48</v>
      </c>
      <c r="AJ14" t="s">
        <v>48</v>
      </c>
      <c r="AK14" t="s">
        <v>62</v>
      </c>
      <c r="AL14" t="s">
        <v>63</v>
      </c>
      <c r="AM14" t="s">
        <v>61</v>
      </c>
      <c r="AN14" t="s">
        <v>64</v>
      </c>
      <c r="AO14" t="s">
        <v>137</v>
      </c>
      <c r="AP14">
        <v>1</v>
      </c>
      <c r="AQ14" t="s">
        <v>66</v>
      </c>
      <c r="AR14" t="s">
        <v>67</v>
      </c>
      <c r="AS14">
        <v>1996</v>
      </c>
      <c r="AT14" t="s">
        <v>49</v>
      </c>
      <c r="AU14" t="s">
        <v>48</v>
      </c>
      <c r="AV14" t="s">
        <v>48</v>
      </c>
      <c r="AW14" t="s">
        <v>48</v>
      </c>
    </row>
    <row r="15" spans="1:49" x14ac:dyDescent="0.3">
      <c r="A15" t="s">
        <v>138</v>
      </c>
      <c r="B15" t="s">
        <v>48</v>
      </c>
      <c r="C15" t="s">
        <v>49</v>
      </c>
      <c r="D15">
        <v>374.44</v>
      </c>
      <c r="E15">
        <v>0</v>
      </c>
      <c r="F15">
        <v>3.91</v>
      </c>
      <c r="G15" t="s">
        <v>139</v>
      </c>
      <c r="H15" t="s">
        <v>140</v>
      </c>
      <c r="I15" t="s">
        <v>52</v>
      </c>
      <c r="J15" t="s">
        <v>53</v>
      </c>
      <c r="K15">
        <v>7.8</v>
      </c>
      <c r="L15" t="s">
        <v>54</v>
      </c>
      <c r="M15">
        <f>DOWNLOAD_2kLRbPnDtawQopEJ_UKtt22ud9U57gk8mqebZIeugNk[[#This Row],[Standard Value]]/DOWNLOAD_2kLRbPnDtawQopEJ_UKtt22ud9U57gk8mqebZIeugNk[[#This Row],[Molecular Weight]]*1000*1000</f>
        <v>20831.107787629528</v>
      </c>
      <c r="N15">
        <f>-LOG(DOWNLOAD_2kLRbPnDtawQopEJ_UKtt22ud9U57gk8mqebZIeugNk[[#This Row],[IC50]]*POWER(10, -9), 10)</f>
        <v>4.6812876338802942</v>
      </c>
      <c r="P15" t="s">
        <v>48</v>
      </c>
      <c r="R15" t="s">
        <v>55</v>
      </c>
      <c r="W15">
        <v>0</v>
      </c>
      <c r="X15" t="s">
        <v>135</v>
      </c>
      <c r="Y15" t="s">
        <v>136</v>
      </c>
      <c r="Z15" t="s">
        <v>58</v>
      </c>
      <c r="AA15" t="s">
        <v>59</v>
      </c>
      <c r="AB15" t="s">
        <v>60</v>
      </c>
      <c r="AC15" t="s">
        <v>61</v>
      </c>
      <c r="AD15" t="s">
        <v>49</v>
      </c>
      <c r="AE15" t="s">
        <v>49</v>
      </c>
      <c r="AF15" t="s">
        <v>49</v>
      </c>
      <c r="AG15" t="s">
        <v>49</v>
      </c>
      <c r="AH15" t="s">
        <v>48</v>
      </c>
      <c r="AI15" t="s">
        <v>48</v>
      </c>
      <c r="AJ15" t="s">
        <v>48</v>
      </c>
      <c r="AK15" t="s">
        <v>62</v>
      </c>
      <c r="AL15" t="s">
        <v>63</v>
      </c>
      <c r="AM15" t="s">
        <v>61</v>
      </c>
      <c r="AN15" t="s">
        <v>64</v>
      </c>
      <c r="AO15" t="s">
        <v>137</v>
      </c>
      <c r="AP15">
        <v>1</v>
      </c>
      <c r="AQ15" t="s">
        <v>66</v>
      </c>
      <c r="AR15" t="s">
        <v>67</v>
      </c>
      <c r="AS15">
        <v>1996</v>
      </c>
      <c r="AT15" t="s">
        <v>49</v>
      </c>
      <c r="AU15" t="s">
        <v>48</v>
      </c>
      <c r="AV15" t="s">
        <v>48</v>
      </c>
      <c r="AW15" t="s">
        <v>48</v>
      </c>
    </row>
    <row r="16" spans="1:49" x14ac:dyDescent="0.3">
      <c r="A16" t="s">
        <v>141</v>
      </c>
      <c r="B16" t="s">
        <v>48</v>
      </c>
      <c r="C16" t="s">
        <v>49</v>
      </c>
      <c r="D16">
        <v>520.20000000000005</v>
      </c>
      <c r="E16">
        <v>1</v>
      </c>
      <c r="F16">
        <v>2.79</v>
      </c>
      <c r="G16" t="s">
        <v>142</v>
      </c>
      <c r="H16" t="s">
        <v>143</v>
      </c>
      <c r="I16" t="s">
        <v>52</v>
      </c>
      <c r="J16" t="s">
        <v>53</v>
      </c>
      <c r="K16">
        <v>9100</v>
      </c>
      <c r="L16" t="s">
        <v>126</v>
      </c>
      <c r="M16">
        <f>DOWNLOAD_2kLRbPnDtawQopEJ_UKtt22ud9U57gk8mqebZIeugNk[[#This Row],[Standard Value]]</f>
        <v>9100</v>
      </c>
      <c r="N16">
        <f>-LOG(DOWNLOAD_2kLRbPnDtawQopEJ_UKtt22ud9U57gk8mqebZIeugNk[[#This Row],[IC50]]*POWER(10, -9), 10)</f>
        <v>5.0409586076789052</v>
      </c>
      <c r="O16">
        <v>5.04</v>
      </c>
      <c r="P16" t="s">
        <v>48</v>
      </c>
      <c r="R16" t="s">
        <v>127</v>
      </c>
      <c r="S16">
        <v>9.69</v>
      </c>
      <c r="T16">
        <v>0.25</v>
      </c>
      <c r="U16">
        <v>2.25</v>
      </c>
      <c r="V16">
        <v>4.45</v>
      </c>
      <c r="W16">
        <v>0</v>
      </c>
      <c r="X16" t="s">
        <v>144</v>
      </c>
      <c r="Y16" t="s">
        <v>145</v>
      </c>
      <c r="Z16" t="s">
        <v>58</v>
      </c>
      <c r="AA16" t="s">
        <v>59</v>
      </c>
      <c r="AB16" t="s">
        <v>60</v>
      </c>
      <c r="AC16" t="s">
        <v>61</v>
      </c>
      <c r="AD16" t="s">
        <v>49</v>
      </c>
      <c r="AE16" t="s">
        <v>49</v>
      </c>
      <c r="AF16" t="s">
        <v>49</v>
      </c>
      <c r="AG16" t="s">
        <v>49</v>
      </c>
      <c r="AH16" t="s">
        <v>48</v>
      </c>
      <c r="AI16" t="s">
        <v>48</v>
      </c>
      <c r="AJ16" t="s">
        <v>48</v>
      </c>
      <c r="AK16" t="s">
        <v>62</v>
      </c>
      <c r="AL16" t="s">
        <v>63</v>
      </c>
      <c r="AM16" t="s">
        <v>61</v>
      </c>
      <c r="AN16" t="s">
        <v>64</v>
      </c>
      <c r="AO16" t="s">
        <v>146</v>
      </c>
      <c r="AP16">
        <v>1</v>
      </c>
      <c r="AQ16" t="s">
        <v>66</v>
      </c>
      <c r="AR16" t="s">
        <v>67</v>
      </c>
      <c r="AS16">
        <v>2015</v>
      </c>
      <c r="AT16" t="s">
        <v>49</v>
      </c>
      <c r="AU16" t="s">
        <v>48</v>
      </c>
      <c r="AV16" t="s">
        <v>48</v>
      </c>
      <c r="AW16" t="s">
        <v>48</v>
      </c>
    </row>
    <row r="17" spans="1:49" x14ac:dyDescent="0.3">
      <c r="A17" t="s">
        <v>147</v>
      </c>
      <c r="B17" t="s">
        <v>48</v>
      </c>
      <c r="C17" t="s">
        <v>49</v>
      </c>
      <c r="D17">
        <v>376.42</v>
      </c>
      <c r="E17">
        <v>0</v>
      </c>
      <c r="F17">
        <v>3.61</v>
      </c>
      <c r="G17" t="s">
        <v>148</v>
      </c>
      <c r="H17" t="s">
        <v>149</v>
      </c>
      <c r="I17" t="s">
        <v>52</v>
      </c>
      <c r="J17" t="s">
        <v>53</v>
      </c>
      <c r="K17">
        <v>430</v>
      </c>
      <c r="L17" t="s">
        <v>126</v>
      </c>
      <c r="M17">
        <f>DOWNLOAD_2kLRbPnDtawQopEJ_UKtt22ud9U57gk8mqebZIeugNk[[#This Row],[Standard Value]]</f>
        <v>430</v>
      </c>
      <c r="N17">
        <f>-LOG(DOWNLOAD_2kLRbPnDtawQopEJ_UKtt22ud9U57gk8mqebZIeugNk[[#This Row],[IC50]]*POWER(10, -9), 10)</f>
        <v>6.3665315444204129</v>
      </c>
      <c r="O17">
        <v>6.37</v>
      </c>
      <c r="P17" t="s">
        <v>48</v>
      </c>
      <c r="R17" t="s">
        <v>127</v>
      </c>
      <c r="S17">
        <v>16.91</v>
      </c>
      <c r="T17">
        <v>0.31</v>
      </c>
      <c r="U17">
        <v>2.76</v>
      </c>
      <c r="V17">
        <v>5.89</v>
      </c>
      <c r="W17">
        <v>0</v>
      </c>
      <c r="X17" t="s">
        <v>128</v>
      </c>
      <c r="Y17" t="s">
        <v>129</v>
      </c>
      <c r="Z17" t="s">
        <v>58</v>
      </c>
      <c r="AA17" t="s">
        <v>59</v>
      </c>
      <c r="AB17" t="s">
        <v>60</v>
      </c>
      <c r="AC17" t="s">
        <v>61</v>
      </c>
      <c r="AD17" t="s">
        <v>49</v>
      </c>
      <c r="AE17" t="s">
        <v>49</v>
      </c>
      <c r="AF17" t="s">
        <v>49</v>
      </c>
      <c r="AG17" t="s">
        <v>49</v>
      </c>
      <c r="AH17" t="s">
        <v>48</v>
      </c>
      <c r="AI17" t="s">
        <v>48</v>
      </c>
      <c r="AJ17" t="s">
        <v>48</v>
      </c>
      <c r="AK17" t="s">
        <v>62</v>
      </c>
      <c r="AL17" t="s">
        <v>63</v>
      </c>
      <c r="AM17" t="s">
        <v>61</v>
      </c>
      <c r="AN17" t="s">
        <v>64</v>
      </c>
      <c r="AO17" t="s">
        <v>130</v>
      </c>
      <c r="AP17">
        <v>1</v>
      </c>
      <c r="AQ17" t="s">
        <v>66</v>
      </c>
      <c r="AR17" t="s">
        <v>131</v>
      </c>
      <c r="AS17">
        <v>2014</v>
      </c>
      <c r="AT17" t="s">
        <v>49</v>
      </c>
      <c r="AU17" t="s">
        <v>48</v>
      </c>
      <c r="AV17" t="s">
        <v>48</v>
      </c>
      <c r="AW17" t="s">
        <v>48</v>
      </c>
    </row>
    <row r="18" spans="1:49" x14ac:dyDescent="0.3">
      <c r="A18" t="s">
        <v>150</v>
      </c>
      <c r="B18" t="s">
        <v>48</v>
      </c>
      <c r="C18" t="s">
        <v>49</v>
      </c>
      <c r="D18">
        <v>375.43</v>
      </c>
      <c r="E18">
        <v>0</v>
      </c>
      <c r="F18">
        <v>4.22</v>
      </c>
      <c r="G18" t="s">
        <v>151</v>
      </c>
      <c r="H18" t="s">
        <v>152</v>
      </c>
      <c r="I18" t="s">
        <v>52</v>
      </c>
      <c r="J18" t="s">
        <v>53</v>
      </c>
      <c r="K18">
        <v>40</v>
      </c>
      <c r="L18" t="s">
        <v>126</v>
      </c>
      <c r="M18">
        <f>DOWNLOAD_2kLRbPnDtawQopEJ_UKtt22ud9U57gk8mqebZIeugNk[[#This Row],[Standard Value]]</f>
        <v>40</v>
      </c>
      <c r="N18">
        <f>-LOG(DOWNLOAD_2kLRbPnDtawQopEJ_UKtt22ud9U57gk8mqebZIeugNk[[#This Row],[IC50]]*POWER(10, -9), 10)</f>
        <v>7.3979400086720375</v>
      </c>
      <c r="O18">
        <v>7.4</v>
      </c>
      <c r="P18" t="s">
        <v>48</v>
      </c>
      <c r="R18" t="s">
        <v>127</v>
      </c>
      <c r="S18">
        <v>19.71</v>
      </c>
      <c r="T18">
        <v>0.36</v>
      </c>
      <c r="U18">
        <v>3.18</v>
      </c>
      <c r="V18">
        <v>7.78</v>
      </c>
      <c r="W18">
        <v>0</v>
      </c>
      <c r="X18" t="s">
        <v>128</v>
      </c>
      <c r="Y18" t="s">
        <v>129</v>
      </c>
      <c r="Z18" t="s">
        <v>58</v>
      </c>
      <c r="AA18" t="s">
        <v>59</v>
      </c>
      <c r="AB18" t="s">
        <v>60</v>
      </c>
      <c r="AC18" t="s">
        <v>61</v>
      </c>
      <c r="AD18" t="s">
        <v>49</v>
      </c>
      <c r="AE18" t="s">
        <v>49</v>
      </c>
      <c r="AF18" t="s">
        <v>49</v>
      </c>
      <c r="AG18" t="s">
        <v>49</v>
      </c>
      <c r="AH18" t="s">
        <v>48</v>
      </c>
      <c r="AI18" t="s">
        <v>48</v>
      </c>
      <c r="AJ18" t="s">
        <v>48</v>
      </c>
      <c r="AK18" t="s">
        <v>62</v>
      </c>
      <c r="AL18" t="s">
        <v>63</v>
      </c>
      <c r="AM18" t="s">
        <v>61</v>
      </c>
      <c r="AN18" t="s">
        <v>64</v>
      </c>
      <c r="AO18" t="s">
        <v>130</v>
      </c>
      <c r="AP18">
        <v>1</v>
      </c>
      <c r="AQ18" t="s">
        <v>66</v>
      </c>
      <c r="AR18" t="s">
        <v>131</v>
      </c>
      <c r="AS18">
        <v>2014</v>
      </c>
      <c r="AT18" t="s">
        <v>49</v>
      </c>
      <c r="AU18" t="s">
        <v>48</v>
      </c>
      <c r="AV18" t="s">
        <v>48</v>
      </c>
      <c r="AW18" t="s">
        <v>48</v>
      </c>
    </row>
    <row r="19" spans="1:49" x14ac:dyDescent="0.3">
      <c r="A19" t="s">
        <v>153</v>
      </c>
      <c r="B19" t="s">
        <v>48</v>
      </c>
      <c r="C19" t="s">
        <v>49</v>
      </c>
      <c r="D19">
        <v>384.83</v>
      </c>
      <c r="E19">
        <v>0</v>
      </c>
      <c r="F19">
        <v>3.31</v>
      </c>
      <c r="G19" t="s">
        <v>154</v>
      </c>
      <c r="H19" t="s">
        <v>155</v>
      </c>
      <c r="I19" t="s">
        <v>52</v>
      </c>
      <c r="J19" t="s">
        <v>53</v>
      </c>
      <c r="K19">
        <v>550</v>
      </c>
      <c r="L19" t="s">
        <v>126</v>
      </c>
      <c r="M19">
        <f>DOWNLOAD_2kLRbPnDtawQopEJ_UKtt22ud9U57gk8mqebZIeugNk[[#This Row],[Standard Value]]</f>
        <v>550</v>
      </c>
      <c r="N19">
        <f>-LOG(DOWNLOAD_2kLRbPnDtawQopEJ_UKtt22ud9U57gk8mqebZIeugNk[[#This Row],[IC50]]*POWER(10, -9), 10)</f>
        <v>6.2596373105057559</v>
      </c>
      <c r="O19">
        <v>6.26</v>
      </c>
      <c r="P19" t="s">
        <v>48</v>
      </c>
      <c r="R19" t="s">
        <v>127</v>
      </c>
      <c r="S19">
        <v>16.27</v>
      </c>
      <c r="T19">
        <v>0.32</v>
      </c>
      <c r="U19">
        <v>2.95</v>
      </c>
      <c r="V19">
        <v>6.2</v>
      </c>
      <c r="W19">
        <v>0</v>
      </c>
      <c r="X19" t="s">
        <v>128</v>
      </c>
      <c r="Y19" t="s">
        <v>129</v>
      </c>
      <c r="Z19" t="s">
        <v>58</v>
      </c>
      <c r="AA19" t="s">
        <v>59</v>
      </c>
      <c r="AB19" t="s">
        <v>60</v>
      </c>
      <c r="AC19" t="s">
        <v>61</v>
      </c>
      <c r="AD19" t="s">
        <v>49</v>
      </c>
      <c r="AE19" t="s">
        <v>49</v>
      </c>
      <c r="AF19" t="s">
        <v>49</v>
      </c>
      <c r="AG19" t="s">
        <v>49</v>
      </c>
      <c r="AH19" t="s">
        <v>48</v>
      </c>
      <c r="AI19" t="s">
        <v>48</v>
      </c>
      <c r="AJ19" t="s">
        <v>48</v>
      </c>
      <c r="AK19" t="s">
        <v>62</v>
      </c>
      <c r="AL19" t="s">
        <v>63</v>
      </c>
      <c r="AM19" t="s">
        <v>61</v>
      </c>
      <c r="AN19" t="s">
        <v>64</v>
      </c>
      <c r="AO19" t="s">
        <v>130</v>
      </c>
      <c r="AP19">
        <v>1</v>
      </c>
      <c r="AQ19" t="s">
        <v>66</v>
      </c>
      <c r="AR19" t="s">
        <v>131</v>
      </c>
      <c r="AS19">
        <v>2014</v>
      </c>
      <c r="AT19" t="s">
        <v>49</v>
      </c>
      <c r="AU19" t="s">
        <v>48</v>
      </c>
      <c r="AV19" t="s">
        <v>48</v>
      </c>
      <c r="AW19" t="s">
        <v>48</v>
      </c>
    </row>
    <row r="20" spans="1:49" x14ac:dyDescent="0.3">
      <c r="A20" t="s">
        <v>156</v>
      </c>
      <c r="B20" t="s">
        <v>48</v>
      </c>
      <c r="C20" t="s">
        <v>49</v>
      </c>
      <c r="D20">
        <v>343.34</v>
      </c>
      <c r="E20">
        <v>0</v>
      </c>
      <c r="F20">
        <v>1.66</v>
      </c>
      <c r="G20" t="s">
        <v>157</v>
      </c>
      <c r="H20" t="s">
        <v>158</v>
      </c>
      <c r="I20" t="s">
        <v>52</v>
      </c>
      <c r="J20" t="s">
        <v>53</v>
      </c>
      <c r="K20">
        <v>14000</v>
      </c>
      <c r="L20" t="s">
        <v>126</v>
      </c>
      <c r="M20">
        <f>DOWNLOAD_2kLRbPnDtawQopEJ_UKtt22ud9U57gk8mqebZIeugNk[[#This Row],[Standard Value]]</f>
        <v>14000</v>
      </c>
      <c r="N20">
        <f>-LOG(DOWNLOAD_2kLRbPnDtawQopEJ_UKtt22ud9U57gk8mqebZIeugNk[[#This Row],[IC50]]*POWER(10, -9), 10)</f>
        <v>4.8538719643217609</v>
      </c>
      <c r="O20">
        <v>4.8499999999999996</v>
      </c>
      <c r="P20" t="s">
        <v>48</v>
      </c>
      <c r="R20" t="s">
        <v>127</v>
      </c>
      <c r="S20">
        <v>14.14</v>
      </c>
      <c r="T20">
        <v>0.27</v>
      </c>
      <c r="U20">
        <v>3.19</v>
      </c>
      <c r="V20">
        <v>3.97</v>
      </c>
      <c r="W20">
        <v>0</v>
      </c>
      <c r="X20" t="s">
        <v>128</v>
      </c>
      <c r="Y20" t="s">
        <v>129</v>
      </c>
      <c r="Z20" t="s">
        <v>58</v>
      </c>
      <c r="AA20" t="s">
        <v>59</v>
      </c>
      <c r="AB20" t="s">
        <v>60</v>
      </c>
      <c r="AC20" t="s">
        <v>61</v>
      </c>
      <c r="AD20" t="s">
        <v>49</v>
      </c>
      <c r="AE20" t="s">
        <v>49</v>
      </c>
      <c r="AF20" t="s">
        <v>49</v>
      </c>
      <c r="AG20" t="s">
        <v>49</v>
      </c>
      <c r="AH20" t="s">
        <v>48</v>
      </c>
      <c r="AI20" t="s">
        <v>48</v>
      </c>
      <c r="AJ20" t="s">
        <v>48</v>
      </c>
      <c r="AK20" t="s">
        <v>62</v>
      </c>
      <c r="AL20" t="s">
        <v>63</v>
      </c>
      <c r="AM20" t="s">
        <v>61</v>
      </c>
      <c r="AN20" t="s">
        <v>64</v>
      </c>
      <c r="AO20" t="s">
        <v>130</v>
      </c>
      <c r="AP20">
        <v>1</v>
      </c>
      <c r="AQ20" t="s">
        <v>66</v>
      </c>
      <c r="AR20" t="s">
        <v>131</v>
      </c>
      <c r="AS20">
        <v>2014</v>
      </c>
      <c r="AT20" t="s">
        <v>49</v>
      </c>
      <c r="AU20" t="s">
        <v>48</v>
      </c>
      <c r="AV20" t="s">
        <v>48</v>
      </c>
      <c r="AW20" t="s">
        <v>48</v>
      </c>
    </row>
    <row r="21" spans="1:49" x14ac:dyDescent="0.3">
      <c r="A21" t="s">
        <v>159</v>
      </c>
      <c r="B21" t="s">
        <v>48</v>
      </c>
      <c r="C21" t="s">
        <v>49</v>
      </c>
      <c r="D21">
        <v>570.66</v>
      </c>
      <c r="E21">
        <v>1</v>
      </c>
      <c r="F21">
        <v>2.75</v>
      </c>
      <c r="G21" t="s">
        <v>160</v>
      </c>
      <c r="H21" t="s">
        <v>161</v>
      </c>
      <c r="I21" t="s">
        <v>52</v>
      </c>
      <c r="J21" t="s">
        <v>53</v>
      </c>
      <c r="K21">
        <v>0.14000000000000001</v>
      </c>
      <c r="L21" t="s">
        <v>54</v>
      </c>
      <c r="M21">
        <f>DOWNLOAD_2kLRbPnDtawQopEJ_UKtt22ud9U57gk8mqebZIeugNk[[#This Row],[Standard Value]]/DOWNLOAD_2kLRbPnDtawQopEJ_UKtt22ud9U57gk8mqebZIeugNk[[#This Row],[Molecular Weight]]*1000*1000</f>
        <v>245.32996880804689</v>
      </c>
      <c r="N21">
        <f>-LOG(DOWNLOAD_2kLRbPnDtawQopEJ_UKtt22ud9U57gk8mqebZIeugNk[[#This Row],[IC50]]*POWER(10, -9), 10)</f>
        <v>6.6102493963799311</v>
      </c>
      <c r="P21" t="s">
        <v>48</v>
      </c>
      <c r="R21" t="s">
        <v>55</v>
      </c>
      <c r="W21">
        <v>0</v>
      </c>
      <c r="X21" t="s">
        <v>86</v>
      </c>
      <c r="Y21" t="s">
        <v>87</v>
      </c>
      <c r="Z21" t="s">
        <v>58</v>
      </c>
      <c r="AA21" t="s">
        <v>59</v>
      </c>
      <c r="AB21" t="s">
        <v>60</v>
      </c>
      <c r="AC21" t="s">
        <v>61</v>
      </c>
      <c r="AD21" t="s">
        <v>49</v>
      </c>
      <c r="AE21" t="s">
        <v>49</v>
      </c>
      <c r="AF21" t="s">
        <v>49</v>
      </c>
      <c r="AG21" t="s">
        <v>49</v>
      </c>
      <c r="AH21" t="s">
        <v>48</v>
      </c>
      <c r="AI21" t="s">
        <v>48</v>
      </c>
      <c r="AJ21" t="s">
        <v>48</v>
      </c>
      <c r="AK21" t="s">
        <v>62</v>
      </c>
      <c r="AL21" t="s">
        <v>63</v>
      </c>
      <c r="AM21" t="s">
        <v>61</v>
      </c>
      <c r="AN21" t="s">
        <v>64</v>
      </c>
      <c r="AO21" t="s">
        <v>88</v>
      </c>
      <c r="AP21">
        <v>1</v>
      </c>
      <c r="AQ21" t="s">
        <v>66</v>
      </c>
      <c r="AR21" t="s">
        <v>76</v>
      </c>
      <c r="AS21">
        <v>2001</v>
      </c>
      <c r="AT21" t="s">
        <v>49</v>
      </c>
      <c r="AU21" t="s">
        <v>48</v>
      </c>
      <c r="AV21" t="s">
        <v>48</v>
      </c>
      <c r="AW21" t="s">
        <v>48</v>
      </c>
    </row>
    <row r="22" spans="1:49" x14ac:dyDescent="0.3">
      <c r="A22" t="s">
        <v>162</v>
      </c>
      <c r="B22" t="s">
        <v>163</v>
      </c>
      <c r="C22" t="s">
        <v>112</v>
      </c>
      <c r="D22">
        <v>392.41</v>
      </c>
      <c r="E22">
        <v>0</v>
      </c>
      <c r="F22">
        <v>2.08</v>
      </c>
      <c r="G22" t="s">
        <v>164</v>
      </c>
      <c r="H22" t="s">
        <v>165</v>
      </c>
      <c r="I22" t="s">
        <v>52</v>
      </c>
      <c r="J22" t="s">
        <v>53</v>
      </c>
      <c r="K22">
        <v>0.25</v>
      </c>
      <c r="L22" t="s">
        <v>54</v>
      </c>
      <c r="M22">
        <f>DOWNLOAD_2kLRbPnDtawQopEJ_UKtt22ud9U57gk8mqebZIeugNk[[#This Row],[Standard Value]]/DOWNLOAD_2kLRbPnDtawQopEJ_UKtt22ud9U57gk8mqebZIeugNk[[#This Row],[Molecular Weight]]*1000*1000</f>
        <v>637.08875920593255</v>
      </c>
      <c r="N22">
        <f>-LOG(DOWNLOAD_2kLRbPnDtawQopEJ_UKtt22ud9U57gk8mqebZIeugNk[[#This Row],[IC50]]*POWER(10, -9), 10)</f>
        <v>6.195800057542197</v>
      </c>
      <c r="P22" t="s">
        <v>48</v>
      </c>
      <c r="R22" t="s">
        <v>55</v>
      </c>
      <c r="W22">
        <v>0</v>
      </c>
      <c r="X22" t="s">
        <v>166</v>
      </c>
      <c r="Y22" t="s">
        <v>167</v>
      </c>
      <c r="Z22" t="s">
        <v>168</v>
      </c>
      <c r="AA22" t="s">
        <v>169</v>
      </c>
      <c r="AB22" t="s">
        <v>170</v>
      </c>
      <c r="AC22" t="s">
        <v>61</v>
      </c>
      <c r="AD22" t="s">
        <v>49</v>
      </c>
      <c r="AE22" t="s">
        <v>49</v>
      </c>
      <c r="AF22" t="s">
        <v>49</v>
      </c>
      <c r="AG22" t="s">
        <v>49</v>
      </c>
      <c r="AH22" t="s">
        <v>48</v>
      </c>
      <c r="AI22" t="s">
        <v>48</v>
      </c>
      <c r="AJ22" t="s">
        <v>48</v>
      </c>
      <c r="AK22" t="s">
        <v>62</v>
      </c>
      <c r="AL22" t="s">
        <v>63</v>
      </c>
      <c r="AM22" t="s">
        <v>61</v>
      </c>
      <c r="AN22" t="s">
        <v>64</v>
      </c>
      <c r="AO22" t="s">
        <v>171</v>
      </c>
      <c r="AP22">
        <v>1</v>
      </c>
      <c r="AQ22" t="s">
        <v>66</v>
      </c>
      <c r="AR22" t="s">
        <v>67</v>
      </c>
      <c r="AS22">
        <v>2004</v>
      </c>
      <c r="AT22" t="s">
        <v>49</v>
      </c>
      <c r="AU22" t="s">
        <v>48</v>
      </c>
      <c r="AV22" t="s">
        <v>48</v>
      </c>
      <c r="AW22" t="s">
        <v>48</v>
      </c>
    </row>
    <row r="23" spans="1:49" x14ac:dyDescent="0.3">
      <c r="A23" t="s">
        <v>172</v>
      </c>
      <c r="B23" t="s">
        <v>48</v>
      </c>
      <c r="C23" t="s">
        <v>49</v>
      </c>
      <c r="D23">
        <v>389.4</v>
      </c>
      <c r="E23">
        <v>0</v>
      </c>
      <c r="F23">
        <v>2.77</v>
      </c>
      <c r="G23" t="s">
        <v>173</v>
      </c>
      <c r="H23" t="s">
        <v>174</v>
      </c>
      <c r="I23" t="s">
        <v>52</v>
      </c>
      <c r="J23" t="s">
        <v>53</v>
      </c>
      <c r="K23">
        <v>3.8</v>
      </c>
      <c r="L23" t="s">
        <v>54</v>
      </c>
      <c r="M23">
        <f>DOWNLOAD_2kLRbPnDtawQopEJ_UKtt22ud9U57gk8mqebZIeugNk[[#This Row],[Standard Value]]/DOWNLOAD_2kLRbPnDtawQopEJ_UKtt22ud9U57gk8mqebZIeugNk[[#This Row],[Molecular Weight]]*1000*1000</f>
        <v>9758.6029789419626</v>
      </c>
      <c r="N23">
        <f>-LOG(DOWNLOAD_2kLRbPnDtawQopEJ_UKtt22ud9U57gk8mqebZIeugNk[[#This Row],[IC50]]*POWER(10, -9), 10)</f>
        <v>5.0106123505672029</v>
      </c>
      <c r="P23" t="s">
        <v>48</v>
      </c>
      <c r="R23" t="s">
        <v>55</v>
      </c>
      <c r="W23">
        <v>0</v>
      </c>
      <c r="X23" t="s">
        <v>98</v>
      </c>
      <c r="Y23" t="s">
        <v>99</v>
      </c>
      <c r="Z23" t="s">
        <v>58</v>
      </c>
      <c r="AA23" t="s">
        <v>59</v>
      </c>
      <c r="AB23" t="s">
        <v>60</v>
      </c>
      <c r="AC23" t="s">
        <v>49</v>
      </c>
      <c r="AD23" t="s">
        <v>49</v>
      </c>
      <c r="AE23" t="s">
        <v>49</v>
      </c>
      <c r="AF23" t="s">
        <v>49</v>
      </c>
      <c r="AG23" t="s">
        <v>49</v>
      </c>
      <c r="AH23" t="s">
        <v>48</v>
      </c>
      <c r="AI23" t="s">
        <v>48</v>
      </c>
      <c r="AJ23" t="s">
        <v>48</v>
      </c>
      <c r="AK23" t="s">
        <v>62</v>
      </c>
      <c r="AL23" t="s">
        <v>63</v>
      </c>
      <c r="AM23" t="s">
        <v>61</v>
      </c>
      <c r="AN23" t="s">
        <v>64</v>
      </c>
      <c r="AO23" t="s">
        <v>100</v>
      </c>
      <c r="AP23">
        <v>1</v>
      </c>
      <c r="AQ23" t="s">
        <v>66</v>
      </c>
      <c r="AR23" t="s">
        <v>67</v>
      </c>
      <c r="AS23">
        <v>1991</v>
      </c>
      <c r="AT23" t="s">
        <v>49</v>
      </c>
      <c r="AU23" t="s">
        <v>48</v>
      </c>
      <c r="AV23" t="s">
        <v>48</v>
      </c>
      <c r="AW23" t="s">
        <v>48</v>
      </c>
    </row>
    <row r="24" spans="1:49" x14ac:dyDescent="0.3">
      <c r="A24" t="s">
        <v>175</v>
      </c>
      <c r="B24" t="s">
        <v>48</v>
      </c>
      <c r="C24" t="s">
        <v>49</v>
      </c>
      <c r="D24">
        <v>555.63</v>
      </c>
      <c r="E24">
        <v>1</v>
      </c>
      <c r="F24">
        <v>2.65</v>
      </c>
      <c r="G24" t="s">
        <v>176</v>
      </c>
      <c r="H24" t="s">
        <v>177</v>
      </c>
      <c r="I24" t="s">
        <v>52</v>
      </c>
      <c r="J24" t="s">
        <v>53</v>
      </c>
      <c r="K24">
        <v>0.125</v>
      </c>
      <c r="L24" t="s">
        <v>54</v>
      </c>
      <c r="M24">
        <f>DOWNLOAD_2kLRbPnDtawQopEJ_UKtt22ud9U57gk8mqebZIeugNk[[#This Row],[Standard Value]]/DOWNLOAD_2kLRbPnDtawQopEJ_UKtt22ud9U57gk8mqebZIeugNk[[#This Row],[Molecular Weight]]*1000*1000</f>
        <v>224.96985403955873</v>
      </c>
      <c r="N24">
        <f>-LOG(DOWNLOAD_2kLRbPnDtawQopEJ_UKtt22ud9U57gk8mqebZIeugNk[[#This Row],[IC50]]*POWER(10, -9), 10)</f>
        <v>6.6478756734504643</v>
      </c>
      <c r="P24" t="s">
        <v>48</v>
      </c>
      <c r="R24" t="s">
        <v>55</v>
      </c>
      <c r="W24">
        <v>0</v>
      </c>
      <c r="X24" t="s">
        <v>86</v>
      </c>
      <c r="Y24" t="s">
        <v>87</v>
      </c>
      <c r="Z24" t="s">
        <v>58</v>
      </c>
      <c r="AA24" t="s">
        <v>59</v>
      </c>
      <c r="AB24" t="s">
        <v>60</v>
      </c>
      <c r="AC24" t="s">
        <v>61</v>
      </c>
      <c r="AD24" t="s">
        <v>49</v>
      </c>
      <c r="AE24" t="s">
        <v>49</v>
      </c>
      <c r="AF24" t="s">
        <v>49</v>
      </c>
      <c r="AG24" t="s">
        <v>49</v>
      </c>
      <c r="AH24" t="s">
        <v>48</v>
      </c>
      <c r="AI24" t="s">
        <v>48</v>
      </c>
      <c r="AJ24" t="s">
        <v>48</v>
      </c>
      <c r="AK24" t="s">
        <v>62</v>
      </c>
      <c r="AL24" t="s">
        <v>63</v>
      </c>
      <c r="AM24" t="s">
        <v>61</v>
      </c>
      <c r="AN24" t="s">
        <v>64</v>
      </c>
      <c r="AO24" t="s">
        <v>88</v>
      </c>
      <c r="AP24">
        <v>1</v>
      </c>
      <c r="AQ24" t="s">
        <v>66</v>
      </c>
      <c r="AR24" t="s">
        <v>76</v>
      </c>
      <c r="AS24">
        <v>2001</v>
      </c>
      <c r="AT24" t="s">
        <v>49</v>
      </c>
      <c r="AU24" t="s">
        <v>48</v>
      </c>
      <c r="AV24" t="s">
        <v>48</v>
      </c>
      <c r="AW24" t="s">
        <v>48</v>
      </c>
    </row>
    <row r="25" spans="1:49" x14ac:dyDescent="0.3">
      <c r="A25" t="s">
        <v>178</v>
      </c>
      <c r="B25" t="s">
        <v>48</v>
      </c>
      <c r="C25" t="s">
        <v>49</v>
      </c>
      <c r="D25">
        <v>304.32</v>
      </c>
      <c r="E25">
        <v>0</v>
      </c>
      <c r="F25">
        <v>2.46</v>
      </c>
      <c r="G25" t="s">
        <v>179</v>
      </c>
      <c r="H25" t="s">
        <v>180</v>
      </c>
      <c r="I25" t="s">
        <v>52</v>
      </c>
      <c r="J25" t="s">
        <v>53</v>
      </c>
      <c r="K25">
        <v>26</v>
      </c>
      <c r="L25" t="s">
        <v>54</v>
      </c>
      <c r="M25">
        <f>DOWNLOAD_2kLRbPnDtawQopEJ_UKtt22ud9U57gk8mqebZIeugNk[[#This Row],[Standard Value]]/DOWNLOAD_2kLRbPnDtawQopEJ_UKtt22ud9U57gk8mqebZIeugNk[[#This Row],[Molecular Weight]]*1000*1000</f>
        <v>85436.382754994745</v>
      </c>
      <c r="N25">
        <f>-LOG(DOWNLOAD_2kLRbPnDtawQopEJ_UKtt22ud9U57gk8mqebZIeugNk[[#This Row],[IC50]]*POWER(10, -9), 10)</f>
        <v>4.068357147286501</v>
      </c>
      <c r="P25" t="s">
        <v>48</v>
      </c>
      <c r="R25" t="s">
        <v>55</v>
      </c>
      <c r="W25">
        <v>0</v>
      </c>
      <c r="X25" t="s">
        <v>115</v>
      </c>
      <c r="Y25" t="s">
        <v>116</v>
      </c>
      <c r="Z25" t="s">
        <v>58</v>
      </c>
      <c r="AA25" t="s">
        <v>59</v>
      </c>
      <c r="AB25" t="s">
        <v>60</v>
      </c>
      <c r="AC25" t="s">
        <v>61</v>
      </c>
      <c r="AD25" t="s">
        <v>49</v>
      </c>
      <c r="AE25" t="s">
        <v>49</v>
      </c>
      <c r="AF25" t="s">
        <v>49</v>
      </c>
      <c r="AG25" t="s">
        <v>49</v>
      </c>
      <c r="AH25" t="s">
        <v>48</v>
      </c>
      <c r="AI25" t="s">
        <v>48</v>
      </c>
      <c r="AJ25" t="s">
        <v>48</v>
      </c>
      <c r="AK25" t="s">
        <v>62</v>
      </c>
      <c r="AL25" t="s">
        <v>63</v>
      </c>
      <c r="AM25" t="s">
        <v>61</v>
      </c>
      <c r="AN25" t="s">
        <v>64</v>
      </c>
      <c r="AO25" t="s">
        <v>117</v>
      </c>
      <c r="AP25">
        <v>1</v>
      </c>
      <c r="AQ25" t="s">
        <v>66</v>
      </c>
      <c r="AR25" t="s">
        <v>67</v>
      </c>
      <c r="AS25">
        <v>1986</v>
      </c>
      <c r="AT25" t="s">
        <v>49</v>
      </c>
      <c r="AU25" t="s">
        <v>48</v>
      </c>
      <c r="AV25" t="s">
        <v>48</v>
      </c>
      <c r="AW25" t="s">
        <v>48</v>
      </c>
    </row>
    <row r="26" spans="1:49" x14ac:dyDescent="0.3">
      <c r="A26" t="s">
        <v>181</v>
      </c>
      <c r="B26" t="s">
        <v>182</v>
      </c>
      <c r="C26" t="s">
        <v>112</v>
      </c>
      <c r="D26">
        <v>612.63</v>
      </c>
      <c r="E26">
        <v>2</v>
      </c>
      <c r="F26">
        <v>3.63</v>
      </c>
      <c r="G26" t="s">
        <v>183</v>
      </c>
      <c r="H26" t="s">
        <v>184</v>
      </c>
      <c r="I26" t="s">
        <v>52</v>
      </c>
      <c r="J26" t="s">
        <v>53</v>
      </c>
      <c r="K26">
        <v>0.25</v>
      </c>
      <c r="L26" t="s">
        <v>54</v>
      </c>
      <c r="M26">
        <f>DOWNLOAD_2kLRbPnDtawQopEJ_UKtt22ud9U57gk8mqebZIeugNk[[#This Row],[Standard Value]]/DOWNLOAD_2kLRbPnDtawQopEJ_UKtt22ud9U57gk8mqebZIeugNk[[#This Row],[Molecular Weight]]*1000*1000</f>
        <v>408.07665311852173</v>
      </c>
      <c r="N26">
        <f>-LOG(DOWNLOAD_2kLRbPnDtawQopEJ_UKtt22ud9U57gk8mqebZIeugNk[[#This Row],[IC50]]*POWER(10, -9), 10)</f>
        <v>6.389258251371885</v>
      </c>
      <c r="P26" t="s">
        <v>48</v>
      </c>
      <c r="R26" t="s">
        <v>55</v>
      </c>
      <c r="W26">
        <v>0</v>
      </c>
      <c r="X26" t="s">
        <v>86</v>
      </c>
      <c r="Y26" t="s">
        <v>87</v>
      </c>
      <c r="Z26" t="s">
        <v>58</v>
      </c>
      <c r="AA26" t="s">
        <v>59</v>
      </c>
      <c r="AB26" t="s">
        <v>60</v>
      </c>
      <c r="AC26" t="s">
        <v>61</v>
      </c>
      <c r="AD26" t="s">
        <v>49</v>
      </c>
      <c r="AE26" t="s">
        <v>49</v>
      </c>
      <c r="AF26" t="s">
        <v>49</v>
      </c>
      <c r="AG26" t="s">
        <v>49</v>
      </c>
      <c r="AH26" t="s">
        <v>48</v>
      </c>
      <c r="AI26" t="s">
        <v>48</v>
      </c>
      <c r="AJ26" t="s">
        <v>48</v>
      </c>
      <c r="AK26" t="s">
        <v>62</v>
      </c>
      <c r="AL26" t="s">
        <v>63</v>
      </c>
      <c r="AM26" t="s">
        <v>61</v>
      </c>
      <c r="AN26" t="s">
        <v>64</v>
      </c>
      <c r="AO26" t="s">
        <v>88</v>
      </c>
      <c r="AP26">
        <v>1</v>
      </c>
      <c r="AQ26" t="s">
        <v>66</v>
      </c>
      <c r="AR26" t="s">
        <v>76</v>
      </c>
      <c r="AS26">
        <v>2001</v>
      </c>
      <c r="AT26" t="s">
        <v>49</v>
      </c>
      <c r="AU26" t="s">
        <v>48</v>
      </c>
      <c r="AV26" t="s">
        <v>48</v>
      </c>
      <c r="AW26" t="s">
        <v>48</v>
      </c>
    </row>
    <row r="27" spans="1:49" x14ac:dyDescent="0.3">
      <c r="A27" t="s">
        <v>185</v>
      </c>
      <c r="B27" t="s">
        <v>48</v>
      </c>
      <c r="C27" t="s">
        <v>49</v>
      </c>
      <c r="D27">
        <v>264.18</v>
      </c>
      <c r="E27">
        <v>0</v>
      </c>
      <c r="F27">
        <v>2.64</v>
      </c>
      <c r="G27" t="s">
        <v>186</v>
      </c>
      <c r="H27" t="s">
        <v>187</v>
      </c>
      <c r="I27" t="s">
        <v>52</v>
      </c>
      <c r="J27" t="s">
        <v>53</v>
      </c>
      <c r="K27">
        <v>40</v>
      </c>
      <c r="L27" t="s">
        <v>54</v>
      </c>
      <c r="M27">
        <f>DOWNLOAD_2kLRbPnDtawQopEJ_UKtt22ud9U57gk8mqebZIeugNk[[#This Row],[Standard Value]]/DOWNLOAD_2kLRbPnDtawQopEJ_UKtt22ud9U57gk8mqebZIeugNk[[#This Row],[Molecular Weight]]*1000*1000</f>
        <v>151411.91611779848</v>
      </c>
      <c r="N27">
        <f>-LOG(DOWNLOAD_2kLRbPnDtawQopEJ_UKtt22ud9U57gk8mqebZIeugNk[[#This Row],[IC50]]*POWER(10, -9), 10)</f>
        <v>3.8198399445152065</v>
      </c>
      <c r="P27" t="s">
        <v>48</v>
      </c>
      <c r="R27" t="s">
        <v>55</v>
      </c>
      <c r="W27">
        <v>0</v>
      </c>
      <c r="X27" t="s">
        <v>73</v>
      </c>
      <c r="Y27" t="s">
        <v>74</v>
      </c>
      <c r="Z27" t="s">
        <v>58</v>
      </c>
      <c r="AA27" t="s">
        <v>59</v>
      </c>
      <c r="AB27" t="s">
        <v>60</v>
      </c>
      <c r="AC27" t="s">
        <v>61</v>
      </c>
      <c r="AD27" t="s">
        <v>49</v>
      </c>
      <c r="AE27" t="s">
        <v>49</v>
      </c>
      <c r="AF27" t="s">
        <v>49</v>
      </c>
      <c r="AG27" t="s">
        <v>49</v>
      </c>
      <c r="AH27" t="s">
        <v>48</v>
      </c>
      <c r="AI27" t="s">
        <v>48</v>
      </c>
      <c r="AJ27" t="s">
        <v>48</v>
      </c>
      <c r="AK27" t="s">
        <v>62</v>
      </c>
      <c r="AL27" t="s">
        <v>63</v>
      </c>
      <c r="AM27" t="s">
        <v>61</v>
      </c>
      <c r="AN27" t="s">
        <v>64</v>
      </c>
      <c r="AO27" t="s">
        <v>75</v>
      </c>
      <c r="AP27">
        <v>1</v>
      </c>
      <c r="AQ27" t="s">
        <v>66</v>
      </c>
      <c r="AR27" t="s">
        <v>76</v>
      </c>
      <c r="AS27">
        <v>1998</v>
      </c>
      <c r="AT27" t="s">
        <v>49</v>
      </c>
      <c r="AU27" t="s">
        <v>48</v>
      </c>
      <c r="AV27" t="s">
        <v>48</v>
      </c>
      <c r="AW27" t="s">
        <v>48</v>
      </c>
    </row>
    <row r="28" spans="1:49" x14ac:dyDescent="0.3">
      <c r="A28" t="s">
        <v>188</v>
      </c>
      <c r="B28" t="s">
        <v>48</v>
      </c>
      <c r="C28" t="s">
        <v>49</v>
      </c>
      <c r="D28">
        <v>555.63</v>
      </c>
      <c r="E28">
        <v>1</v>
      </c>
      <c r="F28">
        <v>2.6</v>
      </c>
      <c r="G28" t="s">
        <v>50</v>
      </c>
      <c r="H28" t="s">
        <v>189</v>
      </c>
      <c r="I28" t="s">
        <v>52</v>
      </c>
      <c r="J28" t="s">
        <v>53</v>
      </c>
      <c r="K28">
        <v>0.3</v>
      </c>
      <c r="L28" t="s">
        <v>54</v>
      </c>
      <c r="M28">
        <f>DOWNLOAD_2kLRbPnDtawQopEJ_UKtt22ud9U57gk8mqebZIeugNk[[#This Row],[Standard Value]]/DOWNLOAD_2kLRbPnDtawQopEJ_UKtt22ud9U57gk8mqebZIeugNk[[#This Row],[Molecular Weight]]*1000*1000</f>
        <v>539.9276496949409</v>
      </c>
      <c r="N28">
        <f>-LOG(DOWNLOAD_2kLRbPnDtawQopEJ_UKtt22ud9U57gk8mqebZIeugNk[[#This Row],[IC50]]*POWER(10, -9), 10)</f>
        <v>6.2676644317388579</v>
      </c>
      <c r="P28" t="s">
        <v>48</v>
      </c>
      <c r="R28" t="s">
        <v>55</v>
      </c>
      <c r="W28">
        <v>0</v>
      </c>
      <c r="X28" t="s">
        <v>86</v>
      </c>
      <c r="Y28" t="s">
        <v>87</v>
      </c>
      <c r="Z28" t="s">
        <v>58</v>
      </c>
      <c r="AA28" t="s">
        <v>59</v>
      </c>
      <c r="AB28" t="s">
        <v>60</v>
      </c>
      <c r="AC28" t="s">
        <v>61</v>
      </c>
      <c r="AD28" t="s">
        <v>49</v>
      </c>
      <c r="AE28" t="s">
        <v>49</v>
      </c>
      <c r="AF28" t="s">
        <v>49</v>
      </c>
      <c r="AG28" t="s">
        <v>49</v>
      </c>
      <c r="AH28" t="s">
        <v>48</v>
      </c>
      <c r="AI28" t="s">
        <v>48</v>
      </c>
      <c r="AJ28" t="s">
        <v>48</v>
      </c>
      <c r="AK28" t="s">
        <v>62</v>
      </c>
      <c r="AL28" t="s">
        <v>63</v>
      </c>
      <c r="AM28" t="s">
        <v>61</v>
      </c>
      <c r="AN28" t="s">
        <v>64</v>
      </c>
      <c r="AO28" t="s">
        <v>88</v>
      </c>
      <c r="AP28">
        <v>1</v>
      </c>
      <c r="AQ28" t="s">
        <v>66</v>
      </c>
      <c r="AR28" t="s">
        <v>76</v>
      </c>
      <c r="AS28">
        <v>2001</v>
      </c>
      <c r="AT28" t="s">
        <v>49</v>
      </c>
      <c r="AU28" t="s">
        <v>48</v>
      </c>
      <c r="AV28" t="s">
        <v>48</v>
      </c>
      <c r="AW28" t="s">
        <v>48</v>
      </c>
    </row>
    <row r="29" spans="1:49" x14ac:dyDescent="0.3">
      <c r="A29" t="s">
        <v>190</v>
      </c>
      <c r="B29" t="s">
        <v>48</v>
      </c>
      <c r="C29" t="s">
        <v>49</v>
      </c>
      <c r="D29">
        <v>597.58000000000004</v>
      </c>
      <c r="E29">
        <v>1</v>
      </c>
      <c r="F29">
        <v>3.22</v>
      </c>
      <c r="G29" t="s">
        <v>191</v>
      </c>
      <c r="H29" t="s">
        <v>192</v>
      </c>
      <c r="I29" t="s">
        <v>52</v>
      </c>
      <c r="J29" t="s">
        <v>53</v>
      </c>
      <c r="K29">
        <v>50000</v>
      </c>
      <c r="L29" t="s">
        <v>126</v>
      </c>
      <c r="M29">
        <f>DOWNLOAD_2kLRbPnDtawQopEJ_UKtt22ud9U57gk8mqebZIeugNk[[#This Row],[Standard Value]]</f>
        <v>50000</v>
      </c>
      <c r="N29">
        <f>-LOG(DOWNLOAD_2kLRbPnDtawQopEJ_UKtt22ud9U57gk8mqebZIeugNk[[#This Row],[IC50]]*POWER(10, -9), 10)</f>
        <v>4.3010299956639804</v>
      </c>
      <c r="O29">
        <v>4.3</v>
      </c>
      <c r="P29" t="s">
        <v>48</v>
      </c>
      <c r="R29" t="s">
        <v>127</v>
      </c>
      <c r="S29">
        <v>7.2</v>
      </c>
      <c r="T29">
        <v>0.14000000000000001</v>
      </c>
      <c r="U29">
        <v>1.08</v>
      </c>
      <c r="V29">
        <v>3</v>
      </c>
      <c r="W29">
        <v>0</v>
      </c>
      <c r="X29" t="s">
        <v>193</v>
      </c>
      <c r="Y29" t="s">
        <v>194</v>
      </c>
      <c r="Z29" t="s">
        <v>58</v>
      </c>
      <c r="AA29" t="s">
        <v>59</v>
      </c>
      <c r="AB29" t="s">
        <v>60</v>
      </c>
      <c r="AC29" t="s">
        <v>61</v>
      </c>
      <c r="AD29" t="s">
        <v>49</v>
      </c>
      <c r="AE29" t="s">
        <v>49</v>
      </c>
      <c r="AF29" t="s">
        <v>49</v>
      </c>
      <c r="AG29" t="s">
        <v>49</v>
      </c>
      <c r="AH29" t="s">
        <v>48</v>
      </c>
      <c r="AI29" t="s">
        <v>48</v>
      </c>
      <c r="AJ29" t="s">
        <v>48</v>
      </c>
      <c r="AK29" t="s">
        <v>62</v>
      </c>
      <c r="AL29" t="s">
        <v>63</v>
      </c>
      <c r="AM29" t="s">
        <v>61</v>
      </c>
      <c r="AN29" t="s">
        <v>64</v>
      </c>
      <c r="AO29" t="s">
        <v>195</v>
      </c>
      <c r="AP29">
        <v>1</v>
      </c>
      <c r="AQ29" t="s">
        <v>66</v>
      </c>
      <c r="AR29" t="s">
        <v>76</v>
      </c>
      <c r="AS29">
        <v>2003</v>
      </c>
      <c r="AT29" t="s">
        <v>49</v>
      </c>
      <c r="AU29" t="s">
        <v>48</v>
      </c>
      <c r="AV29" t="s">
        <v>48</v>
      </c>
      <c r="AW29" t="s">
        <v>48</v>
      </c>
    </row>
    <row r="30" spans="1:49" x14ac:dyDescent="0.3">
      <c r="A30" t="s">
        <v>196</v>
      </c>
      <c r="B30" t="s">
        <v>48</v>
      </c>
      <c r="C30" t="s">
        <v>49</v>
      </c>
      <c r="D30">
        <v>361.35</v>
      </c>
      <c r="E30">
        <v>0</v>
      </c>
      <c r="F30">
        <v>1.86</v>
      </c>
      <c r="G30" t="s">
        <v>197</v>
      </c>
      <c r="H30" t="s">
        <v>198</v>
      </c>
      <c r="I30" t="s">
        <v>52</v>
      </c>
      <c r="J30" t="s">
        <v>53</v>
      </c>
      <c r="K30">
        <v>2.8</v>
      </c>
      <c r="L30" t="s">
        <v>54</v>
      </c>
      <c r="M30">
        <f>DOWNLOAD_2kLRbPnDtawQopEJ_UKtt22ud9U57gk8mqebZIeugNk[[#This Row],[Standard Value]]/DOWNLOAD_2kLRbPnDtawQopEJ_UKtt22ud9U57gk8mqebZIeugNk[[#This Row],[Molecular Weight]]*1000*1000</f>
        <v>7748.720077487199</v>
      </c>
      <c r="N30">
        <f>-LOG(DOWNLOAD_2kLRbPnDtawQopEJ_UKtt22ud9U57gk8mqebZIeugNk[[#This Row],[IC50]]*POWER(10, -9), 10)</f>
        <v>5.1107700277118049</v>
      </c>
      <c r="P30" t="s">
        <v>48</v>
      </c>
      <c r="R30" t="s">
        <v>55</v>
      </c>
      <c r="W30">
        <v>0</v>
      </c>
      <c r="X30" t="s">
        <v>98</v>
      </c>
      <c r="Y30" t="s">
        <v>99</v>
      </c>
      <c r="Z30" t="s">
        <v>58</v>
      </c>
      <c r="AA30" t="s">
        <v>59</v>
      </c>
      <c r="AB30" t="s">
        <v>60</v>
      </c>
      <c r="AC30" t="s">
        <v>49</v>
      </c>
      <c r="AD30" t="s">
        <v>49</v>
      </c>
      <c r="AE30" t="s">
        <v>49</v>
      </c>
      <c r="AF30" t="s">
        <v>49</v>
      </c>
      <c r="AG30" t="s">
        <v>49</v>
      </c>
      <c r="AH30" t="s">
        <v>48</v>
      </c>
      <c r="AI30" t="s">
        <v>48</v>
      </c>
      <c r="AJ30" t="s">
        <v>48</v>
      </c>
      <c r="AK30" t="s">
        <v>62</v>
      </c>
      <c r="AL30" t="s">
        <v>63</v>
      </c>
      <c r="AM30" t="s">
        <v>61</v>
      </c>
      <c r="AN30" t="s">
        <v>64</v>
      </c>
      <c r="AO30" t="s">
        <v>100</v>
      </c>
      <c r="AP30">
        <v>1</v>
      </c>
      <c r="AQ30" t="s">
        <v>66</v>
      </c>
      <c r="AR30" t="s">
        <v>67</v>
      </c>
      <c r="AS30">
        <v>1991</v>
      </c>
      <c r="AT30" t="s">
        <v>49</v>
      </c>
      <c r="AU30" t="s">
        <v>48</v>
      </c>
      <c r="AV30" t="s">
        <v>48</v>
      </c>
      <c r="AW30" t="s">
        <v>48</v>
      </c>
    </row>
    <row r="31" spans="1:49" x14ac:dyDescent="0.3">
      <c r="A31" t="s">
        <v>199</v>
      </c>
      <c r="B31" t="s">
        <v>48</v>
      </c>
      <c r="C31" t="s">
        <v>49</v>
      </c>
      <c r="D31">
        <v>361.83</v>
      </c>
      <c r="E31">
        <v>0</v>
      </c>
      <c r="F31">
        <v>2.62</v>
      </c>
      <c r="G31" t="s">
        <v>200</v>
      </c>
      <c r="H31" t="s">
        <v>201</v>
      </c>
      <c r="I31" t="s">
        <v>52</v>
      </c>
      <c r="J31" t="s">
        <v>53</v>
      </c>
      <c r="K31">
        <v>12.8</v>
      </c>
      <c r="L31" t="s">
        <v>54</v>
      </c>
      <c r="M31">
        <f>DOWNLOAD_2kLRbPnDtawQopEJ_UKtt22ud9U57gk8mqebZIeugNk[[#This Row],[Standard Value]]/DOWNLOAD_2kLRbPnDtawQopEJ_UKtt22ud9U57gk8mqebZIeugNk[[#This Row],[Molecular Weight]]*1000*1000</f>
        <v>35375.728933477047</v>
      </c>
      <c r="N31">
        <f>-LOG(DOWNLOAD_2kLRbPnDtawQopEJ_UKtt22ud9U57gk8mqebZIeugNk[[#This Row],[IC50]]*POWER(10, -9), 10)</f>
        <v>4.4512946025340785</v>
      </c>
      <c r="P31" t="s">
        <v>48</v>
      </c>
      <c r="R31" t="s">
        <v>55</v>
      </c>
      <c r="W31">
        <v>0</v>
      </c>
      <c r="X31" t="s">
        <v>92</v>
      </c>
      <c r="Y31" t="s">
        <v>93</v>
      </c>
      <c r="Z31" t="s">
        <v>58</v>
      </c>
      <c r="AA31" t="s">
        <v>59</v>
      </c>
      <c r="AB31" t="s">
        <v>60</v>
      </c>
      <c r="AC31" t="s">
        <v>61</v>
      </c>
      <c r="AD31" t="s">
        <v>49</v>
      </c>
      <c r="AE31" t="s">
        <v>49</v>
      </c>
      <c r="AF31" t="s">
        <v>49</v>
      </c>
      <c r="AG31" t="s">
        <v>49</v>
      </c>
      <c r="AH31" t="s">
        <v>48</v>
      </c>
      <c r="AI31" t="s">
        <v>48</v>
      </c>
      <c r="AJ31" t="s">
        <v>48</v>
      </c>
      <c r="AK31" t="s">
        <v>62</v>
      </c>
      <c r="AL31" t="s">
        <v>63</v>
      </c>
      <c r="AM31" t="s">
        <v>61</v>
      </c>
      <c r="AN31" t="s">
        <v>64</v>
      </c>
      <c r="AO31" t="s">
        <v>94</v>
      </c>
      <c r="AP31">
        <v>1</v>
      </c>
      <c r="AQ31" t="s">
        <v>66</v>
      </c>
      <c r="AR31" t="s">
        <v>67</v>
      </c>
      <c r="AS31">
        <v>2003</v>
      </c>
      <c r="AT31" t="s">
        <v>49</v>
      </c>
      <c r="AU31" t="s">
        <v>48</v>
      </c>
      <c r="AV31" t="s">
        <v>48</v>
      </c>
      <c r="AW31" t="s">
        <v>48</v>
      </c>
    </row>
    <row r="32" spans="1:49" x14ac:dyDescent="0.3">
      <c r="A32" t="s">
        <v>202</v>
      </c>
      <c r="B32" t="s">
        <v>48</v>
      </c>
      <c r="C32" t="s">
        <v>49</v>
      </c>
      <c r="D32">
        <v>515.16</v>
      </c>
      <c r="E32">
        <v>1</v>
      </c>
      <c r="F32">
        <v>2.12</v>
      </c>
      <c r="G32" t="s">
        <v>203</v>
      </c>
      <c r="H32" t="s">
        <v>204</v>
      </c>
      <c r="I32" t="s">
        <v>52</v>
      </c>
      <c r="J32" t="s">
        <v>53</v>
      </c>
      <c r="K32">
        <v>2600</v>
      </c>
      <c r="L32" t="s">
        <v>126</v>
      </c>
      <c r="M32">
        <f>DOWNLOAD_2kLRbPnDtawQopEJ_UKtt22ud9U57gk8mqebZIeugNk[[#This Row],[Standard Value]]</f>
        <v>2600</v>
      </c>
      <c r="N32">
        <f>-LOG(DOWNLOAD_2kLRbPnDtawQopEJ_UKtt22ud9U57gk8mqebZIeugNk[[#This Row],[IC50]]*POWER(10, -9), 10)</f>
        <v>5.5850266520291809</v>
      </c>
      <c r="O32">
        <v>5.58</v>
      </c>
      <c r="P32" t="s">
        <v>48</v>
      </c>
      <c r="R32" t="s">
        <v>127</v>
      </c>
      <c r="S32">
        <v>10.84</v>
      </c>
      <c r="T32">
        <v>0.27</v>
      </c>
      <c r="U32">
        <v>3.47</v>
      </c>
      <c r="V32">
        <v>4.43</v>
      </c>
      <c r="W32">
        <v>0</v>
      </c>
      <c r="X32" t="s">
        <v>144</v>
      </c>
      <c r="Y32" t="s">
        <v>145</v>
      </c>
      <c r="Z32" t="s">
        <v>58</v>
      </c>
      <c r="AA32" t="s">
        <v>59</v>
      </c>
      <c r="AB32" t="s">
        <v>60</v>
      </c>
      <c r="AC32" t="s">
        <v>61</v>
      </c>
      <c r="AD32" t="s">
        <v>49</v>
      </c>
      <c r="AE32" t="s">
        <v>49</v>
      </c>
      <c r="AF32" t="s">
        <v>49</v>
      </c>
      <c r="AG32" t="s">
        <v>49</v>
      </c>
      <c r="AH32" t="s">
        <v>48</v>
      </c>
      <c r="AI32" t="s">
        <v>48</v>
      </c>
      <c r="AJ32" t="s">
        <v>48</v>
      </c>
      <c r="AK32" t="s">
        <v>62</v>
      </c>
      <c r="AL32" t="s">
        <v>63</v>
      </c>
      <c r="AM32" t="s">
        <v>61</v>
      </c>
      <c r="AN32" t="s">
        <v>64</v>
      </c>
      <c r="AO32" t="s">
        <v>146</v>
      </c>
      <c r="AP32">
        <v>1</v>
      </c>
      <c r="AQ32" t="s">
        <v>66</v>
      </c>
      <c r="AR32" t="s">
        <v>67</v>
      </c>
      <c r="AS32">
        <v>2015</v>
      </c>
      <c r="AT32" t="s">
        <v>49</v>
      </c>
      <c r="AU32" t="s">
        <v>48</v>
      </c>
      <c r="AV32" t="s">
        <v>48</v>
      </c>
      <c r="AW32" t="s">
        <v>48</v>
      </c>
    </row>
    <row r="33" spans="1:49" x14ac:dyDescent="0.3">
      <c r="A33" t="s">
        <v>205</v>
      </c>
      <c r="B33" t="s">
        <v>48</v>
      </c>
      <c r="C33" t="s">
        <v>49</v>
      </c>
      <c r="D33">
        <v>506.18</v>
      </c>
      <c r="E33">
        <v>1</v>
      </c>
      <c r="F33">
        <v>2.7</v>
      </c>
      <c r="G33" t="s">
        <v>173</v>
      </c>
      <c r="H33" t="s">
        <v>206</v>
      </c>
      <c r="I33" t="s">
        <v>52</v>
      </c>
      <c r="J33" t="s">
        <v>53</v>
      </c>
      <c r="K33">
        <v>69</v>
      </c>
      <c r="L33" t="s">
        <v>126</v>
      </c>
      <c r="M33">
        <f>DOWNLOAD_2kLRbPnDtawQopEJ_UKtt22ud9U57gk8mqebZIeugNk[[#This Row],[Standard Value]]</f>
        <v>69</v>
      </c>
      <c r="N33">
        <f>-LOG(DOWNLOAD_2kLRbPnDtawQopEJ_UKtt22ud9U57gk8mqebZIeugNk[[#This Row],[IC50]]*POWER(10, -9), 10)</f>
        <v>7.1611509092627434</v>
      </c>
      <c r="O33">
        <v>7.16</v>
      </c>
      <c r="P33" t="s">
        <v>48</v>
      </c>
      <c r="R33" t="s">
        <v>127</v>
      </c>
      <c r="S33">
        <v>14.15</v>
      </c>
      <c r="T33">
        <v>0.38</v>
      </c>
      <c r="U33">
        <v>4.46</v>
      </c>
      <c r="V33">
        <v>5.77</v>
      </c>
      <c r="W33">
        <v>0</v>
      </c>
      <c r="X33" t="s">
        <v>144</v>
      </c>
      <c r="Y33" t="s">
        <v>145</v>
      </c>
      <c r="Z33" t="s">
        <v>58</v>
      </c>
      <c r="AA33" t="s">
        <v>59</v>
      </c>
      <c r="AB33" t="s">
        <v>60</v>
      </c>
      <c r="AC33" t="s">
        <v>61</v>
      </c>
      <c r="AD33" t="s">
        <v>49</v>
      </c>
      <c r="AE33" t="s">
        <v>49</v>
      </c>
      <c r="AF33" t="s">
        <v>49</v>
      </c>
      <c r="AG33" t="s">
        <v>49</v>
      </c>
      <c r="AH33" t="s">
        <v>48</v>
      </c>
      <c r="AI33" t="s">
        <v>48</v>
      </c>
      <c r="AJ33" t="s">
        <v>48</v>
      </c>
      <c r="AK33" t="s">
        <v>62</v>
      </c>
      <c r="AL33" t="s">
        <v>63</v>
      </c>
      <c r="AM33" t="s">
        <v>61</v>
      </c>
      <c r="AN33" t="s">
        <v>64</v>
      </c>
      <c r="AO33" t="s">
        <v>146</v>
      </c>
      <c r="AP33">
        <v>1</v>
      </c>
      <c r="AQ33" t="s">
        <v>66</v>
      </c>
      <c r="AR33" t="s">
        <v>67</v>
      </c>
      <c r="AS33">
        <v>2015</v>
      </c>
      <c r="AT33" t="s">
        <v>49</v>
      </c>
      <c r="AU33" t="s">
        <v>48</v>
      </c>
      <c r="AV33" t="s">
        <v>48</v>
      </c>
      <c r="AW33" t="s">
        <v>48</v>
      </c>
    </row>
    <row r="34" spans="1:49" x14ac:dyDescent="0.3">
      <c r="A34" t="s">
        <v>207</v>
      </c>
      <c r="B34" t="s">
        <v>48</v>
      </c>
      <c r="C34" t="s">
        <v>49</v>
      </c>
      <c r="D34">
        <v>506.18</v>
      </c>
      <c r="E34">
        <v>1</v>
      </c>
      <c r="F34">
        <v>2.7</v>
      </c>
      <c r="G34" t="s">
        <v>208</v>
      </c>
      <c r="H34" t="s">
        <v>209</v>
      </c>
      <c r="I34" t="s">
        <v>52</v>
      </c>
      <c r="J34" t="s">
        <v>53</v>
      </c>
      <c r="K34">
        <v>500</v>
      </c>
      <c r="L34" t="s">
        <v>126</v>
      </c>
      <c r="M34">
        <f>DOWNLOAD_2kLRbPnDtawQopEJ_UKtt22ud9U57gk8mqebZIeugNk[[#This Row],[Standard Value]]</f>
        <v>500</v>
      </c>
      <c r="N34">
        <f>-LOG(DOWNLOAD_2kLRbPnDtawQopEJ_UKtt22ud9U57gk8mqebZIeugNk[[#This Row],[IC50]]*POWER(10, -9), 10)</f>
        <v>6.3010299956639804</v>
      </c>
      <c r="O34">
        <v>6.3</v>
      </c>
      <c r="P34" t="s">
        <v>48</v>
      </c>
      <c r="R34" t="s">
        <v>127</v>
      </c>
      <c r="S34">
        <v>12.45</v>
      </c>
      <c r="T34">
        <v>0.33</v>
      </c>
      <c r="U34">
        <v>3.6</v>
      </c>
      <c r="V34">
        <v>5.07</v>
      </c>
      <c r="W34">
        <v>0</v>
      </c>
      <c r="X34" t="s">
        <v>144</v>
      </c>
      <c r="Y34" t="s">
        <v>145</v>
      </c>
      <c r="Z34" t="s">
        <v>58</v>
      </c>
      <c r="AA34" t="s">
        <v>59</v>
      </c>
      <c r="AB34" t="s">
        <v>60</v>
      </c>
      <c r="AC34" t="s">
        <v>61</v>
      </c>
      <c r="AD34" t="s">
        <v>49</v>
      </c>
      <c r="AE34" t="s">
        <v>49</v>
      </c>
      <c r="AF34" t="s">
        <v>49</v>
      </c>
      <c r="AG34" t="s">
        <v>49</v>
      </c>
      <c r="AH34" t="s">
        <v>48</v>
      </c>
      <c r="AI34" t="s">
        <v>48</v>
      </c>
      <c r="AJ34" t="s">
        <v>48</v>
      </c>
      <c r="AK34" t="s">
        <v>62</v>
      </c>
      <c r="AL34" t="s">
        <v>63</v>
      </c>
      <c r="AM34" t="s">
        <v>61</v>
      </c>
      <c r="AN34" t="s">
        <v>64</v>
      </c>
      <c r="AO34" t="s">
        <v>146</v>
      </c>
      <c r="AP34">
        <v>1</v>
      </c>
      <c r="AQ34" t="s">
        <v>66</v>
      </c>
      <c r="AR34" t="s">
        <v>67</v>
      </c>
      <c r="AS34">
        <v>2015</v>
      </c>
      <c r="AT34" t="s">
        <v>49</v>
      </c>
      <c r="AU34" t="s">
        <v>48</v>
      </c>
      <c r="AV34" t="s">
        <v>48</v>
      </c>
      <c r="AW34" t="s">
        <v>48</v>
      </c>
    </row>
    <row r="35" spans="1:49" x14ac:dyDescent="0.3">
      <c r="A35" t="s">
        <v>210</v>
      </c>
      <c r="B35" t="s">
        <v>48</v>
      </c>
      <c r="C35" t="s">
        <v>49</v>
      </c>
      <c r="D35">
        <v>330.39</v>
      </c>
      <c r="E35">
        <v>0</v>
      </c>
      <c r="F35">
        <v>2.63</v>
      </c>
      <c r="G35" t="s">
        <v>211</v>
      </c>
      <c r="H35" t="s">
        <v>212</v>
      </c>
      <c r="I35" t="s">
        <v>52</v>
      </c>
      <c r="J35" t="s">
        <v>53</v>
      </c>
      <c r="K35">
        <v>270000</v>
      </c>
      <c r="L35" t="s">
        <v>126</v>
      </c>
      <c r="M35">
        <f>DOWNLOAD_2kLRbPnDtawQopEJ_UKtt22ud9U57gk8mqebZIeugNk[[#This Row],[Standard Value]]</f>
        <v>270000</v>
      </c>
      <c r="N35">
        <f>-LOG(DOWNLOAD_2kLRbPnDtawQopEJ_UKtt22ud9U57gk8mqebZIeugNk[[#This Row],[IC50]]*POWER(10, -9), 10)</f>
        <v>3.5686362358410122</v>
      </c>
      <c r="P35" t="s">
        <v>72</v>
      </c>
      <c r="R35" t="s">
        <v>127</v>
      </c>
      <c r="W35">
        <v>0</v>
      </c>
      <c r="X35" t="s">
        <v>144</v>
      </c>
      <c r="Y35" t="s">
        <v>145</v>
      </c>
      <c r="Z35" t="s">
        <v>58</v>
      </c>
      <c r="AA35" t="s">
        <v>59</v>
      </c>
      <c r="AB35" t="s">
        <v>60</v>
      </c>
      <c r="AC35" t="s">
        <v>61</v>
      </c>
      <c r="AD35" t="s">
        <v>49</v>
      </c>
      <c r="AE35" t="s">
        <v>49</v>
      </c>
      <c r="AF35" t="s">
        <v>49</v>
      </c>
      <c r="AG35" t="s">
        <v>49</v>
      </c>
      <c r="AH35" t="s">
        <v>48</v>
      </c>
      <c r="AI35" t="s">
        <v>48</v>
      </c>
      <c r="AJ35" t="s">
        <v>48</v>
      </c>
      <c r="AK35" t="s">
        <v>62</v>
      </c>
      <c r="AL35" t="s">
        <v>63</v>
      </c>
      <c r="AM35" t="s">
        <v>61</v>
      </c>
      <c r="AN35" t="s">
        <v>64</v>
      </c>
      <c r="AO35" t="s">
        <v>146</v>
      </c>
      <c r="AP35">
        <v>1</v>
      </c>
      <c r="AQ35" t="s">
        <v>66</v>
      </c>
      <c r="AR35" t="s">
        <v>67</v>
      </c>
      <c r="AS35">
        <v>2015</v>
      </c>
      <c r="AT35" t="s">
        <v>49</v>
      </c>
      <c r="AU35" t="s">
        <v>48</v>
      </c>
      <c r="AV35" t="s">
        <v>48</v>
      </c>
      <c r="AW35" t="s">
        <v>48</v>
      </c>
    </row>
    <row r="36" spans="1:49" x14ac:dyDescent="0.3">
      <c r="A36" t="s">
        <v>213</v>
      </c>
      <c r="B36" t="s">
        <v>48</v>
      </c>
      <c r="C36" t="s">
        <v>49</v>
      </c>
      <c r="D36">
        <v>431.3</v>
      </c>
      <c r="E36">
        <v>0</v>
      </c>
      <c r="F36">
        <v>2.57</v>
      </c>
      <c r="G36" t="s">
        <v>214</v>
      </c>
      <c r="H36" t="s">
        <v>215</v>
      </c>
      <c r="I36" t="s">
        <v>52</v>
      </c>
      <c r="J36" t="s">
        <v>53</v>
      </c>
      <c r="K36">
        <v>400</v>
      </c>
      <c r="L36" t="s">
        <v>126</v>
      </c>
      <c r="M36">
        <f>DOWNLOAD_2kLRbPnDtawQopEJ_UKtt22ud9U57gk8mqebZIeugNk[[#This Row],[Standard Value]]</f>
        <v>400</v>
      </c>
      <c r="N36">
        <f>-LOG(DOWNLOAD_2kLRbPnDtawQopEJ_UKtt22ud9U57gk8mqebZIeugNk[[#This Row],[IC50]]*POWER(10, -9), 10)</f>
        <v>6.3979400086720375</v>
      </c>
      <c r="O36">
        <v>6.4</v>
      </c>
      <c r="P36" t="s">
        <v>48</v>
      </c>
      <c r="R36" t="s">
        <v>127</v>
      </c>
      <c r="S36">
        <v>14.83</v>
      </c>
      <c r="T36">
        <v>0.32</v>
      </c>
      <c r="U36">
        <v>3.83</v>
      </c>
      <c r="V36">
        <v>5.65</v>
      </c>
      <c r="W36">
        <v>0</v>
      </c>
      <c r="X36" t="s">
        <v>144</v>
      </c>
      <c r="Y36" t="s">
        <v>145</v>
      </c>
      <c r="Z36" t="s">
        <v>58</v>
      </c>
      <c r="AA36" t="s">
        <v>59</v>
      </c>
      <c r="AB36" t="s">
        <v>60</v>
      </c>
      <c r="AC36" t="s">
        <v>61</v>
      </c>
      <c r="AD36" t="s">
        <v>49</v>
      </c>
      <c r="AE36" t="s">
        <v>49</v>
      </c>
      <c r="AF36" t="s">
        <v>49</v>
      </c>
      <c r="AG36" t="s">
        <v>49</v>
      </c>
      <c r="AH36" t="s">
        <v>48</v>
      </c>
      <c r="AI36" t="s">
        <v>48</v>
      </c>
      <c r="AJ36" t="s">
        <v>48</v>
      </c>
      <c r="AK36" t="s">
        <v>62</v>
      </c>
      <c r="AL36" t="s">
        <v>63</v>
      </c>
      <c r="AM36" t="s">
        <v>61</v>
      </c>
      <c r="AN36" t="s">
        <v>64</v>
      </c>
      <c r="AO36" t="s">
        <v>146</v>
      </c>
      <c r="AP36">
        <v>1</v>
      </c>
      <c r="AQ36" t="s">
        <v>66</v>
      </c>
      <c r="AR36" t="s">
        <v>67</v>
      </c>
      <c r="AS36">
        <v>2015</v>
      </c>
      <c r="AT36" t="s">
        <v>49</v>
      </c>
      <c r="AU36" t="s">
        <v>48</v>
      </c>
      <c r="AV36" t="s">
        <v>48</v>
      </c>
      <c r="AW36" t="s">
        <v>48</v>
      </c>
    </row>
    <row r="37" spans="1:49" x14ac:dyDescent="0.3">
      <c r="A37" t="s">
        <v>216</v>
      </c>
      <c r="B37" t="s">
        <v>48</v>
      </c>
      <c r="C37" t="s">
        <v>49</v>
      </c>
      <c r="D37">
        <v>403.25</v>
      </c>
      <c r="E37">
        <v>0</v>
      </c>
      <c r="F37">
        <v>2.09</v>
      </c>
      <c r="G37" t="s">
        <v>217</v>
      </c>
      <c r="H37" t="s">
        <v>218</v>
      </c>
      <c r="I37" t="s">
        <v>52</v>
      </c>
      <c r="J37" t="s">
        <v>53</v>
      </c>
      <c r="K37">
        <v>590</v>
      </c>
      <c r="L37" t="s">
        <v>126</v>
      </c>
      <c r="M37">
        <f>DOWNLOAD_2kLRbPnDtawQopEJ_UKtt22ud9U57gk8mqebZIeugNk[[#This Row],[Standard Value]]</f>
        <v>590</v>
      </c>
      <c r="N37">
        <f>-LOG(DOWNLOAD_2kLRbPnDtawQopEJ_UKtt22ud9U57gk8mqebZIeugNk[[#This Row],[IC50]]*POWER(10, -9), 10)</f>
        <v>6.2291479883578553</v>
      </c>
      <c r="O37">
        <v>6.23</v>
      </c>
      <c r="P37" t="s">
        <v>48</v>
      </c>
      <c r="R37" t="s">
        <v>127</v>
      </c>
      <c r="S37">
        <v>15.45</v>
      </c>
      <c r="T37">
        <v>0.34</v>
      </c>
      <c r="U37">
        <v>4.1399999999999997</v>
      </c>
      <c r="V37">
        <v>5.0199999999999996</v>
      </c>
      <c r="W37">
        <v>0</v>
      </c>
      <c r="X37" t="s">
        <v>144</v>
      </c>
      <c r="Y37" t="s">
        <v>145</v>
      </c>
      <c r="Z37" t="s">
        <v>58</v>
      </c>
      <c r="AA37" t="s">
        <v>59</v>
      </c>
      <c r="AB37" t="s">
        <v>60</v>
      </c>
      <c r="AC37" t="s">
        <v>61</v>
      </c>
      <c r="AD37" t="s">
        <v>49</v>
      </c>
      <c r="AE37" t="s">
        <v>49</v>
      </c>
      <c r="AF37" t="s">
        <v>49</v>
      </c>
      <c r="AG37" t="s">
        <v>49</v>
      </c>
      <c r="AH37" t="s">
        <v>48</v>
      </c>
      <c r="AI37" t="s">
        <v>48</v>
      </c>
      <c r="AJ37" t="s">
        <v>48</v>
      </c>
      <c r="AK37" t="s">
        <v>62</v>
      </c>
      <c r="AL37" t="s">
        <v>63</v>
      </c>
      <c r="AM37" t="s">
        <v>61</v>
      </c>
      <c r="AN37" t="s">
        <v>64</v>
      </c>
      <c r="AO37" t="s">
        <v>146</v>
      </c>
      <c r="AP37">
        <v>1</v>
      </c>
      <c r="AQ37" t="s">
        <v>66</v>
      </c>
      <c r="AR37" t="s">
        <v>67</v>
      </c>
      <c r="AS37">
        <v>2015</v>
      </c>
      <c r="AT37" t="s">
        <v>49</v>
      </c>
      <c r="AU37" t="s">
        <v>48</v>
      </c>
      <c r="AV37" t="s">
        <v>48</v>
      </c>
      <c r="AW37" t="s">
        <v>48</v>
      </c>
    </row>
    <row r="38" spans="1:49" x14ac:dyDescent="0.3">
      <c r="A38" t="s">
        <v>219</v>
      </c>
      <c r="B38" t="s">
        <v>48</v>
      </c>
      <c r="C38" t="s">
        <v>49</v>
      </c>
      <c r="D38">
        <v>392.41</v>
      </c>
      <c r="E38">
        <v>0</v>
      </c>
      <c r="F38">
        <v>1.94</v>
      </c>
      <c r="G38" t="s">
        <v>176</v>
      </c>
      <c r="H38" t="s">
        <v>220</v>
      </c>
      <c r="I38" t="s">
        <v>52</v>
      </c>
      <c r="J38" t="s">
        <v>53</v>
      </c>
      <c r="K38">
        <v>3</v>
      </c>
      <c r="L38" t="s">
        <v>54</v>
      </c>
      <c r="M38">
        <f>DOWNLOAD_2kLRbPnDtawQopEJ_UKtt22ud9U57gk8mqebZIeugNk[[#This Row],[Standard Value]]/DOWNLOAD_2kLRbPnDtawQopEJ_UKtt22ud9U57gk8mqebZIeugNk[[#This Row],[Molecular Weight]]*1000*1000</f>
        <v>7645.0651104711915</v>
      </c>
      <c r="N38">
        <f>-LOG(DOWNLOAD_2kLRbPnDtawQopEJ_UKtt22ud9U57gk8mqebZIeugNk[[#This Row],[IC50]]*POWER(10, -9), 10)</f>
        <v>5.1166188114945728</v>
      </c>
      <c r="P38" t="s">
        <v>48</v>
      </c>
      <c r="R38" t="s">
        <v>55</v>
      </c>
      <c r="W38">
        <v>0</v>
      </c>
      <c r="X38" t="s">
        <v>56</v>
      </c>
      <c r="Y38" t="s">
        <v>57</v>
      </c>
      <c r="Z38" t="s">
        <v>58</v>
      </c>
      <c r="AA38" t="s">
        <v>59</v>
      </c>
      <c r="AB38" t="s">
        <v>60</v>
      </c>
      <c r="AC38" t="s">
        <v>61</v>
      </c>
      <c r="AD38" t="s">
        <v>49</v>
      </c>
      <c r="AE38" t="s">
        <v>49</v>
      </c>
      <c r="AF38" t="s">
        <v>49</v>
      </c>
      <c r="AG38" t="s">
        <v>49</v>
      </c>
      <c r="AH38" t="s">
        <v>48</v>
      </c>
      <c r="AI38" t="s">
        <v>48</v>
      </c>
      <c r="AJ38" t="s">
        <v>48</v>
      </c>
      <c r="AK38" t="s">
        <v>62</v>
      </c>
      <c r="AL38" t="s">
        <v>63</v>
      </c>
      <c r="AM38" t="s">
        <v>61</v>
      </c>
      <c r="AN38" t="s">
        <v>64</v>
      </c>
      <c r="AO38" t="s">
        <v>65</v>
      </c>
      <c r="AP38">
        <v>1</v>
      </c>
      <c r="AQ38" t="s">
        <v>66</v>
      </c>
      <c r="AR38" t="s">
        <v>67</v>
      </c>
      <c r="AS38">
        <v>1988</v>
      </c>
      <c r="AT38" t="s">
        <v>49</v>
      </c>
      <c r="AU38" t="s">
        <v>48</v>
      </c>
      <c r="AV38" t="s">
        <v>48</v>
      </c>
      <c r="AW38" t="s">
        <v>48</v>
      </c>
    </row>
    <row r="39" spans="1:49" x14ac:dyDescent="0.3">
      <c r="A39" t="s">
        <v>221</v>
      </c>
      <c r="B39" t="s">
        <v>48</v>
      </c>
      <c r="C39" t="s">
        <v>49</v>
      </c>
      <c r="D39">
        <v>358.37</v>
      </c>
      <c r="E39">
        <v>0</v>
      </c>
      <c r="F39">
        <v>1.46</v>
      </c>
      <c r="G39" t="s">
        <v>157</v>
      </c>
      <c r="H39" t="s">
        <v>222</v>
      </c>
      <c r="I39" t="s">
        <v>52</v>
      </c>
      <c r="J39" t="s">
        <v>53</v>
      </c>
      <c r="K39">
        <v>13.8</v>
      </c>
      <c r="L39" t="s">
        <v>54</v>
      </c>
      <c r="M39">
        <f>DOWNLOAD_2kLRbPnDtawQopEJ_UKtt22ud9U57gk8mqebZIeugNk[[#This Row],[Standard Value]]/DOWNLOAD_2kLRbPnDtawQopEJ_UKtt22ud9U57gk8mqebZIeugNk[[#This Row],[Molecular Weight]]*1000*1000</f>
        <v>38507.687585456377</v>
      </c>
      <c r="N39">
        <f>-LOG(DOWNLOAD_2kLRbPnDtawQopEJ_UKtt22ud9U57gk8mqebZIeugNk[[#This Row],[IC50]]*POWER(10, -9), 10)</f>
        <v>4.4144525602925917</v>
      </c>
      <c r="P39" t="s">
        <v>48</v>
      </c>
      <c r="R39" t="s">
        <v>55</v>
      </c>
      <c r="W39">
        <v>0</v>
      </c>
      <c r="X39" t="s">
        <v>98</v>
      </c>
      <c r="Y39" t="s">
        <v>99</v>
      </c>
      <c r="Z39" t="s">
        <v>58</v>
      </c>
      <c r="AA39" t="s">
        <v>59</v>
      </c>
      <c r="AB39" t="s">
        <v>60</v>
      </c>
      <c r="AC39" t="s">
        <v>49</v>
      </c>
      <c r="AD39" t="s">
        <v>49</v>
      </c>
      <c r="AE39" t="s">
        <v>49</v>
      </c>
      <c r="AF39" t="s">
        <v>49</v>
      </c>
      <c r="AG39" t="s">
        <v>49</v>
      </c>
      <c r="AH39" t="s">
        <v>48</v>
      </c>
      <c r="AI39" t="s">
        <v>48</v>
      </c>
      <c r="AJ39" t="s">
        <v>48</v>
      </c>
      <c r="AK39" t="s">
        <v>62</v>
      </c>
      <c r="AL39" t="s">
        <v>63</v>
      </c>
      <c r="AM39" t="s">
        <v>61</v>
      </c>
      <c r="AN39" t="s">
        <v>64</v>
      </c>
      <c r="AO39" t="s">
        <v>100</v>
      </c>
      <c r="AP39">
        <v>1</v>
      </c>
      <c r="AQ39" t="s">
        <v>66</v>
      </c>
      <c r="AR39" t="s">
        <v>67</v>
      </c>
      <c r="AS39">
        <v>1991</v>
      </c>
      <c r="AT39" t="s">
        <v>49</v>
      </c>
      <c r="AU39" t="s">
        <v>48</v>
      </c>
      <c r="AV39" t="s">
        <v>48</v>
      </c>
      <c r="AW39" t="s">
        <v>48</v>
      </c>
    </row>
    <row r="40" spans="1:49" x14ac:dyDescent="0.3">
      <c r="A40" t="s">
        <v>223</v>
      </c>
      <c r="B40" t="s">
        <v>48</v>
      </c>
      <c r="C40" t="s">
        <v>49</v>
      </c>
      <c r="D40">
        <v>419.47</v>
      </c>
      <c r="E40">
        <v>0</v>
      </c>
      <c r="F40">
        <v>3.28</v>
      </c>
      <c r="G40" t="s">
        <v>224</v>
      </c>
      <c r="H40" t="s">
        <v>225</v>
      </c>
      <c r="I40" t="s">
        <v>52</v>
      </c>
      <c r="J40" t="s">
        <v>53</v>
      </c>
      <c r="K40">
        <v>17.5</v>
      </c>
      <c r="L40" t="s">
        <v>54</v>
      </c>
      <c r="M40">
        <f>DOWNLOAD_2kLRbPnDtawQopEJ_UKtt22ud9U57gk8mqebZIeugNk[[#This Row],[Standard Value]]/DOWNLOAD_2kLRbPnDtawQopEJ_UKtt22ud9U57gk8mqebZIeugNk[[#This Row],[Molecular Weight]]*1000*1000</f>
        <v>41719.31246573056</v>
      </c>
      <c r="N40">
        <f>-LOG(DOWNLOAD_2kLRbPnDtawQopEJ_UKtt22ud9U57gk8mqebZIeugNk[[#This Row],[IC50]]*POWER(10, -9), 10)</f>
        <v>4.3796628573595937</v>
      </c>
      <c r="P40" t="s">
        <v>48</v>
      </c>
      <c r="R40" t="s">
        <v>55</v>
      </c>
      <c r="W40">
        <v>0</v>
      </c>
      <c r="X40" t="s">
        <v>98</v>
      </c>
      <c r="Y40" t="s">
        <v>99</v>
      </c>
      <c r="Z40" t="s">
        <v>58</v>
      </c>
      <c r="AA40" t="s">
        <v>59</v>
      </c>
      <c r="AB40" t="s">
        <v>60</v>
      </c>
      <c r="AC40" t="s">
        <v>49</v>
      </c>
      <c r="AD40" t="s">
        <v>49</v>
      </c>
      <c r="AE40" t="s">
        <v>49</v>
      </c>
      <c r="AF40" t="s">
        <v>49</v>
      </c>
      <c r="AG40" t="s">
        <v>49</v>
      </c>
      <c r="AH40" t="s">
        <v>48</v>
      </c>
      <c r="AI40" t="s">
        <v>48</v>
      </c>
      <c r="AJ40" t="s">
        <v>48</v>
      </c>
      <c r="AK40" t="s">
        <v>62</v>
      </c>
      <c r="AL40" t="s">
        <v>63</v>
      </c>
      <c r="AM40" t="s">
        <v>61</v>
      </c>
      <c r="AN40" t="s">
        <v>64</v>
      </c>
      <c r="AO40" t="s">
        <v>100</v>
      </c>
      <c r="AP40">
        <v>1</v>
      </c>
      <c r="AQ40" t="s">
        <v>66</v>
      </c>
      <c r="AR40" t="s">
        <v>67</v>
      </c>
      <c r="AS40">
        <v>1991</v>
      </c>
      <c r="AT40" t="s">
        <v>49</v>
      </c>
      <c r="AU40" t="s">
        <v>48</v>
      </c>
      <c r="AV40" t="s">
        <v>48</v>
      </c>
      <c r="AW40" t="s">
        <v>48</v>
      </c>
    </row>
    <row r="41" spans="1:49" x14ac:dyDescent="0.3">
      <c r="A41" t="s">
        <v>226</v>
      </c>
      <c r="B41" t="s">
        <v>48</v>
      </c>
      <c r="C41" t="s">
        <v>49</v>
      </c>
      <c r="D41">
        <v>333.44</v>
      </c>
      <c r="E41">
        <v>0</v>
      </c>
      <c r="F41">
        <v>4.12</v>
      </c>
      <c r="G41" t="s">
        <v>227</v>
      </c>
      <c r="H41" t="s">
        <v>228</v>
      </c>
      <c r="I41" t="s">
        <v>52</v>
      </c>
      <c r="J41" t="s">
        <v>71</v>
      </c>
      <c r="K41">
        <v>128</v>
      </c>
      <c r="L41" t="s">
        <v>54</v>
      </c>
      <c r="M41">
        <f>DOWNLOAD_2kLRbPnDtawQopEJ_UKtt22ud9U57gk8mqebZIeugNk[[#This Row],[Standard Value]]/DOWNLOAD_2kLRbPnDtawQopEJ_UKtt22ud9U57gk8mqebZIeugNk[[#This Row],[Molecular Weight]]*1000*1000</f>
        <v>383877.15930902114</v>
      </c>
      <c r="N41">
        <f>-LOG(DOWNLOAD_2kLRbPnDtawQopEJ_UKtt22ud9U57gk8mqebZIeugNk[[#This Row],[IC50]]*POWER(10, -9), 10)</f>
        <v>3.415807727635543</v>
      </c>
      <c r="P41" t="s">
        <v>72</v>
      </c>
      <c r="R41" t="s">
        <v>55</v>
      </c>
      <c r="W41">
        <v>0</v>
      </c>
      <c r="X41" t="s">
        <v>166</v>
      </c>
      <c r="Y41" t="s">
        <v>167</v>
      </c>
      <c r="Z41" t="s">
        <v>168</v>
      </c>
      <c r="AA41" t="s">
        <v>169</v>
      </c>
      <c r="AB41" t="s">
        <v>170</v>
      </c>
      <c r="AC41" t="s">
        <v>61</v>
      </c>
      <c r="AD41" t="s">
        <v>49</v>
      </c>
      <c r="AE41" t="s">
        <v>49</v>
      </c>
      <c r="AF41" t="s">
        <v>49</v>
      </c>
      <c r="AG41" t="s">
        <v>49</v>
      </c>
      <c r="AH41" t="s">
        <v>48</v>
      </c>
      <c r="AI41" t="s">
        <v>48</v>
      </c>
      <c r="AJ41" t="s">
        <v>48</v>
      </c>
      <c r="AK41" t="s">
        <v>62</v>
      </c>
      <c r="AL41" t="s">
        <v>63</v>
      </c>
      <c r="AM41" t="s">
        <v>61</v>
      </c>
      <c r="AN41" t="s">
        <v>64</v>
      </c>
      <c r="AO41" t="s">
        <v>171</v>
      </c>
      <c r="AP41">
        <v>1</v>
      </c>
      <c r="AQ41" t="s">
        <v>66</v>
      </c>
      <c r="AR41" t="s">
        <v>67</v>
      </c>
      <c r="AS41">
        <v>2004</v>
      </c>
      <c r="AT41" t="s">
        <v>49</v>
      </c>
      <c r="AU41" t="s">
        <v>48</v>
      </c>
      <c r="AV41" t="s">
        <v>48</v>
      </c>
      <c r="AW41" t="s">
        <v>48</v>
      </c>
    </row>
    <row r="42" spans="1:49" x14ac:dyDescent="0.3">
      <c r="A42" t="s">
        <v>229</v>
      </c>
      <c r="B42" t="s">
        <v>48</v>
      </c>
      <c r="C42" t="s">
        <v>49</v>
      </c>
      <c r="D42">
        <v>297.08999999999997</v>
      </c>
      <c r="E42">
        <v>0</v>
      </c>
      <c r="F42">
        <v>3.66</v>
      </c>
      <c r="G42" t="s">
        <v>230</v>
      </c>
      <c r="H42" t="s">
        <v>231</v>
      </c>
      <c r="I42" t="s">
        <v>52</v>
      </c>
      <c r="J42" t="s">
        <v>53</v>
      </c>
      <c r="K42">
        <v>280</v>
      </c>
      <c r="L42" t="s">
        <v>54</v>
      </c>
      <c r="M42">
        <f>DOWNLOAD_2kLRbPnDtawQopEJ_UKtt22ud9U57gk8mqebZIeugNk[[#This Row],[Standard Value]]/DOWNLOAD_2kLRbPnDtawQopEJ_UKtt22ud9U57gk8mqebZIeugNk[[#This Row],[Molecular Weight]]*1000*1000</f>
        <v>942475.34417179984</v>
      </c>
      <c r="N42">
        <f>-LOG(DOWNLOAD_2kLRbPnDtawQopEJ_UKtt22ud9U57gk8mqebZIeugNk[[#This Row],[IC50]]*POWER(10, -9), 10)</f>
        <v>3.0257300024274167</v>
      </c>
      <c r="P42" t="s">
        <v>72</v>
      </c>
      <c r="R42" t="s">
        <v>55</v>
      </c>
      <c r="W42">
        <v>0</v>
      </c>
      <c r="X42" t="s">
        <v>73</v>
      </c>
      <c r="Y42" t="s">
        <v>74</v>
      </c>
      <c r="Z42" t="s">
        <v>58</v>
      </c>
      <c r="AA42" t="s">
        <v>59</v>
      </c>
      <c r="AB42" t="s">
        <v>60</v>
      </c>
      <c r="AC42" t="s">
        <v>61</v>
      </c>
      <c r="AD42" t="s">
        <v>49</v>
      </c>
      <c r="AE42" t="s">
        <v>49</v>
      </c>
      <c r="AF42" t="s">
        <v>49</v>
      </c>
      <c r="AG42" t="s">
        <v>49</v>
      </c>
      <c r="AH42" t="s">
        <v>48</v>
      </c>
      <c r="AI42" t="s">
        <v>48</v>
      </c>
      <c r="AJ42" t="s">
        <v>48</v>
      </c>
      <c r="AK42" t="s">
        <v>62</v>
      </c>
      <c r="AL42" t="s">
        <v>63</v>
      </c>
      <c r="AM42" t="s">
        <v>61</v>
      </c>
      <c r="AN42" t="s">
        <v>64</v>
      </c>
      <c r="AO42" t="s">
        <v>75</v>
      </c>
      <c r="AP42">
        <v>1</v>
      </c>
      <c r="AQ42" t="s">
        <v>66</v>
      </c>
      <c r="AR42" t="s">
        <v>76</v>
      </c>
      <c r="AS42">
        <v>1998</v>
      </c>
      <c r="AT42" t="s">
        <v>49</v>
      </c>
      <c r="AU42" t="s">
        <v>48</v>
      </c>
      <c r="AV42" t="s">
        <v>48</v>
      </c>
      <c r="AW42" t="s">
        <v>48</v>
      </c>
    </row>
    <row r="43" spans="1:49" x14ac:dyDescent="0.3">
      <c r="A43" t="s">
        <v>232</v>
      </c>
      <c r="B43" t="s">
        <v>48</v>
      </c>
      <c r="C43" t="s">
        <v>49</v>
      </c>
      <c r="D43">
        <v>255.27</v>
      </c>
      <c r="E43">
        <v>0</v>
      </c>
      <c r="F43">
        <v>2.33</v>
      </c>
      <c r="G43" t="s">
        <v>233</v>
      </c>
      <c r="H43" t="s">
        <v>234</v>
      </c>
      <c r="I43" t="s">
        <v>52</v>
      </c>
      <c r="J43" t="s">
        <v>53</v>
      </c>
      <c r="K43">
        <v>20</v>
      </c>
      <c r="L43" t="s">
        <v>54</v>
      </c>
      <c r="M43">
        <f>DOWNLOAD_2kLRbPnDtawQopEJ_UKtt22ud9U57gk8mqebZIeugNk[[#This Row],[Standard Value]]/DOWNLOAD_2kLRbPnDtawQopEJ_UKtt22ud9U57gk8mqebZIeugNk[[#This Row],[Molecular Weight]]*1000*1000</f>
        <v>78348.415403298481</v>
      </c>
      <c r="N43">
        <f>-LOG(DOWNLOAD_2kLRbPnDtawQopEJ_UKtt22ud9U57gk8mqebZIeugNk[[#This Row],[IC50]]*POWER(10, -9), 10)</f>
        <v>4.1059697827124637</v>
      </c>
      <c r="P43" t="s">
        <v>48</v>
      </c>
      <c r="R43" t="s">
        <v>55</v>
      </c>
      <c r="W43">
        <v>0</v>
      </c>
      <c r="X43" t="s">
        <v>235</v>
      </c>
      <c r="Y43" t="s">
        <v>236</v>
      </c>
      <c r="Z43" t="s">
        <v>58</v>
      </c>
      <c r="AA43" t="s">
        <v>59</v>
      </c>
      <c r="AB43" t="s">
        <v>60</v>
      </c>
      <c r="AC43" t="s">
        <v>61</v>
      </c>
      <c r="AD43" t="s">
        <v>49</v>
      </c>
      <c r="AE43" t="s">
        <v>49</v>
      </c>
      <c r="AF43" t="s">
        <v>49</v>
      </c>
      <c r="AG43" t="s">
        <v>49</v>
      </c>
      <c r="AH43" t="s">
        <v>48</v>
      </c>
      <c r="AI43" t="s">
        <v>48</v>
      </c>
      <c r="AJ43" t="s">
        <v>48</v>
      </c>
      <c r="AK43" t="s">
        <v>62</v>
      </c>
      <c r="AL43" t="s">
        <v>63</v>
      </c>
      <c r="AM43" t="s">
        <v>61</v>
      </c>
      <c r="AN43" t="s">
        <v>64</v>
      </c>
      <c r="AO43" t="s">
        <v>237</v>
      </c>
      <c r="AP43">
        <v>1</v>
      </c>
      <c r="AQ43" t="s">
        <v>66</v>
      </c>
      <c r="AR43" t="s">
        <v>67</v>
      </c>
      <c r="AS43">
        <v>2005</v>
      </c>
      <c r="AT43" t="s">
        <v>49</v>
      </c>
      <c r="AU43" t="s">
        <v>48</v>
      </c>
      <c r="AV43" t="s">
        <v>48</v>
      </c>
      <c r="AW43" t="s">
        <v>48</v>
      </c>
    </row>
    <row r="44" spans="1:49" x14ac:dyDescent="0.3">
      <c r="A44" t="s">
        <v>238</v>
      </c>
      <c r="B44" t="s">
        <v>48</v>
      </c>
      <c r="C44" t="s">
        <v>49</v>
      </c>
      <c r="D44">
        <v>451.4</v>
      </c>
      <c r="E44">
        <v>1</v>
      </c>
      <c r="F44">
        <v>6.31</v>
      </c>
      <c r="G44" t="s">
        <v>239</v>
      </c>
      <c r="H44" t="s">
        <v>240</v>
      </c>
      <c r="I44" t="s">
        <v>52</v>
      </c>
      <c r="J44" t="s">
        <v>53</v>
      </c>
      <c r="K44">
        <v>14</v>
      </c>
      <c r="L44" t="s">
        <v>54</v>
      </c>
      <c r="M44">
        <f>DOWNLOAD_2kLRbPnDtawQopEJ_UKtt22ud9U57gk8mqebZIeugNk[[#This Row],[Standard Value]]/DOWNLOAD_2kLRbPnDtawQopEJ_UKtt22ud9U57gk8mqebZIeugNk[[#This Row],[Molecular Weight]]*1000*1000</f>
        <v>31014.621178555608</v>
      </c>
      <c r="N44">
        <f>-LOG(DOWNLOAD_2kLRbPnDtawQopEJ_UKtt22ud9U57gk8mqebZIeugNk[[#This Row],[IC50]]*POWER(10, -9), 10)</f>
        <v>4.5084335190635043</v>
      </c>
      <c r="P44" t="s">
        <v>48</v>
      </c>
      <c r="R44" t="s">
        <v>55</v>
      </c>
      <c r="W44">
        <v>0</v>
      </c>
      <c r="X44" t="s">
        <v>121</v>
      </c>
      <c r="Y44" t="s">
        <v>87</v>
      </c>
      <c r="Z44" t="s">
        <v>58</v>
      </c>
      <c r="AA44" t="s">
        <v>59</v>
      </c>
      <c r="AB44" t="s">
        <v>60</v>
      </c>
      <c r="AC44" t="s">
        <v>61</v>
      </c>
      <c r="AD44" t="s">
        <v>49</v>
      </c>
      <c r="AE44" t="s">
        <v>49</v>
      </c>
      <c r="AF44" t="s">
        <v>49</v>
      </c>
      <c r="AG44" t="s">
        <v>49</v>
      </c>
      <c r="AH44" t="s">
        <v>48</v>
      </c>
      <c r="AI44" t="s">
        <v>48</v>
      </c>
      <c r="AJ44" t="s">
        <v>48</v>
      </c>
      <c r="AK44" t="s">
        <v>62</v>
      </c>
      <c r="AL44" t="s">
        <v>63</v>
      </c>
      <c r="AM44" t="s">
        <v>61</v>
      </c>
      <c r="AN44" t="s">
        <v>64</v>
      </c>
      <c r="AO44" t="s">
        <v>122</v>
      </c>
      <c r="AP44">
        <v>1</v>
      </c>
      <c r="AQ44" t="s">
        <v>66</v>
      </c>
      <c r="AR44" t="s">
        <v>76</v>
      </c>
      <c r="AS44">
        <v>2004</v>
      </c>
      <c r="AT44" t="s">
        <v>49</v>
      </c>
      <c r="AU44" t="s">
        <v>48</v>
      </c>
      <c r="AV44" t="s">
        <v>48</v>
      </c>
      <c r="AW44" t="s">
        <v>48</v>
      </c>
    </row>
    <row r="45" spans="1:49" x14ac:dyDescent="0.3">
      <c r="A45" t="s">
        <v>241</v>
      </c>
      <c r="B45" t="s">
        <v>242</v>
      </c>
      <c r="C45" t="s">
        <v>112</v>
      </c>
      <c r="D45">
        <v>740.76</v>
      </c>
      <c r="E45">
        <v>0</v>
      </c>
      <c r="F45">
        <v>1.54</v>
      </c>
      <c r="G45" t="s">
        <v>243</v>
      </c>
      <c r="H45" t="s">
        <v>244</v>
      </c>
      <c r="I45" t="s">
        <v>52</v>
      </c>
      <c r="J45" t="s">
        <v>53</v>
      </c>
      <c r="K45">
        <v>0.17</v>
      </c>
      <c r="L45" t="s">
        <v>54</v>
      </c>
      <c r="M45">
        <f>DOWNLOAD_2kLRbPnDtawQopEJ_UKtt22ud9U57gk8mqebZIeugNk[[#This Row],[Standard Value]]/DOWNLOAD_2kLRbPnDtawQopEJ_UKtt22ud9U57gk8mqebZIeugNk[[#This Row],[Molecular Weight]]*1000*1000</f>
        <v>229.494033155138</v>
      </c>
      <c r="N45">
        <f>-LOG(DOWNLOAD_2kLRbPnDtawQopEJ_UKtt22ud9U57gk8mqebZIeugNk[[#This Row],[IC50]]*POWER(10, -9), 10)</f>
        <v>6.6392286016364599</v>
      </c>
      <c r="P45" t="s">
        <v>48</v>
      </c>
      <c r="R45" t="s">
        <v>55</v>
      </c>
      <c r="W45">
        <v>0</v>
      </c>
      <c r="X45" t="s">
        <v>245</v>
      </c>
      <c r="Y45" t="s">
        <v>246</v>
      </c>
      <c r="Z45" t="s">
        <v>58</v>
      </c>
      <c r="AA45" t="s">
        <v>59</v>
      </c>
      <c r="AB45" t="s">
        <v>60</v>
      </c>
      <c r="AC45" t="s">
        <v>61</v>
      </c>
      <c r="AD45" t="s">
        <v>49</v>
      </c>
      <c r="AE45" t="s">
        <v>49</v>
      </c>
      <c r="AF45" t="s">
        <v>49</v>
      </c>
      <c r="AG45" t="s">
        <v>49</v>
      </c>
      <c r="AH45" t="s">
        <v>48</v>
      </c>
      <c r="AI45" t="s">
        <v>48</v>
      </c>
      <c r="AJ45" t="s">
        <v>48</v>
      </c>
      <c r="AK45" t="s">
        <v>62</v>
      </c>
      <c r="AL45" t="s">
        <v>63</v>
      </c>
      <c r="AM45" t="s">
        <v>61</v>
      </c>
      <c r="AN45" t="s">
        <v>64</v>
      </c>
      <c r="AO45" t="s">
        <v>247</v>
      </c>
      <c r="AP45">
        <v>1</v>
      </c>
      <c r="AQ45" t="s">
        <v>66</v>
      </c>
      <c r="AR45" t="s">
        <v>131</v>
      </c>
      <c r="AS45">
        <v>2015</v>
      </c>
      <c r="AT45" t="s">
        <v>49</v>
      </c>
      <c r="AU45" t="s">
        <v>48</v>
      </c>
      <c r="AV45" t="s">
        <v>48</v>
      </c>
      <c r="AW45" t="s">
        <v>48</v>
      </c>
    </row>
    <row r="46" spans="1:49" x14ac:dyDescent="0.3">
      <c r="A46" t="s">
        <v>248</v>
      </c>
      <c r="B46" t="s">
        <v>48</v>
      </c>
      <c r="C46" t="s">
        <v>49</v>
      </c>
      <c r="D46">
        <v>495.41</v>
      </c>
      <c r="E46">
        <v>0</v>
      </c>
      <c r="F46">
        <v>0.85</v>
      </c>
      <c r="G46" t="s">
        <v>249</v>
      </c>
      <c r="H46" t="s">
        <v>250</v>
      </c>
      <c r="I46" t="s">
        <v>52</v>
      </c>
      <c r="J46" t="s">
        <v>53</v>
      </c>
      <c r="K46">
        <v>51000</v>
      </c>
      <c r="L46" t="s">
        <v>126</v>
      </c>
      <c r="M46">
        <f>DOWNLOAD_2kLRbPnDtawQopEJ_UKtt22ud9U57gk8mqebZIeugNk[[#This Row],[Standard Value]]</f>
        <v>51000</v>
      </c>
      <c r="N46">
        <f>-LOG(DOWNLOAD_2kLRbPnDtawQopEJ_UKtt22ud9U57gk8mqebZIeugNk[[#This Row],[IC50]]*POWER(10, -9), 10)</f>
        <v>4.2924298239020633</v>
      </c>
      <c r="O46">
        <v>4.29</v>
      </c>
      <c r="P46" t="s">
        <v>48</v>
      </c>
      <c r="Q46">
        <v>302864</v>
      </c>
      <c r="R46" t="s">
        <v>127</v>
      </c>
      <c r="S46">
        <v>8.66</v>
      </c>
      <c r="T46">
        <v>0.17</v>
      </c>
      <c r="U46">
        <v>3.44</v>
      </c>
      <c r="V46">
        <v>3</v>
      </c>
      <c r="W46">
        <v>0</v>
      </c>
      <c r="X46" t="s">
        <v>251</v>
      </c>
      <c r="Y46" t="s">
        <v>252</v>
      </c>
      <c r="Z46" t="s">
        <v>58</v>
      </c>
      <c r="AA46" t="s">
        <v>59</v>
      </c>
      <c r="AB46" t="s">
        <v>60</v>
      </c>
      <c r="AC46" t="s">
        <v>61</v>
      </c>
      <c r="AD46" t="s">
        <v>49</v>
      </c>
      <c r="AE46" t="s">
        <v>49</v>
      </c>
      <c r="AF46" t="s">
        <v>49</v>
      </c>
      <c r="AG46" t="s">
        <v>49</v>
      </c>
      <c r="AH46" t="s">
        <v>48</v>
      </c>
      <c r="AI46" t="s">
        <v>48</v>
      </c>
      <c r="AJ46" t="s">
        <v>48</v>
      </c>
      <c r="AK46" t="s">
        <v>62</v>
      </c>
      <c r="AL46" t="s">
        <v>63</v>
      </c>
      <c r="AM46" t="s">
        <v>61</v>
      </c>
      <c r="AN46" t="s">
        <v>64</v>
      </c>
      <c r="AO46" t="s">
        <v>253</v>
      </c>
      <c r="AP46">
        <v>37</v>
      </c>
      <c r="AQ46" t="s">
        <v>254</v>
      </c>
      <c r="AR46" t="s">
        <v>48</v>
      </c>
      <c r="AS46">
        <v>2015</v>
      </c>
      <c r="AT46" t="s">
        <v>49</v>
      </c>
      <c r="AU46" t="s">
        <v>48</v>
      </c>
      <c r="AV46" t="s">
        <v>48</v>
      </c>
      <c r="AW46" t="s">
        <v>48</v>
      </c>
    </row>
    <row r="47" spans="1:49" x14ac:dyDescent="0.3">
      <c r="A47" t="s">
        <v>255</v>
      </c>
      <c r="B47" t="s">
        <v>48</v>
      </c>
      <c r="C47" t="s">
        <v>49</v>
      </c>
      <c r="D47">
        <v>567.80999999999995</v>
      </c>
      <c r="E47">
        <v>1</v>
      </c>
      <c r="F47">
        <v>2.65</v>
      </c>
      <c r="G47" t="s">
        <v>256</v>
      </c>
      <c r="H47" t="s">
        <v>257</v>
      </c>
      <c r="I47" t="s">
        <v>52</v>
      </c>
      <c r="J47" t="s">
        <v>53</v>
      </c>
      <c r="K47">
        <v>3100</v>
      </c>
      <c r="L47" t="s">
        <v>126</v>
      </c>
      <c r="M47">
        <f>DOWNLOAD_2kLRbPnDtawQopEJ_UKtt22ud9U57gk8mqebZIeugNk[[#This Row],[Standard Value]]</f>
        <v>3100</v>
      </c>
      <c r="N47">
        <f>-LOG(DOWNLOAD_2kLRbPnDtawQopEJ_UKtt22ud9U57gk8mqebZIeugNk[[#This Row],[IC50]]*POWER(10, -9), 10)</f>
        <v>5.5086383061657269</v>
      </c>
      <c r="O47">
        <v>5.51</v>
      </c>
      <c r="P47" t="s">
        <v>48</v>
      </c>
      <c r="Q47">
        <v>302891</v>
      </c>
      <c r="R47" t="s">
        <v>127</v>
      </c>
      <c r="S47">
        <v>9.6999999999999993</v>
      </c>
      <c r="T47">
        <v>0.22</v>
      </c>
      <c r="U47">
        <v>2.86</v>
      </c>
      <c r="V47">
        <v>3.95</v>
      </c>
      <c r="W47">
        <v>0</v>
      </c>
      <c r="X47" t="s">
        <v>251</v>
      </c>
      <c r="Y47" t="s">
        <v>252</v>
      </c>
      <c r="Z47" t="s">
        <v>58</v>
      </c>
      <c r="AA47" t="s">
        <v>59</v>
      </c>
      <c r="AB47" t="s">
        <v>60</v>
      </c>
      <c r="AC47" t="s">
        <v>61</v>
      </c>
      <c r="AD47" t="s">
        <v>49</v>
      </c>
      <c r="AE47" t="s">
        <v>49</v>
      </c>
      <c r="AF47" t="s">
        <v>49</v>
      </c>
      <c r="AG47" t="s">
        <v>49</v>
      </c>
      <c r="AH47" t="s">
        <v>48</v>
      </c>
      <c r="AI47" t="s">
        <v>48</v>
      </c>
      <c r="AJ47" t="s">
        <v>48</v>
      </c>
      <c r="AK47" t="s">
        <v>62</v>
      </c>
      <c r="AL47" t="s">
        <v>63</v>
      </c>
      <c r="AM47" t="s">
        <v>61</v>
      </c>
      <c r="AN47" t="s">
        <v>64</v>
      </c>
      <c r="AO47" t="s">
        <v>253</v>
      </c>
      <c r="AP47">
        <v>37</v>
      </c>
      <c r="AQ47" t="s">
        <v>254</v>
      </c>
      <c r="AR47" t="s">
        <v>48</v>
      </c>
      <c r="AS47">
        <v>2015</v>
      </c>
      <c r="AT47" t="s">
        <v>49</v>
      </c>
      <c r="AU47" t="s">
        <v>48</v>
      </c>
      <c r="AV47" t="s">
        <v>48</v>
      </c>
      <c r="AW47" t="s">
        <v>48</v>
      </c>
    </row>
    <row r="48" spans="1:49" x14ac:dyDescent="0.3">
      <c r="A48" t="s">
        <v>258</v>
      </c>
      <c r="B48" t="s">
        <v>48</v>
      </c>
      <c r="C48" t="s">
        <v>49</v>
      </c>
      <c r="D48">
        <v>525.91</v>
      </c>
      <c r="E48">
        <v>1</v>
      </c>
      <c r="F48">
        <v>0.93</v>
      </c>
      <c r="G48" t="s">
        <v>259</v>
      </c>
      <c r="H48" t="s">
        <v>260</v>
      </c>
      <c r="I48" t="s">
        <v>52</v>
      </c>
      <c r="J48" t="s">
        <v>53</v>
      </c>
      <c r="K48">
        <v>5800</v>
      </c>
      <c r="L48" t="s">
        <v>126</v>
      </c>
      <c r="M48">
        <f>DOWNLOAD_2kLRbPnDtawQopEJ_UKtt22ud9U57gk8mqebZIeugNk[[#This Row],[Standard Value]]</f>
        <v>5800</v>
      </c>
      <c r="N48">
        <f>-LOG(DOWNLOAD_2kLRbPnDtawQopEJ_UKtt22ud9U57gk8mqebZIeugNk[[#This Row],[IC50]]*POWER(10, -9), 10)</f>
        <v>5.2365720064370622</v>
      </c>
      <c r="O48">
        <v>5.24</v>
      </c>
      <c r="P48" t="s">
        <v>48</v>
      </c>
      <c r="Q48">
        <v>302895</v>
      </c>
      <c r="R48" t="s">
        <v>127</v>
      </c>
      <c r="S48">
        <v>9.9600000000000009</v>
      </c>
      <c r="T48">
        <v>0.19</v>
      </c>
      <c r="U48">
        <v>4.3099999999999996</v>
      </c>
      <c r="V48">
        <v>2.87</v>
      </c>
      <c r="W48">
        <v>0</v>
      </c>
      <c r="X48" t="s">
        <v>251</v>
      </c>
      <c r="Y48" t="s">
        <v>252</v>
      </c>
      <c r="Z48" t="s">
        <v>58</v>
      </c>
      <c r="AA48" t="s">
        <v>59</v>
      </c>
      <c r="AB48" t="s">
        <v>60</v>
      </c>
      <c r="AC48" t="s">
        <v>61</v>
      </c>
      <c r="AD48" t="s">
        <v>49</v>
      </c>
      <c r="AE48" t="s">
        <v>49</v>
      </c>
      <c r="AF48" t="s">
        <v>49</v>
      </c>
      <c r="AG48" t="s">
        <v>49</v>
      </c>
      <c r="AH48" t="s">
        <v>48</v>
      </c>
      <c r="AI48" t="s">
        <v>48</v>
      </c>
      <c r="AJ48" t="s">
        <v>48</v>
      </c>
      <c r="AK48" t="s">
        <v>62</v>
      </c>
      <c r="AL48" t="s">
        <v>63</v>
      </c>
      <c r="AM48" t="s">
        <v>61</v>
      </c>
      <c r="AN48" t="s">
        <v>64</v>
      </c>
      <c r="AO48" t="s">
        <v>253</v>
      </c>
      <c r="AP48">
        <v>37</v>
      </c>
      <c r="AQ48" t="s">
        <v>254</v>
      </c>
      <c r="AR48" t="s">
        <v>48</v>
      </c>
      <c r="AS48">
        <v>2015</v>
      </c>
      <c r="AT48" t="s">
        <v>49</v>
      </c>
      <c r="AU48" t="s">
        <v>48</v>
      </c>
      <c r="AV48" t="s">
        <v>48</v>
      </c>
      <c r="AW48" t="s">
        <v>48</v>
      </c>
    </row>
    <row r="49" spans="1:49" x14ac:dyDescent="0.3">
      <c r="A49" t="s">
        <v>261</v>
      </c>
      <c r="B49" t="s">
        <v>48</v>
      </c>
      <c r="C49" t="s">
        <v>49</v>
      </c>
      <c r="D49">
        <v>481.53</v>
      </c>
      <c r="E49">
        <v>0</v>
      </c>
      <c r="F49">
        <v>2.37</v>
      </c>
      <c r="G49" t="s">
        <v>262</v>
      </c>
      <c r="H49" t="s">
        <v>263</v>
      </c>
      <c r="I49" t="s">
        <v>52</v>
      </c>
      <c r="J49" t="s">
        <v>53</v>
      </c>
      <c r="K49">
        <v>6.36</v>
      </c>
      <c r="L49" t="s">
        <v>126</v>
      </c>
      <c r="M49">
        <f>DOWNLOAD_2kLRbPnDtawQopEJ_UKtt22ud9U57gk8mqebZIeugNk[[#This Row],[Standard Value]]</f>
        <v>6.36</v>
      </c>
      <c r="N49">
        <f>-LOG(DOWNLOAD_2kLRbPnDtawQopEJ_UKtt22ud9U57gk8mqebZIeugNk[[#This Row],[IC50]]*POWER(10, -9), 10)</f>
        <v>8.1965428843515866</v>
      </c>
      <c r="O49">
        <v>8.1999999999999993</v>
      </c>
      <c r="P49" t="s">
        <v>48</v>
      </c>
      <c r="R49" t="s">
        <v>127</v>
      </c>
      <c r="S49">
        <v>17.02</v>
      </c>
      <c r="T49">
        <v>0.32</v>
      </c>
      <c r="U49">
        <v>5.83</v>
      </c>
      <c r="V49">
        <v>7.68</v>
      </c>
      <c r="W49">
        <v>0</v>
      </c>
      <c r="X49" t="s">
        <v>264</v>
      </c>
      <c r="Y49" t="s">
        <v>265</v>
      </c>
      <c r="Z49" t="s">
        <v>58</v>
      </c>
      <c r="AA49" t="s">
        <v>59</v>
      </c>
      <c r="AB49" t="s">
        <v>60</v>
      </c>
      <c r="AC49" t="s">
        <v>61</v>
      </c>
      <c r="AD49" t="s">
        <v>49</v>
      </c>
      <c r="AE49" t="s">
        <v>49</v>
      </c>
      <c r="AF49" t="s">
        <v>49</v>
      </c>
      <c r="AG49" t="s">
        <v>49</v>
      </c>
      <c r="AH49" t="s">
        <v>48</v>
      </c>
      <c r="AI49" t="s">
        <v>48</v>
      </c>
      <c r="AJ49" t="s">
        <v>48</v>
      </c>
      <c r="AK49" t="s">
        <v>62</v>
      </c>
      <c r="AL49" t="s">
        <v>63</v>
      </c>
      <c r="AM49" t="s">
        <v>61</v>
      </c>
      <c r="AN49" t="s">
        <v>64</v>
      </c>
      <c r="AO49" t="s">
        <v>266</v>
      </c>
      <c r="AP49">
        <v>1</v>
      </c>
      <c r="AQ49" t="s">
        <v>66</v>
      </c>
      <c r="AR49" t="s">
        <v>267</v>
      </c>
      <c r="AS49">
        <v>2020</v>
      </c>
      <c r="AT49" t="s">
        <v>49</v>
      </c>
      <c r="AU49" t="s">
        <v>268</v>
      </c>
      <c r="AV49" t="s">
        <v>269</v>
      </c>
      <c r="AW49" t="s">
        <v>48</v>
      </c>
    </row>
    <row r="50" spans="1:49" x14ac:dyDescent="0.3">
      <c r="A50" t="s">
        <v>270</v>
      </c>
      <c r="B50" t="s">
        <v>48</v>
      </c>
      <c r="C50" t="s">
        <v>49</v>
      </c>
      <c r="D50">
        <v>623.6</v>
      </c>
      <c r="E50">
        <v>1</v>
      </c>
      <c r="F50">
        <v>3.75</v>
      </c>
      <c r="G50" t="s">
        <v>271</v>
      </c>
      <c r="H50" t="s">
        <v>272</v>
      </c>
      <c r="I50" t="s">
        <v>52</v>
      </c>
      <c r="J50" t="s">
        <v>53</v>
      </c>
      <c r="K50">
        <v>3.68</v>
      </c>
      <c r="L50" t="s">
        <v>126</v>
      </c>
      <c r="M50">
        <f>DOWNLOAD_2kLRbPnDtawQopEJ_UKtt22ud9U57gk8mqebZIeugNk[[#This Row],[Standard Value]]</f>
        <v>3.68</v>
      </c>
      <c r="N50">
        <f>-LOG(DOWNLOAD_2kLRbPnDtawQopEJ_UKtt22ud9U57gk8mqebZIeugNk[[#This Row],[IC50]]*POWER(10, -9), 10)</f>
        <v>8.4341521813264819</v>
      </c>
      <c r="O50">
        <v>8.43</v>
      </c>
      <c r="P50" t="s">
        <v>48</v>
      </c>
      <c r="R50" t="s">
        <v>127</v>
      </c>
      <c r="S50">
        <v>16.55</v>
      </c>
      <c r="T50">
        <v>0.31</v>
      </c>
      <c r="U50">
        <v>4.68</v>
      </c>
      <c r="V50">
        <v>6</v>
      </c>
      <c r="W50">
        <v>0</v>
      </c>
      <c r="X50" t="s">
        <v>264</v>
      </c>
      <c r="Y50" t="s">
        <v>265</v>
      </c>
      <c r="Z50" t="s">
        <v>58</v>
      </c>
      <c r="AA50" t="s">
        <v>59</v>
      </c>
      <c r="AB50" t="s">
        <v>60</v>
      </c>
      <c r="AC50" t="s">
        <v>61</v>
      </c>
      <c r="AD50" t="s">
        <v>49</v>
      </c>
      <c r="AE50" t="s">
        <v>49</v>
      </c>
      <c r="AF50" t="s">
        <v>49</v>
      </c>
      <c r="AG50" t="s">
        <v>49</v>
      </c>
      <c r="AH50" t="s">
        <v>48</v>
      </c>
      <c r="AI50" t="s">
        <v>48</v>
      </c>
      <c r="AJ50" t="s">
        <v>48</v>
      </c>
      <c r="AK50" t="s">
        <v>62</v>
      </c>
      <c r="AL50" t="s">
        <v>63</v>
      </c>
      <c r="AM50" t="s">
        <v>61</v>
      </c>
      <c r="AN50" t="s">
        <v>64</v>
      </c>
      <c r="AO50" t="s">
        <v>266</v>
      </c>
      <c r="AP50">
        <v>1</v>
      </c>
      <c r="AQ50" t="s">
        <v>66</v>
      </c>
      <c r="AR50" t="s">
        <v>267</v>
      </c>
      <c r="AS50">
        <v>2020</v>
      </c>
      <c r="AT50" t="s">
        <v>49</v>
      </c>
      <c r="AU50" t="s">
        <v>268</v>
      </c>
      <c r="AV50" t="s">
        <v>269</v>
      </c>
      <c r="AW50" t="s">
        <v>48</v>
      </c>
    </row>
    <row r="51" spans="1:49" x14ac:dyDescent="0.3">
      <c r="A51" t="s">
        <v>273</v>
      </c>
      <c r="B51" t="s">
        <v>48</v>
      </c>
      <c r="C51" t="s">
        <v>49</v>
      </c>
      <c r="D51">
        <v>479.56</v>
      </c>
      <c r="E51">
        <v>0</v>
      </c>
      <c r="F51">
        <v>3.82</v>
      </c>
      <c r="G51" t="s">
        <v>274</v>
      </c>
      <c r="H51" t="s">
        <v>275</v>
      </c>
      <c r="I51" t="s">
        <v>52</v>
      </c>
      <c r="J51" t="s">
        <v>53</v>
      </c>
      <c r="K51">
        <v>2.48</v>
      </c>
      <c r="L51" t="s">
        <v>126</v>
      </c>
      <c r="M51">
        <f>DOWNLOAD_2kLRbPnDtawQopEJ_UKtt22ud9U57gk8mqebZIeugNk[[#This Row],[Standard Value]]</f>
        <v>2.48</v>
      </c>
      <c r="N51">
        <f>-LOG(DOWNLOAD_2kLRbPnDtawQopEJ_UKtt22ud9U57gk8mqebZIeugNk[[#This Row],[IC50]]*POWER(10, -9), 10)</f>
        <v>8.6055483191737832</v>
      </c>
      <c r="O51">
        <v>8.61</v>
      </c>
      <c r="P51" t="s">
        <v>48</v>
      </c>
      <c r="R51" t="s">
        <v>127</v>
      </c>
      <c r="S51">
        <v>17.940000000000001</v>
      </c>
      <c r="T51">
        <v>0.34</v>
      </c>
      <c r="U51">
        <v>4.79</v>
      </c>
      <c r="V51">
        <v>7.15</v>
      </c>
      <c r="W51">
        <v>0</v>
      </c>
      <c r="X51" t="s">
        <v>264</v>
      </c>
      <c r="Y51" t="s">
        <v>265</v>
      </c>
      <c r="Z51" t="s">
        <v>58</v>
      </c>
      <c r="AA51" t="s">
        <v>59</v>
      </c>
      <c r="AB51" t="s">
        <v>60</v>
      </c>
      <c r="AC51" t="s">
        <v>61</v>
      </c>
      <c r="AD51" t="s">
        <v>49</v>
      </c>
      <c r="AE51" t="s">
        <v>49</v>
      </c>
      <c r="AF51" t="s">
        <v>49</v>
      </c>
      <c r="AG51" t="s">
        <v>49</v>
      </c>
      <c r="AH51" t="s">
        <v>48</v>
      </c>
      <c r="AI51" t="s">
        <v>48</v>
      </c>
      <c r="AJ51" t="s">
        <v>48</v>
      </c>
      <c r="AK51" t="s">
        <v>62</v>
      </c>
      <c r="AL51" t="s">
        <v>63</v>
      </c>
      <c r="AM51" t="s">
        <v>61</v>
      </c>
      <c r="AN51" t="s">
        <v>64</v>
      </c>
      <c r="AO51" t="s">
        <v>266</v>
      </c>
      <c r="AP51">
        <v>1</v>
      </c>
      <c r="AQ51" t="s">
        <v>66</v>
      </c>
      <c r="AR51" t="s">
        <v>267</v>
      </c>
      <c r="AS51">
        <v>2020</v>
      </c>
      <c r="AT51" t="s">
        <v>49</v>
      </c>
      <c r="AU51" t="s">
        <v>268</v>
      </c>
      <c r="AV51" t="s">
        <v>269</v>
      </c>
      <c r="AW51" t="s">
        <v>48</v>
      </c>
    </row>
    <row r="52" spans="1:49" x14ac:dyDescent="0.3">
      <c r="A52" t="s">
        <v>276</v>
      </c>
      <c r="B52" t="s">
        <v>48</v>
      </c>
      <c r="C52" t="s">
        <v>49</v>
      </c>
      <c r="D52">
        <v>496.58</v>
      </c>
      <c r="E52">
        <v>0</v>
      </c>
      <c r="F52">
        <v>3.58</v>
      </c>
      <c r="G52" t="s">
        <v>277</v>
      </c>
      <c r="H52" t="s">
        <v>278</v>
      </c>
      <c r="I52" t="s">
        <v>52</v>
      </c>
      <c r="J52" t="s">
        <v>53</v>
      </c>
      <c r="K52">
        <v>1.6</v>
      </c>
      <c r="L52" t="s">
        <v>126</v>
      </c>
      <c r="M52">
        <f>DOWNLOAD_2kLRbPnDtawQopEJ_UKtt22ud9U57gk8mqebZIeugNk[[#This Row],[Standard Value]]</f>
        <v>1.6</v>
      </c>
      <c r="N52">
        <f>-LOG(DOWNLOAD_2kLRbPnDtawQopEJ_UKtt22ud9U57gk8mqebZIeugNk[[#This Row],[IC50]]*POWER(10, -9), 10)</f>
        <v>8.795880017344075</v>
      </c>
      <c r="O52">
        <v>8.8000000000000007</v>
      </c>
      <c r="P52" t="s">
        <v>48</v>
      </c>
      <c r="R52" t="s">
        <v>127</v>
      </c>
      <c r="S52">
        <v>17.71</v>
      </c>
      <c r="T52">
        <v>0.33</v>
      </c>
      <c r="U52">
        <v>5.22</v>
      </c>
      <c r="V52">
        <v>7.47</v>
      </c>
      <c r="W52">
        <v>0</v>
      </c>
      <c r="X52" t="s">
        <v>264</v>
      </c>
      <c r="Y52" t="s">
        <v>265</v>
      </c>
      <c r="Z52" t="s">
        <v>58</v>
      </c>
      <c r="AA52" t="s">
        <v>59</v>
      </c>
      <c r="AB52" t="s">
        <v>60</v>
      </c>
      <c r="AC52" t="s">
        <v>61</v>
      </c>
      <c r="AD52" t="s">
        <v>49</v>
      </c>
      <c r="AE52" t="s">
        <v>49</v>
      </c>
      <c r="AF52" t="s">
        <v>49</v>
      </c>
      <c r="AG52" t="s">
        <v>49</v>
      </c>
      <c r="AH52" t="s">
        <v>48</v>
      </c>
      <c r="AI52" t="s">
        <v>48</v>
      </c>
      <c r="AJ52" t="s">
        <v>48</v>
      </c>
      <c r="AK52" t="s">
        <v>62</v>
      </c>
      <c r="AL52" t="s">
        <v>63</v>
      </c>
      <c r="AM52" t="s">
        <v>61</v>
      </c>
      <c r="AN52" t="s">
        <v>64</v>
      </c>
      <c r="AO52" t="s">
        <v>266</v>
      </c>
      <c r="AP52">
        <v>1</v>
      </c>
      <c r="AQ52" t="s">
        <v>66</v>
      </c>
      <c r="AR52" t="s">
        <v>267</v>
      </c>
      <c r="AS52">
        <v>2020</v>
      </c>
      <c r="AT52" t="s">
        <v>49</v>
      </c>
      <c r="AU52" t="s">
        <v>268</v>
      </c>
      <c r="AV52" t="s">
        <v>269</v>
      </c>
      <c r="AW52" t="s">
        <v>48</v>
      </c>
    </row>
    <row r="53" spans="1:49" x14ac:dyDescent="0.3">
      <c r="A53" t="s">
        <v>279</v>
      </c>
      <c r="B53" t="s">
        <v>48</v>
      </c>
      <c r="C53" t="s">
        <v>49</v>
      </c>
      <c r="D53">
        <v>529.53</v>
      </c>
      <c r="E53">
        <v>0</v>
      </c>
      <c r="F53">
        <v>2.4</v>
      </c>
      <c r="G53" t="s">
        <v>214</v>
      </c>
      <c r="H53" t="s">
        <v>280</v>
      </c>
      <c r="I53" t="s">
        <v>52</v>
      </c>
      <c r="J53" t="s">
        <v>53</v>
      </c>
      <c r="K53">
        <v>14.56</v>
      </c>
      <c r="L53" t="s">
        <v>126</v>
      </c>
      <c r="M53">
        <f>DOWNLOAD_2kLRbPnDtawQopEJ_UKtt22ud9U57gk8mqebZIeugNk[[#This Row],[Standard Value]]</f>
        <v>14.56</v>
      </c>
      <c r="N53">
        <f>-LOG(DOWNLOAD_2kLRbPnDtawQopEJ_UKtt22ud9U57gk8mqebZIeugNk[[#This Row],[IC50]]*POWER(10, -9), 10)</f>
        <v>7.8368386250229811</v>
      </c>
      <c r="O53">
        <v>7.84</v>
      </c>
      <c r="P53" t="s">
        <v>48</v>
      </c>
      <c r="R53" t="s">
        <v>127</v>
      </c>
      <c r="S53">
        <v>16.21</v>
      </c>
      <c r="T53">
        <v>0.31</v>
      </c>
      <c r="U53">
        <v>5.44</v>
      </c>
      <c r="V53">
        <v>5.77</v>
      </c>
      <c r="W53">
        <v>0</v>
      </c>
      <c r="X53" t="s">
        <v>264</v>
      </c>
      <c r="Y53" t="s">
        <v>265</v>
      </c>
      <c r="Z53" t="s">
        <v>58</v>
      </c>
      <c r="AA53" t="s">
        <v>59</v>
      </c>
      <c r="AB53" t="s">
        <v>60</v>
      </c>
      <c r="AC53" t="s">
        <v>61</v>
      </c>
      <c r="AD53" t="s">
        <v>49</v>
      </c>
      <c r="AE53" t="s">
        <v>49</v>
      </c>
      <c r="AF53" t="s">
        <v>49</v>
      </c>
      <c r="AG53" t="s">
        <v>49</v>
      </c>
      <c r="AH53" t="s">
        <v>48</v>
      </c>
      <c r="AI53" t="s">
        <v>48</v>
      </c>
      <c r="AJ53" t="s">
        <v>48</v>
      </c>
      <c r="AK53" t="s">
        <v>62</v>
      </c>
      <c r="AL53" t="s">
        <v>63</v>
      </c>
      <c r="AM53" t="s">
        <v>61</v>
      </c>
      <c r="AN53" t="s">
        <v>64</v>
      </c>
      <c r="AO53" t="s">
        <v>266</v>
      </c>
      <c r="AP53">
        <v>1</v>
      </c>
      <c r="AQ53" t="s">
        <v>66</v>
      </c>
      <c r="AR53" t="s">
        <v>267</v>
      </c>
      <c r="AS53">
        <v>2020</v>
      </c>
      <c r="AT53" t="s">
        <v>49</v>
      </c>
      <c r="AU53" t="s">
        <v>268</v>
      </c>
      <c r="AV53" t="s">
        <v>269</v>
      </c>
      <c r="AW53" t="s">
        <v>48</v>
      </c>
    </row>
    <row r="54" spans="1:49" x14ac:dyDescent="0.3">
      <c r="A54" t="s">
        <v>281</v>
      </c>
      <c r="B54" t="s">
        <v>282</v>
      </c>
      <c r="C54" t="s">
        <v>112</v>
      </c>
      <c r="D54">
        <v>331.35</v>
      </c>
      <c r="E54">
        <v>0</v>
      </c>
      <c r="F54">
        <v>1.58</v>
      </c>
      <c r="G54" t="s">
        <v>283</v>
      </c>
      <c r="H54" t="s">
        <v>284</v>
      </c>
      <c r="I54" t="s">
        <v>52</v>
      </c>
      <c r="J54" t="s">
        <v>53</v>
      </c>
      <c r="K54">
        <v>440</v>
      </c>
      <c r="L54" t="s">
        <v>126</v>
      </c>
      <c r="M54">
        <f>DOWNLOAD_2kLRbPnDtawQopEJ_UKtt22ud9U57gk8mqebZIeugNk[[#This Row],[Standard Value]]</f>
        <v>440</v>
      </c>
      <c r="N54">
        <f>-LOG(DOWNLOAD_2kLRbPnDtawQopEJ_UKtt22ud9U57gk8mqebZIeugNk[[#This Row],[IC50]]*POWER(10, -9), 10)</f>
        <v>6.3565473235138121</v>
      </c>
      <c r="O54">
        <v>6.36</v>
      </c>
      <c r="P54" t="s">
        <v>48</v>
      </c>
      <c r="R54" t="s">
        <v>127</v>
      </c>
      <c r="S54">
        <v>19.18</v>
      </c>
      <c r="T54">
        <v>0.36</v>
      </c>
      <c r="U54">
        <v>4.78</v>
      </c>
      <c r="V54">
        <v>8.52</v>
      </c>
      <c r="W54">
        <v>0</v>
      </c>
      <c r="X54" t="s">
        <v>285</v>
      </c>
      <c r="Y54" t="s">
        <v>286</v>
      </c>
      <c r="Z54" t="s">
        <v>58</v>
      </c>
      <c r="AA54" t="s">
        <v>59</v>
      </c>
      <c r="AB54" t="s">
        <v>60</v>
      </c>
      <c r="AC54" t="s">
        <v>61</v>
      </c>
      <c r="AD54" t="s">
        <v>49</v>
      </c>
      <c r="AE54" t="s">
        <v>49</v>
      </c>
      <c r="AF54" t="s">
        <v>49</v>
      </c>
      <c r="AG54" t="s">
        <v>49</v>
      </c>
      <c r="AH54" t="s">
        <v>48</v>
      </c>
      <c r="AI54" t="s">
        <v>48</v>
      </c>
      <c r="AJ54" t="s">
        <v>48</v>
      </c>
      <c r="AK54" t="s">
        <v>62</v>
      </c>
      <c r="AL54" t="s">
        <v>63</v>
      </c>
      <c r="AM54" t="s">
        <v>61</v>
      </c>
      <c r="AN54" t="s">
        <v>64</v>
      </c>
      <c r="AO54" t="s">
        <v>287</v>
      </c>
      <c r="AP54">
        <v>1</v>
      </c>
      <c r="AQ54" t="s">
        <v>66</v>
      </c>
      <c r="AR54" t="s">
        <v>131</v>
      </c>
      <c r="AS54">
        <v>2020</v>
      </c>
      <c r="AT54" t="s">
        <v>49</v>
      </c>
      <c r="AU54" t="s">
        <v>288</v>
      </c>
      <c r="AV54" t="s">
        <v>269</v>
      </c>
      <c r="AW54" t="s">
        <v>48</v>
      </c>
    </row>
    <row r="55" spans="1:49" x14ac:dyDescent="0.3">
      <c r="A55" t="s">
        <v>289</v>
      </c>
      <c r="B55" t="s">
        <v>48</v>
      </c>
      <c r="C55" t="s">
        <v>49</v>
      </c>
      <c r="D55">
        <v>419.36</v>
      </c>
      <c r="E55">
        <v>0</v>
      </c>
      <c r="F55">
        <v>1.54</v>
      </c>
      <c r="G55" t="s">
        <v>290</v>
      </c>
      <c r="H55" t="s">
        <v>291</v>
      </c>
      <c r="I55" t="s">
        <v>52</v>
      </c>
      <c r="J55" t="s">
        <v>53</v>
      </c>
      <c r="K55">
        <v>0.12</v>
      </c>
      <c r="L55" t="s">
        <v>54</v>
      </c>
      <c r="M55">
        <f>DOWNLOAD_2kLRbPnDtawQopEJ_UKtt22ud9U57gk8mqebZIeugNk[[#This Row],[Standard Value]]/DOWNLOAD_2kLRbPnDtawQopEJ_UKtt22ud9U57gk8mqebZIeugNk[[#This Row],[Molecular Weight]]*1000*1000</f>
        <v>286.15032430370087</v>
      </c>
      <c r="N55">
        <f>-LOG(DOWNLOAD_2kLRbPnDtawQopEJ_UKtt22ud9U57gk8mqebZIeugNk[[#This Row],[IC50]]*POWER(10, -9), 10)</f>
        <v>6.5434057575549005</v>
      </c>
      <c r="P55" t="s">
        <v>48</v>
      </c>
      <c r="R55" t="s">
        <v>55</v>
      </c>
      <c r="W55">
        <v>0</v>
      </c>
      <c r="X55" t="s">
        <v>245</v>
      </c>
      <c r="Y55" t="s">
        <v>246</v>
      </c>
      <c r="Z55" t="s">
        <v>58</v>
      </c>
      <c r="AA55" t="s">
        <v>59</v>
      </c>
      <c r="AB55" t="s">
        <v>60</v>
      </c>
      <c r="AC55" t="s">
        <v>61</v>
      </c>
      <c r="AD55" t="s">
        <v>49</v>
      </c>
      <c r="AE55" t="s">
        <v>49</v>
      </c>
      <c r="AF55" t="s">
        <v>49</v>
      </c>
      <c r="AG55" t="s">
        <v>49</v>
      </c>
      <c r="AH55" t="s">
        <v>48</v>
      </c>
      <c r="AI55" t="s">
        <v>48</v>
      </c>
      <c r="AJ55" t="s">
        <v>48</v>
      </c>
      <c r="AK55" t="s">
        <v>62</v>
      </c>
      <c r="AL55" t="s">
        <v>63</v>
      </c>
      <c r="AM55" t="s">
        <v>61</v>
      </c>
      <c r="AN55" t="s">
        <v>64</v>
      </c>
      <c r="AO55" t="s">
        <v>247</v>
      </c>
      <c r="AP55">
        <v>1</v>
      </c>
      <c r="AQ55" t="s">
        <v>66</v>
      </c>
      <c r="AR55" t="s">
        <v>131</v>
      </c>
      <c r="AS55">
        <v>2015</v>
      </c>
      <c r="AT55" t="s">
        <v>49</v>
      </c>
      <c r="AU55" t="s">
        <v>48</v>
      </c>
      <c r="AV55" t="s">
        <v>48</v>
      </c>
      <c r="AW55" t="s">
        <v>48</v>
      </c>
    </row>
    <row r="56" spans="1:49" x14ac:dyDescent="0.3">
      <c r="A56" t="s">
        <v>292</v>
      </c>
      <c r="B56" t="s">
        <v>48</v>
      </c>
      <c r="C56" t="s">
        <v>49</v>
      </c>
      <c r="D56">
        <v>394.25</v>
      </c>
      <c r="E56">
        <v>0</v>
      </c>
      <c r="F56">
        <v>3.67</v>
      </c>
      <c r="G56" t="s">
        <v>293</v>
      </c>
      <c r="H56" t="s">
        <v>294</v>
      </c>
      <c r="I56" t="s">
        <v>52</v>
      </c>
      <c r="J56" t="s">
        <v>295</v>
      </c>
      <c r="K56">
        <v>10</v>
      </c>
      <c r="L56" t="s">
        <v>126</v>
      </c>
      <c r="M56">
        <f>DOWNLOAD_2kLRbPnDtawQopEJ_UKtt22ud9U57gk8mqebZIeugNk[[#This Row],[Standard Value]]</f>
        <v>10</v>
      </c>
      <c r="N56">
        <f>-LOG(DOWNLOAD_2kLRbPnDtawQopEJ_UKtt22ud9U57gk8mqebZIeugNk[[#This Row],[IC50]]*POWER(10, -9), 10)</f>
        <v>8</v>
      </c>
      <c r="P56" t="s">
        <v>48</v>
      </c>
      <c r="R56" t="s">
        <v>127</v>
      </c>
      <c r="W56">
        <v>0</v>
      </c>
      <c r="X56" t="s">
        <v>296</v>
      </c>
      <c r="Y56" t="s">
        <v>297</v>
      </c>
      <c r="Z56" t="s">
        <v>58</v>
      </c>
      <c r="AA56" t="s">
        <v>59</v>
      </c>
      <c r="AB56" t="s">
        <v>60</v>
      </c>
      <c r="AC56" t="s">
        <v>61</v>
      </c>
      <c r="AD56" t="s">
        <v>49</v>
      </c>
      <c r="AE56" t="s">
        <v>49</v>
      </c>
      <c r="AF56" t="s">
        <v>49</v>
      </c>
      <c r="AG56" t="s">
        <v>49</v>
      </c>
      <c r="AH56" t="s">
        <v>48</v>
      </c>
      <c r="AI56" t="s">
        <v>48</v>
      </c>
      <c r="AJ56" t="s">
        <v>48</v>
      </c>
      <c r="AK56" t="s">
        <v>62</v>
      </c>
      <c r="AL56" t="s">
        <v>63</v>
      </c>
      <c r="AM56" t="s">
        <v>61</v>
      </c>
      <c r="AN56" t="s">
        <v>64</v>
      </c>
      <c r="AO56" t="s">
        <v>298</v>
      </c>
      <c r="AP56">
        <v>1</v>
      </c>
      <c r="AQ56" t="s">
        <v>66</v>
      </c>
      <c r="AR56" t="s">
        <v>131</v>
      </c>
      <c r="AS56">
        <v>2021</v>
      </c>
      <c r="AT56" t="s">
        <v>49</v>
      </c>
      <c r="AU56" t="s">
        <v>299</v>
      </c>
      <c r="AV56" t="s">
        <v>269</v>
      </c>
      <c r="AW56" t="s">
        <v>48</v>
      </c>
    </row>
    <row r="57" spans="1:49" x14ac:dyDescent="0.3">
      <c r="A57" t="s">
        <v>300</v>
      </c>
      <c r="B57" t="s">
        <v>48</v>
      </c>
      <c r="C57" t="s">
        <v>49</v>
      </c>
      <c r="D57">
        <v>331.35</v>
      </c>
      <c r="E57">
        <v>0</v>
      </c>
      <c r="F57">
        <v>1.71</v>
      </c>
      <c r="G57" t="s">
        <v>301</v>
      </c>
      <c r="H57" t="s">
        <v>302</v>
      </c>
      <c r="I57" t="s">
        <v>52</v>
      </c>
      <c r="J57" t="s">
        <v>53</v>
      </c>
      <c r="K57">
        <v>0.25</v>
      </c>
      <c r="L57" t="s">
        <v>54</v>
      </c>
      <c r="M57">
        <f>DOWNLOAD_2kLRbPnDtawQopEJ_UKtt22ud9U57gk8mqebZIeugNk[[#This Row],[Standard Value]]/DOWNLOAD_2kLRbPnDtawQopEJ_UKtt22ud9U57gk8mqebZIeugNk[[#This Row],[Molecular Weight]]*1000*1000</f>
        <v>754.48921080428545</v>
      </c>
      <c r="N57">
        <f>-LOG(DOWNLOAD_2kLRbPnDtawQopEJ_UKtt22ud9U57gk8mqebZIeugNk[[#This Row],[IC50]]*POWER(10, -9), 10)</f>
        <v>6.122346966255078</v>
      </c>
      <c r="P57" t="s">
        <v>48</v>
      </c>
      <c r="R57" t="s">
        <v>55</v>
      </c>
      <c r="W57">
        <v>0</v>
      </c>
      <c r="X57" t="s">
        <v>80</v>
      </c>
      <c r="Y57" t="s">
        <v>81</v>
      </c>
      <c r="Z57" t="s">
        <v>58</v>
      </c>
      <c r="AA57" t="s">
        <v>59</v>
      </c>
      <c r="AB57" t="s">
        <v>60</v>
      </c>
      <c r="AC57" t="s">
        <v>61</v>
      </c>
      <c r="AD57" t="s">
        <v>49</v>
      </c>
      <c r="AE57" t="s">
        <v>49</v>
      </c>
      <c r="AF57" t="s">
        <v>49</v>
      </c>
      <c r="AG57" t="s">
        <v>49</v>
      </c>
      <c r="AH57" t="s">
        <v>48</v>
      </c>
      <c r="AI57" t="s">
        <v>48</v>
      </c>
      <c r="AJ57" t="s">
        <v>48</v>
      </c>
      <c r="AK57" t="s">
        <v>62</v>
      </c>
      <c r="AL57" t="s">
        <v>63</v>
      </c>
      <c r="AM57" t="s">
        <v>61</v>
      </c>
      <c r="AN57" t="s">
        <v>64</v>
      </c>
      <c r="AO57" t="s">
        <v>82</v>
      </c>
      <c r="AP57">
        <v>1</v>
      </c>
      <c r="AQ57" t="s">
        <v>66</v>
      </c>
      <c r="AR57" t="s">
        <v>67</v>
      </c>
      <c r="AS57">
        <v>1993</v>
      </c>
      <c r="AT57" t="s">
        <v>49</v>
      </c>
      <c r="AU57" t="s">
        <v>48</v>
      </c>
      <c r="AV57" t="s">
        <v>48</v>
      </c>
      <c r="AW57" t="s">
        <v>48</v>
      </c>
    </row>
    <row r="58" spans="1:49" x14ac:dyDescent="0.3">
      <c r="A58" t="s">
        <v>281</v>
      </c>
      <c r="B58" t="s">
        <v>282</v>
      </c>
      <c r="C58" t="s">
        <v>112</v>
      </c>
      <c r="D58">
        <v>331.35</v>
      </c>
      <c r="E58">
        <v>0</v>
      </c>
      <c r="F58">
        <v>1.58</v>
      </c>
      <c r="G58" t="s">
        <v>283</v>
      </c>
      <c r="H58" t="s">
        <v>284</v>
      </c>
      <c r="I58" t="s">
        <v>52</v>
      </c>
      <c r="J58" t="s">
        <v>53</v>
      </c>
      <c r="K58">
        <v>5.3</v>
      </c>
      <c r="L58" t="s">
        <v>54</v>
      </c>
      <c r="M58">
        <f>DOWNLOAD_2kLRbPnDtawQopEJ_UKtt22ud9U57gk8mqebZIeugNk[[#This Row],[Standard Value]]/DOWNLOAD_2kLRbPnDtawQopEJ_UKtt22ud9U57gk8mqebZIeugNk[[#This Row],[Molecular Weight]]*1000*1000</f>
        <v>15995.17126905085</v>
      </c>
      <c r="N58">
        <f>-LOG(DOWNLOAD_2kLRbPnDtawQopEJ_UKtt22ud9U57gk8mqebZIeugNk[[#This Row],[IC50]]*POWER(10, -9), 10)</f>
        <v>4.7960111053263264</v>
      </c>
      <c r="P58" t="s">
        <v>48</v>
      </c>
      <c r="R58" t="s">
        <v>55</v>
      </c>
      <c r="W58">
        <v>0</v>
      </c>
      <c r="X58" t="s">
        <v>115</v>
      </c>
      <c r="Y58" t="s">
        <v>116</v>
      </c>
      <c r="Z58" t="s">
        <v>58</v>
      </c>
      <c r="AA58" t="s">
        <v>59</v>
      </c>
      <c r="AB58" t="s">
        <v>60</v>
      </c>
      <c r="AC58" t="s">
        <v>61</v>
      </c>
      <c r="AD58" t="s">
        <v>49</v>
      </c>
      <c r="AE58" t="s">
        <v>49</v>
      </c>
      <c r="AF58" t="s">
        <v>49</v>
      </c>
      <c r="AG58" t="s">
        <v>49</v>
      </c>
      <c r="AH58" t="s">
        <v>48</v>
      </c>
      <c r="AI58" t="s">
        <v>48</v>
      </c>
      <c r="AJ58" t="s">
        <v>48</v>
      </c>
      <c r="AK58" t="s">
        <v>62</v>
      </c>
      <c r="AL58" t="s">
        <v>63</v>
      </c>
      <c r="AM58" t="s">
        <v>61</v>
      </c>
      <c r="AN58" t="s">
        <v>64</v>
      </c>
      <c r="AO58" t="s">
        <v>117</v>
      </c>
      <c r="AP58">
        <v>1</v>
      </c>
      <c r="AQ58" t="s">
        <v>66</v>
      </c>
      <c r="AR58" t="s">
        <v>67</v>
      </c>
      <c r="AS58">
        <v>1986</v>
      </c>
      <c r="AT58" t="s">
        <v>49</v>
      </c>
      <c r="AU58" t="s">
        <v>48</v>
      </c>
      <c r="AV58" t="s">
        <v>48</v>
      </c>
      <c r="AW58" t="s">
        <v>48</v>
      </c>
    </row>
    <row r="59" spans="1:49" x14ac:dyDescent="0.3">
      <c r="A59" t="s">
        <v>303</v>
      </c>
      <c r="B59" t="s">
        <v>304</v>
      </c>
      <c r="C59" t="s">
        <v>305</v>
      </c>
      <c r="D59">
        <v>288.31</v>
      </c>
      <c r="E59">
        <v>0</v>
      </c>
      <c r="F59">
        <v>1.1100000000000001</v>
      </c>
      <c r="G59" t="s">
        <v>306</v>
      </c>
      <c r="H59" t="s">
        <v>307</v>
      </c>
      <c r="I59" t="s">
        <v>52</v>
      </c>
      <c r="J59" t="s">
        <v>71</v>
      </c>
      <c r="K59">
        <v>100</v>
      </c>
      <c r="L59" t="s">
        <v>54</v>
      </c>
      <c r="M59">
        <f>DOWNLOAD_2kLRbPnDtawQopEJ_UKtt22ud9U57gk8mqebZIeugNk[[#This Row],[Standard Value]]/DOWNLOAD_2kLRbPnDtawQopEJ_UKtt22ud9U57gk8mqebZIeugNk[[#This Row],[Molecular Weight]]*1000*1000</f>
        <v>346848.87794387987</v>
      </c>
      <c r="N59">
        <f>-LOG(DOWNLOAD_2kLRbPnDtawQopEJ_UKtt22ud9U57gk8mqebZIeugNk[[#This Row],[IC50]]*POWER(10, -9), 10)</f>
        <v>3.4598597061048251</v>
      </c>
      <c r="P59" t="s">
        <v>72</v>
      </c>
      <c r="R59" t="s">
        <v>55</v>
      </c>
      <c r="W59">
        <v>0</v>
      </c>
      <c r="X59" t="s">
        <v>115</v>
      </c>
      <c r="Y59" t="s">
        <v>116</v>
      </c>
      <c r="Z59" t="s">
        <v>58</v>
      </c>
      <c r="AA59" t="s">
        <v>59</v>
      </c>
      <c r="AB59" t="s">
        <v>60</v>
      </c>
      <c r="AC59" t="s">
        <v>61</v>
      </c>
      <c r="AD59" t="s">
        <v>49</v>
      </c>
      <c r="AE59" t="s">
        <v>49</v>
      </c>
      <c r="AF59" t="s">
        <v>49</v>
      </c>
      <c r="AG59" t="s">
        <v>49</v>
      </c>
      <c r="AH59" t="s">
        <v>48</v>
      </c>
      <c r="AI59" t="s">
        <v>48</v>
      </c>
      <c r="AJ59" t="s">
        <v>48</v>
      </c>
      <c r="AK59" t="s">
        <v>62</v>
      </c>
      <c r="AL59" t="s">
        <v>63</v>
      </c>
      <c r="AM59" t="s">
        <v>61</v>
      </c>
      <c r="AN59" t="s">
        <v>64</v>
      </c>
      <c r="AO59" t="s">
        <v>117</v>
      </c>
      <c r="AP59">
        <v>1</v>
      </c>
      <c r="AQ59" t="s">
        <v>66</v>
      </c>
      <c r="AR59" t="s">
        <v>67</v>
      </c>
      <c r="AS59">
        <v>1986</v>
      </c>
      <c r="AT59" t="s">
        <v>49</v>
      </c>
      <c r="AU59" t="s">
        <v>48</v>
      </c>
      <c r="AV59" t="s">
        <v>48</v>
      </c>
      <c r="AW59" t="s">
        <v>48</v>
      </c>
    </row>
    <row r="60" spans="1:49" x14ac:dyDescent="0.3">
      <c r="A60" t="s">
        <v>308</v>
      </c>
      <c r="B60" t="s">
        <v>48</v>
      </c>
      <c r="C60" t="s">
        <v>49</v>
      </c>
      <c r="D60">
        <v>357.39</v>
      </c>
      <c r="E60">
        <v>0</v>
      </c>
      <c r="F60">
        <v>1.88</v>
      </c>
      <c r="G60" t="s">
        <v>173</v>
      </c>
      <c r="H60" t="s">
        <v>309</v>
      </c>
      <c r="I60" t="s">
        <v>52</v>
      </c>
      <c r="J60" t="s">
        <v>53</v>
      </c>
      <c r="K60">
        <v>30</v>
      </c>
      <c r="L60" t="s">
        <v>54</v>
      </c>
      <c r="M60">
        <f>DOWNLOAD_2kLRbPnDtawQopEJ_UKtt22ud9U57gk8mqebZIeugNk[[#This Row],[Standard Value]]/DOWNLOAD_2kLRbPnDtawQopEJ_UKtt22ud9U57gk8mqebZIeugNk[[#This Row],[Molecular Weight]]*1000*1000</f>
        <v>83941.912196759862</v>
      </c>
      <c r="N60">
        <f>-LOG(DOWNLOAD_2kLRbPnDtawQopEJ_UKtt22ud9U57gk8mqebZIeugNk[[#This Row],[IC50]]*POWER(10, -9), 10)</f>
        <v>4.0760211417835448</v>
      </c>
      <c r="P60" t="s">
        <v>48</v>
      </c>
      <c r="R60" t="s">
        <v>55</v>
      </c>
      <c r="W60">
        <v>0</v>
      </c>
      <c r="X60" t="s">
        <v>235</v>
      </c>
      <c r="Y60" t="s">
        <v>236</v>
      </c>
      <c r="Z60" t="s">
        <v>58</v>
      </c>
      <c r="AA60" t="s">
        <v>59</v>
      </c>
      <c r="AB60" t="s">
        <v>60</v>
      </c>
      <c r="AC60" t="s">
        <v>61</v>
      </c>
      <c r="AD60" t="s">
        <v>49</v>
      </c>
      <c r="AE60" t="s">
        <v>49</v>
      </c>
      <c r="AF60" t="s">
        <v>49</v>
      </c>
      <c r="AG60" t="s">
        <v>49</v>
      </c>
      <c r="AH60" t="s">
        <v>48</v>
      </c>
      <c r="AI60" t="s">
        <v>48</v>
      </c>
      <c r="AJ60" t="s">
        <v>48</v>
      </c>
      <c r="AK60" t="s">
        <v>62</v>
      </c>
      <c r="AL60" t="s">
        <v>63</v>
      </c>
      <c r="AM60" t="s">
        <v>61</v>
      </c>
      <c r="AN60" t="s">
        <v>64</v>
      </c>
      <c r="AO60" t="s">
        <v>237</v>
      </c>
      <c r="AP60">
        <v>1</v>
      </c>
      <c r="AQ60" t="s">
        <v>66</v>
      </c>
      <c r="AR60" t="s">
        <v>67</v>
      </c>
      <c r="AS60">
        <v>2005</v>
      </c>
      <c r="AT60" t="s">
        <v>49</v>
      </c>
      <c r="AU60" t="s">
        <v>48</v>
      </c>
      <c r="AV60" t="s">
        <v>48</v>
      </c>
      <c r="AW60" t="s">
        <v>48</v>
      </c>
    </row>
    <row r="61" spans="1:49" x14ac:dyDescent="0.3">
      <c r="A61" t="s">
        <v>310</v>
      </c>
      <c r="B61" t="s">
        <v>311</v>
      </c>
      <c r="C61" t="s">
        <v>305</v>
      </c>
      <c r="D61">
        <v>302.19</v>
      </c>
      <c r="E61">
        <v>0</v>
      </c>
      <c r="F61">
        <v>1.31</v>
      </c>
      <c r="G61" t="s">
        <v>312</v>
      </c>
      <c r="H61" t="s">
        <v>313</v>
      </c>
      <c r="I61" t="s">
        <v>52</v>
      </c>
      <c r="J61" t="s">
        <v>53</v>
      </c>
      <c r="K61">
        <v>3.3</v>
      </c>
      <c r="L61" t="s">
        <v>54</v>
      </c>
      <c r="M61">
        <f>DOWNLOAD_2kLRbPnDtawQopEJ_UKtt22ud9U57gk8mqebZIeugNk[[#This Row],[Standard Value]]/DOWNLOAD_2kLRbPnDtawQopEJ_UKtt22ud9U57gk8mqebZIeugNk[[#This Row],[Molecular Weight]]*1000*1000</f>
        <v>10920.28194182468</v>
      </c>
      <c r="N61">
        <f>-LOG(DOWNLOAD_2kLRbPnDtawQopEJ_UKtt22ud9U57gk8mqebZIeugNk[[#This Row],[IC50]]*POWER(10, -9), 10)</f>
        <v>4.9617661487926359</v>
      </c>
      <c r="P61" t="s">
        <v>48</v>
      </c>
      <c r="R61" t="s">
        <v>55</v>
      </c>
      <c r="W61">
        <v>0</v>
      </c>
      <c r="X61" t="s">
        <v>314</v>
      </c>
      <c r="Y61" t="s">
        <v>315</v>
      </c>
      <c r="Z61" t="s">
        <v>58</v>
      </c>
      <c r="AA61" t="s">
        <v>59</v>
      </c>
      <c r="AB61" t="s">
        <v>60</v>
      </c>
      <c r="AC61" t="s">
        <v>61</v>
      </c>
      <c r="AD61" t="s">
        <v>49</v>
      </c>
      <c r="AE61" t="s">
        <v>49</v>
      </c>
      <c r="AF61" t="s">
        <v>49</v>
      </c>
      <c r="AG61" t="s">
        <v>49</v>
      </c>
      <c r="AH61" t="s">
        <v>48</v>
      </c>
      <c r="AI61" t="s">
        <v>48</v>
      </c>
      <c r="AJ61" t="s">
        <v>48</v>
      </c>
      <c r="AK61" t="s">
        <v>62</v>
      </c>
      <c r="AL61" t="s">
        <v>63</v>
      </c>
      <c r="AM61" t="s">
        <v>61</v>
      </c>
      <c r="AN61" t="s">
        <v>64</v>
      </c>
      <c r="AO61" t="s">
        <v>316</v>
      </c>
      <c r="AP61">
        <v>1</v>
      </c>
      <c r="AQ61" t="s">
        <v>66</v>
      </c>
      <c r="AR61" t="s">
        <v>76</v>
      </c>
      <c r="AS61">
        <v>1993</v>
      </c>
      <c r="AT61" t="s">
        <v>49</v>
      </c>
      <c r="AU61" t="s">
        <v>48</v>
      </c>
      <c r="AV61" t="s">
        <v>48</v>
      </c>
      <c r="AW61" t="s">
        <v>48</v>
      </c>
    </row>
    <row r="62" spans="1:49" x14ac:dyDescent="0.3">
      <c r="A62" t="s">
        <v>317</v>
      </c>
      <c r="B62" t="s">
        <v>48</v>
      </c>
      <c r="C62" t="s">
        <v>49</v>
      </c>
      <c r="D62">
        <v>284.27</v>
      </c>
      <c r="E62">
        <v>0</v>
      </c>
      <c r="F62">
        <v>2.88</v>
      </c>
      <c r="G62" t="s">
        <v>318</v>
      </c>
      <c r="H62" t="s">
        <v>319</v>
      </c>
      <c r="I62" t="s">
        <v>52</v>
      </c>
      <c r="J62" t="s">
        <v>71</v>
      </c>
      <c r="K62">
        <v>500</v>
      </c>
      <c r="L62" t="s">
        <v>54</v>
      </c>
      <c r="M62">
        <f>DOWNLOAD_2kLRbPnDtawQopEJ_UKtt22ud9U57gk8mqebZIeugNk[[#This Row],[Standard Value]]/DOWNLOAD_2kLRbPnDtawQopEJ_UKtt22ud9U57gk8mqebZIeugNk[[#This Row],[Molecular Weight]]*1000*1000</f>
        <v>1758891.194990678</v>
      </c>
      <c r="N62">
        <f>-LOG(DOWNLOAD_2kLRbPnDtawQopEJ_UKtt22ud9U57gk8mqebZIeugNk[[#This Row],[IC50]]*POWER(10, -9), 10)</f>
        <v>2.7547610251682744</v>
      </c>
      <c r="P62" t="s">
        <v>72</v>
      </c>
      <c r="R62" t="s">
        <v>55</v>
      </c>
      <c r="W62">
        <v>0</v>
      </c>
      <c r="X62" t="s">
        <v>314</v>
      </c>
      <c r="Y62" t="s">
        <v>315</v>
      </c>
      <c r="Z62" t="s">
        <v>58</v>
      </c>
      <c r="AA62" t="s">
        <v>59</v>
      </c>
      <c r="AB62" t="s">
        <v>60</v>
      </c>
      <c r="AC62" t="s">
        <v>61</v>
      </c>
      <c r="AD62" t="s">
        <v>49</v>
      </c>
      <c r="AE62" t="s">
        <v>49</v>
      </c>
      <c r="AF62" t="s">
        <v>49</v>
      </c>
      <c r="AG62" t="s">
        <v>49</v>
      </c>
      <c r="AH62" t="s">
        <v>48</v>
      </c>
      <c r="AI62" t="s">
        <v>48</v>
      </c>
      <c r="AJ62" t="s">
        <v>48</v>
      </c>
      <c r="AK62" t="s">
        <v>62</v>
      </c>
      <c r="AL62" t="s">
        <v>63</v>
      </c>
      <c r="AM62" t="s">
        <v>61</v>
      </c>
      <c r="AN62" t="s">
        <v>64</v>
      </c>
      <c r="AO62" t="s">
        <v>316</v>
      </c>
      <c r="AP62">
        <v>1</v>
      </c>
      <c r="AQ62" t="s">
        <v>66</v>
      </c>
      <c r="AR62" t="s">
        <v>76</v>
      </c>
      <c r="AS62">
        <v>1993</v>
      </c>
      <c r="AT62" t="s">
        <v>49</v>
      </c>
      <c r="AU62" t="s">
        <v>48</v>
      </c>
      <c r="AV62" t="s">
        <v>48</v>
      </c>
      <c r="AW62" t="s">
        <v>48</v>
      </c>
    </row>
    <row r="63" spans="1:49" x14ac:dyDescent="0.3">
      <c r="A63" t="s">
        <v>320</v>
      </c>
      <c r="B63" t="s">
        <v>48</v>
      </c>
      <c r="C63" t="s">
        <v>49</v>
      </c>
      <c r="D63">
        <v>455.45</v>
      </c>
      <c r="E63">
        <v>0</v>
      </c>
      <c r="F63">
        <v>4.0199999999999996</v>
      </c>
      <c r="G63" t="s">
        <v>321</v>
      </c>
      <c r="H63" t="s">
        <v>322</v>
      </c>
      <c r="I63" t="s">
        <v>52</v>
      </c>
      <c r="J63" t="s">
        <v>53</v>
      </c>
      <c r="K63">
        <v>0.88</v>
      </c>
      <c r="L63" t="s">
        <v>54</v>
      </c>
      <c r="M63">
        <f>DOWNLOAD_2kLRbPnDtawQopEJ_UKtt22ud9U57gk8mqebZIeugNk[[#This Row],[Standard Value]]/DOWNLOAD_2kLRbPnDtawQopEJ_UKtt22ud9U57gk8mqebZIeugNk[[#This Row],[Molecular Weight]]*1000*1000</f>
        <v>1932.1550115270613</v>
      </c>
      <c r="N63">
        <f>-LOG(DOWNLOAD_2kLRbPnDtawQopEJ_UKtt22ud9U57gk8mqebZIeugNk[[#This Row],[IC50]]*POWER(10, -9), 10)</f>
        <v>5.7139580342609566</v>
      </c>
      <c r="P63" t="s">
        <v>48</v>
      </c>
      <c r="R63" t="s">
        <v>55</v>
      </c>
      <c r="W63">
        <v>0</v>
      </c>
      <c r="X63" t="s">
        <v>80</v>
      </c>
      <c r="Y63" t="s">
        <v>81</v>
      </c>
      <c r="Z63" t="s">
        <v>58</v>
      </c>
      <c r="AA63" t="s">
        <v>59</v>
      </c>
      <c r="AB63" t="s">
        <v>60</v>
      </c>
      <c r="AC63" t="s">
        <v>61</v>
      </c>
      <c r="AD63" t="s">
        <v>49</v>
      </c>
      <c r="AE63" t="s">
        <v>49</v>
      </c>
      <c r="AF63" t="s">
        <v>49</v>
      </c>
      <c r="AG63" t="s">
        <v>49</v>
      </c>
      <c r="AH63" t="s">
        <v>48</v>
      </c>
      <c r="AI63" t="s">
        <v>48</v>
      </c>
      <c r="AJ63" t="s">
        <v>48</v>
      </c>
      <c r="AK63" t="s">
        <v>62</v>
      </c>
      <c r="AL63" t="s">
        <v>63</v>
      </c>
      <c r="AM63" t="s">
        <v>61</v>
      </c>
      <c r="AN63" t="s">
        <v>64</v>
      </c>
      <c r="AO63" t="s">
        <v>82</v>
      </c>
      <c r="AP63">
        <v>1</v>
      </c>
      <c r="AQ63" t="s">
        <v>66</v>
      </c>
      <c r="AR63" t="s">
        <v>67</v>
      </c>
      <c r="AS63">
        <v>1993</v>
      </c>
      <c r="AT63" t="s">
        <v>49</v>
      </c>
      <c r="AU63" t="s">
        <v>48</v>
      </c>
      <c r="AV63" t="s">
        <v>48</v>
      </c>
      <c r="AW63" t="s">
        <v>48</v>
      </c>
    </row>
    <row r="64" spans="1:49" x14ac:dyDescent="0.3">
      <c r="A64" t="s">
        <v>281</v>
      </c>
      <c r="B64" t="s">
        <v>282</v>
      </c>
      <c r="C64" t="s">
        <v>112</v>
      </c>
      <c r="D64">
        <v>331.35</v>
      </c>
      <c r="E64">
        <v>0</v>
      </c>
      <c r="F64">
        <v>1.58</v>
      </c>
      <c r="G64" t="s">
        <v>227</v>
      </c>
      <c r="H64" t="s">
        <v>284</v>
      </c>
      <c r="I64" t="s">
        <v>52</v>
      </c>
      <c r="J64" t="s">
        <v>53</v>
      </c>
      <c r="K64">
        <v>5.3</v>
      </c>
      <c r="L64" t="s">
        <v>54</v>
      </c>
      <c r="M64">
        <f>DOWNLOAD_2kLRbPnDtawQopEJ_UKtt22ud9U57gk8mqebZIeugNk[[#This Row],[Standard Value]]/DOWNLOAD_2kLRbPnDtawQopEJ_UKtt22ud9U57gk8mqebZIeugNk[[#This Row],[Molecular Weight]]*1000*1000</f>
        <v>15995.17126905085</v>
      </c>
      <c r="N64">
        <f>-LOG(DOWNLOAD_2kLRbPnDtawQopEJ_UKtt22ud9U57gk8mqebZIeugNk[[#This Row],[IC50]]*POWER(10, -9), 10)</f>
        <v>4.7960111053263264</v>
      </c>
      <c r="P64" t="s">
        <v>48</v>
      </c>
      <c r="R64" t="s">
        <v>55</v>
      </c>
      <c r="W64">
        <v>1</v>
      </c>
      <c r="X64" t="s">
        <v>98</v>
      </c>
      <c r="Y64" t="s">
        <v>99</v>
      </c>
      <c r="Z64" t="s">
        <v>58</v>
      </c>
      <c r="AA64" t="s">
        <v>59</v>
      </c>
      <c r="AB64" t="s">
        <v>60</v>
      </c>
      <c r="AC64" t="s">
        <v>49</v>
      </c>
      <c r="AD64" t="s">
        <v>49</v>
      </c>
      <c r="AE64" t="s">
        <v>49</v>
      </c>
      <c r="AF64" t="s">
        <v>49</v>
      </c>
      <c r="AG64" t="s">
        <v>49</v>
      </c>
      <c r="AH64" t="s">
        <v>48</v>
      </c>
      <c r="AI64" t="s">
        <v>48</v>
      </c>
      <c r="AJ64" t="s">
        <v>48</v>
      </c>
      <c r="AK64" t="s">
        <v>62</v>
      </c>
      <c r="AL64" t="s">
        <v>63</v>
      </c>
      <c r="AM64" t="s">
        <v>61</v>
      </c>
      <c r="AN64" t="s">
        <v>64</v>
      </c>
      <c r="AO64" t="s">
        <v>100</v>
      </c>
      <c r="AP64">
        <v>1</v>
      </c>
      <c r="AQ64" t="s">
        <v>66</v>
      </c>
      <c r="AR64" t="s">
        <v>67</v>
      </c>
      <c r="AS64">
        <v>1991</v>
      </c>
      <c r="AT64" t="s">
        <v>49</v>
      </c>
      <c r="AU64" t="s">
        <v>48</v>
      </c>
      <c r="AV64" t="s">
        <v>48</v>
      </c>
      <c r="AW64" t="s">
        <v>48</v>
      </c>
    </row>
    <row r="65" spans="1:49" x14ac:dyDescent="0.3">
      <c r="A65" t="s">
        <v>323</v>
      </c>
      <c r="B65" t="s">
        <v>48</v>
      </c>
      <c r="C65" t="s">
        <v>49</v>
      </c>
      <c r="D65">
        <v>527.13</v>
      </c>
      <c r="E65">
        <v>1</v>
      </c>
      <c r="F65">
        <v>3.56</v>
      </c>
      <c r="G65" t="s">
        <v>324</v>
      </c>
      <c r="H65" t="s">
        <v>325</v>
      </c>
      <c r="I65" t="s">
        <v>52</v>
      </c>
      <c r="J65" t="s">
        <v>53</v>
      </c>
      <c r="K65">
        <v>20</v>
      </c>
      <c r="L65" t="s">
        <v>126</v>
      </c>
      <c r="M65">
        <f>DOWNLOAD_2kLRbPnDtawQopEJ_UKtt22ud9U57gk8mqebZIeugNk[[#This Row],[Standard Value]]</f>
        <v>20</v>
      </c>
      <c r="N65">
        <f>-LOG(DOWNLOAD_2kLRbPnDtawQopEJ_UKtt22ud9U57gk8mqebZIeugNk[[#This Row],[IC50]]*POWER(10, -9), 10)</f>
        <v>7.6989700043360179</v>
      </c>
      <c r="O65">
        <v>7.7</v>
      </c>
      <c r="P65" t="s">
        <v>48</v>
      </c>
      <c r="R65" t="s">
        <v>127</v>
      </c>
      <c r="S65">
        <v>14.61</v>
      </c>
      <c r="T65">
        <v>0.36</v>
      </c>
      <c r="U65">
        <v>4.1399999999999997</v>
      </c>
      <c r="V65">
        <v>5.13</v>
      </c>
      <c r="W65">
        <v>0</v>
      </c>
      <c r="X65" t="s">
        <v>326</v>
      </c>
      <c r="Y65" t="s">
        <v>327</v>
      </c>
      <c r="Z65" t="s">
        <v>58</v>
      </c>
      <c r="AA65" t="s">
        <v>59</v>
      </c>
      <c r="AB65" t="s">
        <v>60</v>
      </c>
      <c r="AC65" t="s">
        <v>61</v>
      </c>
      <c r="AD65" t="s">
        <v>49</v>
      </c>
      <c r="AE65" t="s">
        <v>49</v>
      </c>
      <c r="AF65" t="s">
        <v>49</v>
      </c>
      <c r="AG65" t="s">
        <v>49</v>
      </c>
      <c r="AH65" t="s">
        <v>48</v>
      </c>
      <c r="AI65" t="s">
        <v>48</v>
      </c>
      <c r="AJ65" t="s">
        <v>48</v>
      </c>
      <c r="AK65" t="s">
        <v>62</v>
      </c>
      <c r="AL65" t="s">
        <v>63</v>
      </c>
      <c r="AM65" t="s">
        <v>61</v>
      </c>
      <c r="AN65" t="s">
        <v>64</v>
      </c>
      <c r="AO65" t="s">
        <v>328</v>
      </c>
      <c r="AP65">
        <v>1</v>
      </c>
      <c r="AQ65" t="s">
        <v>66</v>
      </c>
      <c r="AR65" t="s">
        <v>329</v>
      </c>
      <c r="AS65">
        <v>2019</v>
      </c>
      <c r="AT65" t="s">
        <v>49</v>
      </c>
      <c r="AU65" t="s">
        <v>48</v>
      </c>
      <c r="AV65" t="s">
        <v>48</v>
      </c>
      <c r="AW65" t="s">
        <v>48</v>
      </c>
    </row>
    <row r="66" spans="1:49" x14ac:dyDescent="0.3">
      <c r="A66" t="s">
        <v>330</v>
      </c>
      <c r="B66" t="s">
        <v>48</v>
      </c>
      <c r="C66" t="s">
        <v>49</v>
      </c>
      <c r="D66">
        <v>524.16999999999996</v>
      </c>
      <c r="E66">
        <v>1</v>
      </c>
      <c r="F66">
        <v>4.83</v>
      </c>
      <c r="G66" t="s">
        <v>331</v>
      </c>
      <c r="H66" t="s">
        <v>332</v>
      </c>
      <c r="I66" t="s">
        <v>52</v>
      </c>
      <c r="J66" t="s">
        <v>53</v>
      </c>
      <c r="K66">
        <v>860</v>
      </c>
      <c r="L66" t="s">
        <v>126</v>
      </c>
      <c r="M66">
        <f>DOWNLOAD_2kLRbPnDtawQopEJ_UKtt22ud9U57gk8mqebZIeugNk[[#This Row],[Standard Value]]</f>
        <v>860</v>
      </c>
      <c r="N66">
        <f>-LOG(DOWNLOAD_2kLRbPnDtawQopEJ_UKtt22ud9U57gk8mqebZIeugNk[[#This Row],[IC50]]*POWER(10, -9), 10)</f>
        <v>6.0655015487564317</v>
      </c>
      <c r="O66">
        <v>6.07</v>
      </c>
      <c r="P66" t="s">
        <v>48</v>
      </c>
      <c r="R66" t="s">
        <v>127</v>
      </c>
      <c r="S66">
        <v>11.57</v>
      </c>
      <c r="T66">
        <v>0.28999999999999998</v>
      </c>
      <c r="U66">
        <v>1.24</v>
      </c>
      <c r="V66">
        <v>6.03</v>
      </c>
      <c r="W66">
        <v>0</v>
      </c>
      <c r="X66" t="s">
        <v>326</v>
      </c>
      <c r="Y66" t="s">
        <v>327</v>
      </c>
      <c r="Z66" t="s">
        <v>58</v>
      </c>
      <c r="AA66" t="s">
        <v>59</v>
      </c>
      <c r="AB66" t="s">
        <v>60</v>
      </c>
      <c r="AC66" t="s">
        <v>61</v>
      </c>
      <c r="AD66" t="s">
        <v>49</v>
      </c>
      <c r="AE66" t="s">
        <v>49</v>
      </c>
      <c r="AF66" t="s">
        <v>49</v>
      </c>
      <c r="AG66" t="s">
        <v>49</v>
      </c>
      <c r="AH66" t="s">
        <v>48</v>
      </c>
      <c r="AI66" t="s">
        <v>48</v>
      </c>
      <c r="AJ66" t="s">
        <v>48</v>
      </c>
      <c r="AK66" t="s">
        <v>62</v>
      </c>
      <c r="AL66" t="s">
        <v>63</v>
      </c>
      <c r="AM66" t="s">
        <v>61</v>
      </c>
      <c r="AN66" t="s">
        <v>64</v>
      </c>
      <c r="AO66" t="s">
        <v>328</v>
      </c>
      <c r="AP66">
        <v>1</v>
      </c>
      <c r="AQ66" t="s">
        <v>66</v>
      </c>
      <c r="AR66" t="s">
        <v>329</v>
      </c>
      <c r="AS66">
        <v>2019</v>
      </c>
      <c r="AT66" t="s">
        <v>49</v>
      </c>
      <c r="AU66" t="s">
        <v>48</v>
      </c>
      <c r="AV66" t="s">
        <v>48</v>
      </c>
      <c r="AW66" t="s">
        <v>48</v>
      </c>
    </row>
    <row r="67" spans="1:49" x14ac:dyDescent="0.3">
      <c r="A67" t="s">
        <v>281</v>
      </c>
      <c r="B67" t="s">
        <v>282</v>
      </c>
      <c r="C67" t="s">
        <v>112</v>
      </c>
      <c r="D67">
        <v>331.35</v>
      </c>
      <c r="E67">
        <v>0</v>
      </c>
      <c r="F67">
        <v>1.58</v>
      </c>
      <c r="G67" t="s">
        <v>333</v>
      </c>
      <c r="H67" t="s">
        <v>284</v>
      </c>
      <c r="I67" t="s">
        <v>52</v>
      </c>
      <c r="J67" t="s">
        <v>53</v>
      </c>
      <c r="K67">
        <v>300</v>
      </c>
      <c r="L67" t="s">
        <v>126</v>
      </c>
      <c r="M67">
        <f>DOWNLOAD_2kLRbPnDtawQopEJ_UKtt22ud9U57gk8mqebZIeugNk[[#This Row],[Standard Value]]</f>
        <v>300</v>
      </c>
      <c r="N67">
        <f>-LOG(DOWNLOAD_2kLRbPnDtawQopEJ_UKtt22ud9U57gk8mqebZIeugNk[[#This Row],[IC50]]*POWER(10, -9), 10)</f>
        <v>6.5228787452803365</v>
      </c>
      <c r="O67">
        <v>6.52</v>
      </c>
      <c r="P67" t="s">
        <v>48</v>
      </c>
      <c r="R67" t="s">
        <v>127</v>
      </c>
      <c r="S67">
        <v>19.690000000000001</v>
      </c>
      <c r="T67">
        <v>0.37</v>
      </c>
      <c r="U67">
        <v>4.9400000000000004</v>
      </c>
      <c r="V67">
        <v>8.75</v>
      </c>
      <c r="W67">
        <v>1</v>
      </c>
      <c r="X67" t="s">
        <v>334</v>
      </c>
      <c r="Y67" t="s">
        <v>335</v>
      </c>
      <c r="Z67" t="s">
        <v>58</v>
      </c>
      <c r="AA67" t="s">
        <v>59</v>
      </c>
      <c r="AB67" t="s">
        <v>60</v>
      </c>
      <c r="AC67" t="s">
        <v>61</v>
      </c>
      <c r="AD67" t="s">
        <v>49</v>
      </c>
      <c r="AE67" t="s">
        <v>49</v>
      </c>
      <c r="AF67" t="s">
        <v>49</v>
      </c>
      <c r="AG67" t="s">
        <v>49</v>
      </c>
      <c r="AH67" t="s">
        <v>48</v>
      </c>
      <c r="AI67" t="s">
        <v>48</v>
      </c>
      <c r="AJ67" t="s">
        <v>48</v>
      </c>
      <c r="AK67" t="s">
        <v>62</v>
      </c>
      <c r="AL67" t="s">
        <v>63</v>
      </c>
      <c r="AM67" t="s">
        <v>61</v>
      </c>
      <c r="AN67" t="s">
        <v>64</v>
      </c>
      <c r="AO67" t="s">
        <v>336</v>
      </c>
      <c r="AP67">
        <v>1</v>
      </c>
      <c r="AQ67" t="s">
        <v>66</v>
      </c>
      <c r="AR67" t="s">
        <v>76</v>
      </c>
      <c r="AS67">
        <v>2006</v>
      </c>
      <c r="AT67" t="s">
        <v>49</v>
      </c>
      <c r="AU67" t="s">
        <v>48</v>
      </c>
      <c r="AV67" t="s">
        <v>48</v>
      </c>
      <c r="AW67" t="s">
        <v>48</v>
      </c>
    </row>
    <row r="68" spans="1:49" x14ac:dyDescent="0.3">
      <c r="A68" t="s">
        <v>337</v>
      </c>
      <c r="B68" t="s">
        <v>48</v>
      </c>
      <c r="C68" t="s">
        <v>49</v>
      </c>
      <c r="D68">
        <v>465.44</v>
      </c>
      <c r="E68">
        <v>0</v>
      </c>
      <c r="F68">
        <v>1.92</v>
      </c>
      <c r="G68" t="s">
        <v>338</v>
      </c>
      <c r="H68" t="s">
        <v>339</v>
      </c>
      <c r="I68" t="s">
        <v>52</v>
      </c>
      <c r="J68" t="s">
        <v>53</v>
      </c>
      <c r="K68">
        <v>200</v>
      </c>
      <c r="L68" t="s">
        <v>126</v>
      </c>
      <c r="M68">
        <f>DOWNLOAD_2kLRbPnDtawQopEJ_UKtt22ud9U57gk8mqebZIeugNk[[#This Row],[Standard Value]]</f>
        <v>200</v>
      </c>
      <c r="N68">
        <f>-LOG(DOWNLOAD_2kLRbPnDtawQopEJ_UKtt22ud9U57gk8mqebZIeugNk[[#This Row],[IC50]]*POWER(10, -9), 10)</f>
        <v>6.6989700043360187</v>
      </c>
      <c r="O68">
        <v>6.7</v>
      </c>
      <c r="P68" t="s">
        <v>48</v>
      </c>
      <c r="Q68">
        <v>302772</v>
      </c>
      <c r="R68" t="s">
        <v>127</v>
      </c>
      <c r="S68">
        <v>14.39</v>
      </c>
      <c r="T68">
        <v>0.27</v>
      </c>
      <c r="U68">
        <v>4.78</v>
      </c>
      <c r="V68">
        <v>5.29</v>
      </c>
      <c r="W68">
        <v>0</v>
      </c>
      <c r="X68" t="s">
        <v>251</v>
      </c>
      <c r="Y68" t="s">
        <v>252</v>
      </c>
      <c r="Z68" t="s">
        <v>58</v>
      </c>
      <c r="AA68" t="s">
        <v>59</v>
      </c>
      <c r="AB68" t="s">
        <v>60</v>
      </c>
      <c r="AC68" t="s">
        <v>61</v>
      </c>
      <c r="AD68" t="s">
        <v>49</v>
      </c>
      <c r="AE68" t="s">
        <v>49</v>
      </c>
      <c r="AF68" t="s">
        <v>49</v>
      </c>
      <c r="AG68" t="s">
        <v>49</v>
      </c>
      <c r="AH68" t="s">
        <v>48</v>
      </c>
      <c r="AI68" t="s">
        <v>48</v>
      </c>
      <c r="AJ68" t="s">
        <v>48</v>
      </c>
      <c r="AK68" t="s">
        <v>62</v>
      </c>
      <c r="AL68" t="s">
        <v>63</v>
      </c>
      <c r="AM68" t="s">
        <v>61</v>
      </c>
      <c r="AN68" t="s">
        <v>64</v>
      </c>
      <c r="AO68" t="s">
        <v>253</v>
      </c>
      <c r="AP68">
        <v>37</v>
      </c>
      <c r="AQ68" t="s">
        <v>254</v>
      </c>
      <c r="AR68" t="s">
        <v>48</v>
      </c>
      <c r="AS68">
        <v>2015</v>
      </c>
      <c r="AT68" t="s">
        <v>49</v>
      </c>
      <c r="AU68" t="s">
        <v>48</v>
      </c>
      <c r="AV68" t="s">
        <v>48</v>
      </c>
      <c r="AW68" t="s">
        <v>48</v>
      </c>
    </row>
    <row r="69" spans="1:49" x14ac:dyDescent="0.3">
      <c r="A69" t="s">
        <v>340</v>
      </c>
      <c r="B69" t="s">
        <v>48</v>
      </c>
      <c r="C69" t="s">
        <v>49</v>
      </c>
      <c r="D69">
        <v>494.48</v>
      </c>
      <c r="E69">
        <v>0</v>
      </c>
      <c r="F69">
        <v>1.86</v>
      </c>
      <c r="G69" t="s">
        <v>341</v>
      </c>
      <c r="H69" t="s">
        <v>342</v>
      </c>
      <c r="I69" t="s">
        <v>52</v>
      </c>
      <c r="J69" t="s">
        <v>53</v>
      </c>
      <c r="K69">
        <v>2400</v>
      </c>
      <c r="L69" t="s">
        <v>126</v>
      </c>
      <c r="M69">
        <f>DOWNLOAD_2kLRbPnDtawQopEJ_UKtt22ud9U57gk8mqebZIeugNk[[#This Row],[Standard Value]]</f>
        <v>2400</v>
      </c>
      <c r="N69">
        <f>-LOG(DOWNLOAD_2kLRbPnDtawQopEJ_UKtt22ud9U57gk8mqebZIeugNk[[#This Row],[IC50]]*POWER(10, -9), 10)</f>
        <v>5.6197887582883927</v>
      </c>
      <c r="O69">
        <v>5.62</v>
      </c>
      <c r="P69" t="s">
        <v>48</v>
      </c>
      <c r="Q69">
        <v>302783</v>
      </c>
      <c r="R69" t="s">
        <v>127</v>
      </c>
      <c r="S69">
        <v>11.37</v>
      </c>
      <c r="T69">
        <v>0.21</v>
      </c>
      <c r="U69">
        <v>3.76</v>
      </c>
      <c r="V69">
        <v>4.05</v>
      </c>
      <c r="W69">
        <v>0</v>
      </c>
      <c r="X69" t="s">
        <v>251</v>
      </c>
      <c r="Y69" t="s">
        <v>252</v>
      </c>
      <c r="Z69" t="s">
        <v>58</v>
      </c>
      <c r="AA69" t="s">
        <v>59</v>
      </c>
      <c r="AB69" t="s">
        <v>60</v>
      </c>
      <c r="AC69" t="s">
        <v>61</v>
      </c>
      <c r="AD69" t="s">
        <v>49</v>
      </c>
      <c r="AE69" t="s">
        <v>49</v>
      </c>
      <c r="AF69" t="s">
        <v>49</v>
      </c>
      <c r="AG69" t="s">
        <v>49</v>
      </c>
      <c r="AH69" t="s">
        <v>48</v>
      </c>
      <c r="AI69" t="s">
        <v>48</v>
      </c>
      <c r="AJ69" t="s">
        <v>48</v>
      </c>
      <c r="AK69" t="s">
        <v>62</v>
      </c>
      <c r="AL69" t="s">
        <v>63</v>
      </c>
      <c r="AM69" t="s">
        <v>61</v>
      </c>
      <c r="AN69" t="s">
        <v>64</v>
      </c>
      <c r="AO69" t="s">
        <v>253</v>
      </c>
      <c r="AP69">
        <v>37</v>
      </c>
      <c r="AQ69" t="s">
        <v>254</v>
      </c>
      <c r="AR69" t="s">
        <v>48</v>
      </c>
      <c r="AS69">
        <v>2015</v>
      </c>
      <c r="AT69" t="s">
        <v>49</v>
      </c>
      <c r="AU69" t="s">
        <v>48</v>
      </c>
      <c r="AV69" t="s">
        <v>48</v>
      </c>
      <c r="AW69" t="s">
        <v>48</v>
      </c>
    </row>
    <row r="70" spans="1:49" x14ac:dyDescent="0.3">
      <c r="A70" t="s">
        <v>343</v>
      </c>
      <c r="B70" t="s">
        <v>48</v>
      </c>
      <c r="C70" t="s">
        <v>49</v>
      </c>
      <c r="D70">
        <v>454.42</v>
      </c>
      <c r="E70">
        <v>0</v>
      </c>
      <c r="F70">
        <v>1.25</v>
      </c>
      <c r="G70" t="s">
        <v>344</v>
      </c>
      <c r="H70" t="s">
        <v>345</v>
      </c>
      <c r="I70" t="s">
        <v>52</v>
      </c>
      <c r="J70" t="s">
        <v>53</v>
      </c>
      <c r="K70">
        <v>800</v>
      </c>
      <c r="L70" t="s">
        <v>126</v>
      </c>
      <c r="M70">
        <f>DOWNLOAD_2kLRbPnDtawQopEJ_UKtt22ud9U57gk8mqebZIeugNk[[#This Row],[Standard Value]]</f>
        <v>800</v>
      </c>
      <c r="N70">
        <f>-LOG(DOWNLOAD_2kLRbPnDtawQopEJ_UKtt22ud9U57gk8mqebZIeugNk[[#This Row],[IC50]]*POWER(10, -9), 10)</f>
        <v>6.0969100130080562</v>
      </c>
      <c r="O70">
        <v>6.1</v>
      </c>
      <c r="P70" t="s">
        <v>48</v>
      </c>
      <c r="Q70">
        <v>302832</v>
      </c>
      <c r="R70" t="s">
        <v>127</v>
      </c>
      <c r="S70">
        <v>13.42</v>
      </c>
      <c r="T70">
        <v>0.25</v>
      </c>
      <c r="U70">
        <v>4.8499999999999996</v>
      </c>
      <c r="V70">
        <v>4.28</v>
      </c>
      <c r="W70">
        <v>0</v>
      </c>
      <c r="X70" t="s">
        <v>251</v>
      </c>
      <c r="Y70" t="s">
        <v>252</v>
      </c>
      <c r="Z70" t="s">
        <v>58</v>
      </c>
      <c r="AA70" t="s">
        <v>59</v>
      </c>
      <c r="AB70" t="s">
        <v>60</v>
      </c>
      <c r="AC70" t="s">
        <v>61</v>
      </c>
      <c r="AD70" t="s">
        <v>49</v>
      </c>
      <c r="AE70" t="s">
        <v>49</v>
      </c>
      <c r="AF70" t="s">
        <v>49</v>
      </c>
      <c r="AG70" t="s">
        <v>49</v>
      </c>
      <c r="AH70" t="s">
        <v>48</v>
      </c>
      <c r="AI70" t="s">
        <v>48</v>
      </c>
      <c r="AJ70" t="s">
        <v>48</v>
      </c>
      <c r="AK70" t="s">
        <v>62</v>
      </c>
      <c r="AL70" t="s">
        <v>63</v>
      </c>
      <c r="AM70" t="s">
        <v>61</v>
      </c>
      <c r="AN70" t="s">
        <v>64</v>
      </c>
      <c r="AO70" t="s">
        <v>253</v>
      </c>
      <c r="AP70">
        <v>37</v>
      </c>
      <c r="AQ70" t="s">
        <v>254</v>
      </c>
      <c r="AR70" t="s">
        <v>48</v>
      </c>
      <c r="AS70">
        <v>2015</v>
      </c>
      <c r="AT70" t="s">
        <v>49</v>
      </c>
      <c r="AU70" t="s">
        <v>48</v>
      </c>
      <c r="AV70" t="s">
        <v>48</v>
      </c>
      <c r="AW70" t="s">
        <v>48</v>
      </c>
    </row>
    <row r="71" spans="1:49" x14ac:dyDescent="0.3">
      <c r="A71" t="s">
        <v>346</v>
      </c>
      <c r="B71" t="s">
        <v>48</v>
      </c>
      <c r="C71" t="s">
        <v>49</v>
      </c>
      <c r="D71">
        <v>341.41</v>
      </c>
      <c r="E71">
        <v>0</v>
      </c>
      <c r="F71">
        <v>2.09</v>
      </c>
      <c r="G71" t="s">
        <v>347</v>
      </c>
      <c r="H71" t="s">
        <v>348</v>
      </c>
      <c r="I71" t="s">
        <v>52</v>
      </c>
      <c r="J71" t="s">
        <v>53</v>
      </c>
      <c r="K71">
        <v>28.5</v>
      </c>
      <c r="L71" t="s">
        <v>54</v>
      </c>
      <c r="M71">
        <f>DOWNLOAD_2kLRbPnDtawQopEJ_UKtt22ud9U57gk8mqebZIeugNk[[#This Row],[Standard Value]]/DOWNLOAD_2kLRbPnDtawQopEJ_UKtt22ud9U57gk8mqebZIeugNk[[#This Row],[Molecular Weight]]*1000*1000</f>
        <v>83477.343955947392</v>
      </c>
      <c r="N71">
        <f>-LOG(DOWNLOAD_2kLRbPnDtawQopEJ_UKtt22ud9U57gk8mqebZIeugNk[[#This Row],[IC50]]*POWER(10, -9), 10)</f>
        <v>4.0784313775704835</v>
      </c>
      <c r="P71" t="s">
        <v>48</v>
      </c>
      <c r="R71" t="s">
        <v>55</v>
      </c>
      <c r="W71">
        <v>0</v>
      </c>
      <c r="X71" t="s">
        <v>135</v>
      </c>
      <c r="Y71" t="s">
        <v>136</v>
      </c>
      <c r="Z71" t="s">
        <v>58</v>
      </c>
      <c r="AA71" t="s">
        <v>59</v>
      </c>
      <c r="AB71" t="s">
        <v>60</v>
      </c>
      <c r="AC71" t="s">
        <v>61</v>
      </c>
      <c r="AD71" t="s">
        <v>49</v>
      </c>
      <c r="AE71" t="s">
        <v>49</v>
      </c>
      <c r="AF71" t="s">
        <v>49</v>
      </c>
      <c r="AG71" t="s">
        <v>49</v>
      </c>
      <c r="AH71" t="s">
        <v>48</v>
      </c>
      <c r="AI71" t="s">
        <v>48</v>
      </c>
      <c r="AJ71" t="s">
        <v>48</v>
      </c>
      <c r="AK71" t="s">
        <v>62</v>
      </c>
      <c r="AL71" t="s">
        <v>63</v>
      </c>
      <c r="AM71" t="s">
        <v>61</v>
      </c>
      <c r="AN71" t="s">
        <v>64</v>
      </c>
      <c r="AO71" t="s">
        <v>137</v>
      </c>
      <c r="AP71">
        <v>1</v>
      </c>
      <c r="AQ71" t="s">
        <v>66</v>
      </c>
      <c r="AR71" t="s">
        <v>67</v>
      </c>
      <c r="AS71">
        <v>1996</v>
      </c>
      <c r="AT71" t="s">
        <v>49</v>
      </c>
      <c r="AU71" t="s">
        <v>48</v>
      </c>
      <c r="AV71" t="s">
        <v>48</v>
      </c>
      <c r="AW71" t="s">
        <v>48</v>
      </c>
    </row>
    <row r="72" spans="1:49" x14ac:dyDescent="0.3">
      <c r="A72" t="s">
        <v>281</v>
      </c>
      <c r="B72" t="s">
        <v>282</v>
      </c>
      <c r="C72" t="s">
        <v>112</v>
      </c>
      <c r="D72">
        <v>331.35</v>
      </c>
      <c r="E72">
        <v>0</v>
      </c>
      <c r="F72">
        <v>1.58</v>
      </c>
      <c r="G72" t="s">
        <v>349</v>
      </c>
      <c r="H72" t="s">
        <v>284</v>
      </c>
      <c r="I72" t="s">
        <v>52</v>
      </c>
      <c r="J72" t="s">
        <v>53</v>
      </c>
      <c r="K72">
        <v>300</v>
      </c>
      <c r="L72" t="s">
        <v>126</v>
      </c>
      <c r="M72">
        <f>DOWNLOAD_2kLRbPnDtawQopEJ_UKtt22ud9U57gk8mqebZIeugNk[[#This Row],[Standard Value]]</f>
        <v>300</v>
      </c>
      <c r="N72">
        <f>-LOG(DOWNLOAD_2kLRbPnDtawQopEJ_UKtt22ud9U57gk8mqebZIeugNk[[#This Row],[IC50]]*POWER(10, -9), 10)</f>
        <v>6.5228787452803365</v>
      </c>
      <c r="O72">
        <v>6.52</v>
      </c>
      <c r="P72" t="s">
        <v>48</v>
      </c>
      <c r="R72" t="s">
        <v>127</v>
      </c>
      <c r="S72">
        <v>19.690000000000001</v>
      </c>
      <c r="T72">
        <v>0.37</v>
      </c>
      <c r="U72">
        <v>4.9400000000000004</v>
      </c>
      <c r="V72">
        <v>8.75</v>
      </c>
      <c r="W72">
        <v>1</v>
      </c>
      <c r="X72" t="s">
        <v>350</v>
      </c>
      <c r="Y72" t="s">
        <v>351</v>
      </c>
      <c r="Z72" t="s">
        <v>58</v>
      </c>
      <c r="AA72" t="s">
        <v>59</v>
      </c>
      <c r="AB72" t="s">
        <v>60</v>
      </c>
      <c r="AC72" t="s">
        <v>61</v>
      </c>
      <c r="AD72" t="s">
        <v>49</v>
      </c>
      <c r="AE72" t="s">
        <v>49</v>
      </c>
      <c r="AF72" t="s">
        <v>49</v>
      </c>
      <c r="AG72" t="s">
        <v>49</v>
      </c>
      <c r="AH72" t="s">
        <v>48</v>
      </c>
      <c r="AI72" t="s">
        <v>48</v>
      </c>
      <c r="AJ72" t="s">
        <v>48</v>
      </c>
      <c r="AK72" t="s">
        <v>62</v>
      </c>
      <c r="AL72" t="s">
        <v>63</v>
      </c>
      <c r="AM72" t="s">
        <v>61</v>
      </c>
      <c r="AN72" t="s">
        <v>64</v>
      </c>
      <c r="AO72" t="s">
        <v>352</v>
      </c>
      <c r="AP72">
        <v>1</v>
      </c>
      <c r="AQ72" t="s">
        <v>66</v>
      </c>
      <c r="AR72" t="s">
        <v>353</v>
      </c>
      <c r="AS72">
        <v>2008</v>
      </c>
      <c r="AT72" t="s">
        <v>49</v>
      </c>
      <c r="AU72" t="s">
        <v>48</v>
      </c>
      <c r="AV72" t="s">
        <v>48</v>
      </c>
      <c r="AW72" t="s">
        <v>48</v>
      </c>
    </row>
    <row r="73" spans="1:49" x14ac:dyDescent="0.3">
      <c r="A73" t="s">
        <v>354</v>
      </c>
      <c r="B73" t="s">
        <v>48</v>
      </c>
      <c r="C73" t="s">
        <v>49</v>
      </c>
      <c r="D73">
        <v>302.24</v>
      </c>
      <c r="E73">
        <v>0</v>
      </c>
      <c r="F73">
        <v>1.99</v>
      </c>
      <c r="G73" t="s">
        <v>293</v>
      </c>
      <c r="H73" t="s">
        <v>355</v>
      </c>
      <c r="I73" t="s">
        <v>52</v>
      </c>
      <c r="J73" t="s">
        <v>53</v>
      </c>
      <c r="K73">
        <v>418</v>
      </c>
      <c r="L73" t="s">
        <v>54</v>
      </c>
      <c r="M73">
        <f>DOWNLOAD_2kLRbPnDtawQopEJ_UKtt22ud9U57gk8mqebZIeugNk[[#This Row],[Standard Value]]/DOWNLOAD_2kLRbPnDtawQopEJ_UKtt22ud9U57gk8mqebZIeugNk[[#This Row],[Molecular Weight]]*1000*1000</f>
        <v>1383006.8819481207</v>
      </c>
      <c r="N73">
        <f>-LOG(DOWNLOAD_2kLRbPnDtawQopEJ_UKtt22ud9U57gk8mqebZIeugNk[[#This Row],[IC50]]*POWER(10, -9), 10)</f>
        <v>2.8591756588027231</v>
      </c>
      <c r="P73" t="s">
        <v>72</v>
      </c>
      <c r="R73" t="s">
        <v>55</v>
      </c>
      <c r="W73">
        <v>0</v>
      </c>
      <c r="X73" t="s">
        <v>314</v>
      </c>
      <c r="Y73" t="s">
        <v>315</v>
      </c>
      <c r="Z73" t="s">
        <v>58</v>
      </c>
      <c r="AA73" t="s">
        <v>59</v>
      </c>
      <c r="AB73" t="s">
        <v>60</v>
      </c>
      <c r="AC73" t="s">
        <v>61</v>
      </c>
      <c r="AD73" t="s">
        <v>49</v>
      </c>
      <c r="AE73" t="s">
        <v>49</v>
      </c>
      <c r="AF73" t="s">
        <v>49</v>
      </c>
      <c r="AG73" t="s">
        <v>49</v>
      </c>
      <c r="AH73" t="s">
        <v>48</v>
      </c>
      <c r="AI73" t="s">
        <v>48</v>
      </c>
      <c r="AJ73" t="s">
        <v>48</v>
      </c>
      <c r="AK73" t="s">
        <v>62</v>
      </c>
      <c r="AL73" t="s">
        <v>63</v>
      </c>
      <c r="AM73" t="s">
        <v>61</v>
      </c>
      <c r="AN73" t="s">
        <v>64</v>
      </c>
      <c r="AO73" t="s">
        <v>316</v>
      </c>
      <c r="AP73">
        <v>1</v>
      </c>
      <c r="AQ73" t="s">
        <v>66</v>
      </c>
      <c r="AR73" t="s">
        <v>76</v>
      </c>
      <c r="AS73">
        <v>1993</v>
      </c>
      <c r="AT73" t="s">
        <v>49</v>
      </c>
      <c r="AU73" t="s">
        <v>48</v>
      </c>
      <c r="AV73" t="s">
        <v>48</v>
      </c>
      <c r="AW73" t="s">
        <v>48</v>
      </c>
    </row>
    <row r="74" spans="1:49" x14ac:dyDescent="0.3">
      <c r="A74" t="s">
        <v>356</v>
      </c>
      <c r="B74" t="s">
        <v>357</v>
      </c>
      <c r="C74" t="s">
        <v>305</v>
      </c>
      <c r="D74">
        <v>404.35</v>
      </c>
      <c r="E74">
        <v>0</v>
      </c>
      <c r="F74">
        <v>2.04</v>
      </c>
      <c r="G74" t="s">
        <v>168</v>
      </c>
      <c r="H74" t="s">
        <v>358</v>
      </c>
      <c r="I74" t="s">
        <v>52</v>
      </c>
      <c r="J74" t="s">
        <v>53</v>
      </c>
      <c r="K74">
        <v>3</v>
      </c>
      <c r="L74" t="s">
        <v>54</v>
      </c>
      <c r="M74">
        <f>DOWNLOAD_2kLRbPnDtawQopEJ_UKtt22ud9U57gk8mqebZIeugNk[[#This Row],[Standard Value]]/DOWNLOAD_2kLRbPnDtawQopEJ_UKtt22ud9U57gk8mqebZIeugNk[[#This Row],[Molecular Weight]]*1000*1000</f>
        <v>7419.3149499196243</v>
      </c>
      <c r="N74">
        <f>-LOG(DOWNLOAD_2kLRbPnDtawQopEJ_UKtt22ud9U57gk8mqebZIeugNk[[#This Row],[IC50]]*POWER(10, -9), 10)</f>
        <v>5.1296361927269718</v>
      </c>
      <c r="P74" t="s">
        <v>48</v>
      </c>
      <c r="R74" t="s">
        <v>55</v>
      </c>
      <c r="W74">
        <v>0</v>
      </c>
      <c r="X74" t="s">
        <v>359</v>
      </c>
      <c r="Y74" t="s">
        <v>360</v>
      </c>
      <c r="Z74" t="s">
        <v>168</v>
      </c>
      <c r="AA74" t="s">
        <v>169</v>
      </c>
      <c r="AB74" t="s">
        <v>170</v>
      </c>
      <c r="AC74" t="s">
        <v>61</v>
      </c>
      <c r="AD74" t="s">
        <v>49</v>
      </c>
      <c r="AE74" t="s">
        <v>49</v>
      </c>
      <c r="AF74" t="s">
        <v>49</v>
      </c>
      <c r="AG74" t="s">
        <v>49</v>
      </c>
      <c r="AH74" t="s">
        <v>48</v>
      </c>
      <c r="AI74" t="s">
        <v>48</v>
      </c>
      <c r="AJ74" t="s">
        <v>48</v>
      </c>
      <c r="AK74" t="s">
        <v>62</v>
      </c>
      <c r="AL74" t="s">
        <v>63</v>
      </c>
      <c r="AM74" t="s">
        <v>61</v>
      </c>
      <c r="AN74" t="s">
        <v>64</v>
      </c>
      <c r="AO74" t="s">
        <v>361</v>
      </c>
      <c r="AP74">
        <v>1</v>
      </c>
      <c r="AQ74" t="s">
        <v>66</v>
      </c>
      <c r="AR74" t="s">
        <v>67</v>
      </c>
      <c r="AS74">
        <v>1993</v>
      </c>
      <c r="AT74" t="s">
        <v>49</v>
      </c>
      <c r="AU74" t="s">
        <v>48</v>
      </c>
      <c r="AV74" t="s">
        <v>48</v>
      </c>
      <c r="AW74" t="s">
        <v>48</v>
      </c>
    </row>
    <row r="75" spans="1:49" x14ac:dyDescent="0.3">
      <c r="A75" t="s">
        <v>362</v>
      </c>
      <c r="B75" t="s">
        <v>48</v>
      </c>
      <c r="C75" t="s">
        <v>49</v>
      </c>
      <c r="D75">
        <v>401.34</v>
      </c>
      <c r="E75">
        <v>0</v>
      </c>
      <c r="F75">
        <v>2.88</v>
      </c>
      <c r="G75" t="s">
        <v>312</v>
      </c>
      <c r="H75" t="s">
        <v>363</v>
      </c>
      <c r="I75" t="s">
        <v>52</v>
      </c>
      <c r="J75" t="s">
        <v>53</v>
      </c>
      <c r="K75">
        <v>5</v>
      </c>
      <c r="L75" t="s">
        <v>54</v>
      </c>
      <c r="M75">
        <f>DOWNLOAD_2kLRbPnDtawQopEJ_UKtt22ud9U57gk8mqebZIeugNk[[#This Row],[Standard Value]]/DOWNLOAD_2kLRbPnDtawQopEJ_UKtt22ud9U57gk8mqebZIeugNk[[#This Row],[Molecular Weight]]*1000*1000</f>
        <v>12458.264812876863</v>
      </c>
      <c r="N75">
        <f>-LOG(DOWNLOAD_2kLRbPnDtawQopEJ_UKtt22ud9U57gk8mqebZIeugNk[[#This Row],[IC50]]*POWER(10, -9), 10)</f>
        <v>4.904542442000257</v>
      </c>
      <c r="P75" t="s">
        <v>48</v>
      </c>
      <c r="R75" t="s">
        <v>55</v>
      </c>
      <c r="W75">
        <v>0</v>
      </c>
      <c r="X75" t="s">
        <v>359</v>
      </c>
      <c r="Y75" t="s">
        <v>360</v>
      </c>
      <c r="Z75" t="s">
        <v>168</v>
      </c>
      <c r="AA75" t="s">
        <v>169</v>
      </c>
      <c r="AB75" t="s">
        <v>170</v>
      </c>
      <c r="AC75" t="s">
        <v>61</v>
      </c>
      <c r="AD75" t="s">
        <v>49</v>
      </c>
      <c r="AE75" t="s">
        <v>49</v>
      </c>
      <c r="AF75" t="s">
        <v>49</v>
      </c>
      <c r="AG75" t="s">
        <v>49</v>
      </c>
      <c r="AH75" t="s">
        <v>48</v>
      </c>
      <c r="AI75" t="s">
        <v>48</v>
      </c>
      <c r="AJ75" t="s">
        <v>48</v>
      </c>
      <c r="AK75" t="s">
        <v>62</v>
      </c>
      <c r="AL75" t="s">
        <v>63</v>
      </c>
      <c r="AM75" t="s">
        <v>61</v>
      </c>
      <c r="AN75" t="s">
        <v>64</v>
      </c>
      <c r="AO75" t="s">
        <v>361</v>
      </c>
      <c r="AP75">
        <v>1</v>
      </c>
      <c r="AQ75" t="s">
        <v>66</v>
      </c>
      <c r="AR75" t="s">
        <v>67</v>
      </c>
      <c r="AS75">
        <v>1993</v>
      </c>
      <c r="AT75" t="s">
        <v>49</v>
      </c>
      <c r="AU75" t="s">
        <v>48</v>
      </c>
      <c r="AV75" t="s">
        <v>48</v>
      </c>
      <c r="AW75" t="s">
        <v>48</v>
      </c>
    </row>
    <row r="76" spans="1:49" x14ac:dyDescent="0.3">
      <c r="A76" t="s">
        <v>364</v>
      </c>
      <c r="B76" t="s">
        <v>48</v>
      </c>
      <c r="C76" t="s">
        <v>49</v>
      </c>
      <c r="D76">
        <v>332.33</v>
      </c>
      <c r="E76">
        <v>0</v>
      </c>
      <c r="F76">
        <v>1.1100000000000001</v>
      </c>
      <c r="G76" t="s">
        <v>365</v>
      </c>
      <c r="H76" t="s">
        <v>366</v>
      </c>
      <c r="I76" t="s">
        <v>52</v>
      </c>
      <c r="J76" t="s">
        <v>53</v>
      </c>
      <c r="K76">
        <v>3</v>
      </c>
      <c r="L76" t="s">
        <v>54</v>
      </c>
      <c r="M76">
        <f>DOWNLOAD_2kLRbPnDtawQopEJ_UKtt22ud9U57gk8mqebZIeugNk[[#This Row],[Standard Value]]/DOWNLOAD_2kLRbPnDtawQopEJ_UKtt22ud9U57gk8mqebZIeugNk[[#This Row],[Molecular Weight]]*1000*1000</f>
        <v>9027.171787079109</v>
      </c>
      <c r="N76">
        <f>-LOG(DOWNLOAD_2kLRbPnDtawQopEJ_UKtt22ud9U57gk8mqebZIeugNk[[#This Row],[IC50]]*POWER(10, -9), 10)</f>
        <v>5.0444482928376271</v>
      </c>
      <c r="P76" t="s">
        <v>48</v>
      </c>
      <c r="R76" t="s">
        <v>55</v>
      </c>
      <c r="W76">
        <v>0</v>
      </c>
      <c r="X76" t="s">
        <v>359</v>
      </c>
      <c r="Y76" t="s">
        <v>360</v>
      </c>
      <c r="Z76" t="s">
        <v>168</v>
      </c>
      <c r="AA76" t="s">
        <v>169</v>
      </c>
      <c r="AB76" t="s">
        <v>170</v>
      </c>
      <c r="AC76" t="s">
        <v>61</v>
      </c>
      <c r="AD76" t="s">
        <v>49</v>
      </c>
      <c r="AE76" t="s">
        <v>49</v>
      </c>
      <c r="AF76" t="s">
        <v>49</v>
      </c>
      <c r="AG76" t="s">
        <v>49</v>
      </c>
      <c r="AH76" t="s">
        <v>48</v>
      </c>
      <c r="AI76" t="s">
        <v>48</v>
      </c>
      <c r="AJ76" t="s">
        <v>48</v>
      </c>
      <c r="AK76" t="s">
        <v>62</v>
      </c>
      <c r="AL76" t="s">
        <v>63</v>
      </c>
      <c r="AM76" t="s">
        <v>61</v>
      </c>
      <c r="AN76" t="s">
        <v>64</v>
      </c>
      <c r="AO76" t="s">
        <v>361</v>
      </c>
      <c r="AP76">
        <v>1</v>
      </c>
      <c r="AQ76" t="s">
        <v>66</v>
      </c>
      <c r="AR76" t="s">
        <v>67</v>
      </c>
      <c r="AS76">
        <v>1993</v>
      </c>
      <c r="AT76" t="s">
        <v>49</v>
      </c>
      <c r="AU76" t="s">
        <v>48</v>
      </c>
      <c r="AV76" t="s">
        <v>48</v>
      </c>
      <c r="AW76" t="s">
        <v>48</v>
      </c>
    </row>
    <row r="77" spans="1:49" x14ac:dyDescent="0.3">
      <c r="A77" t="s">
        <v>367</v>
      </c>
      <c r="B77" t="s">
        <v>48</v>
      </c>
      <c r="C77" t="s">
        <v>49</v>
      </c>
      <c r="D77">
        <v>435.57</v>
      </c>
      <c r="E77">
        <v>1</v>
      </c>
      <c r="F77">
        <v>5.58</v>
      </c>
      <c r="G77" t="s">
        <v>274</v>
      </c>
      <c r="H77" t="s">
        <v>368</v>
      </c>
      <c r="I77" t="s">
        <v>52</v>
      </c>
      <c r="J77" t="s">
        <v>53</v>
      </c>
      <c r="K77">
        <v>4</v>
      </c>
      <c r="L77" t="s">
        <v>54</v>
      </c>
      <c r="M77">
        <f>DOWNLOAD_2kLRbPnDtawQopEJ_UKtt22ud9U57gk8mqebZIeugNk[[#This Row],[Standard Value]]/DOWNLOAD_2kLRbPnDtawQopEJ_UKtt22ud9U57gk8mqebZIeugNk[[#This Row],[Molecular Weight]]*1000*1000</f>
        <v>9183.3689188878943</v>
      </c>
      <c r="N77">
        <f>-LOG(DOWNLOAD_2kLRbPnDtawQopEJ_UKtt22ud9U57gk8mqebZIeugNk[[#This Row],[IC50]]*POWER(10, -9), 10)</f>
        <v>5.0369979686374799</v>
      </c>
      <c r="P77" t="s">
        <v>48</v>
      </c>
      <c r="R77" t="s">
        <v>55</v>
      </c>
      <c r="W77">
        <v>0</v>
      </c>
      <c r="X77" t="s">
        <v>121</v>
      </c>
      <c r="Y77" t="s">
        <v>87</v>
      </c>
      <c r="Z77" t="s">
        <v>58</v>
      </c>
      <c r="AA77" t="s">
        <v>59</v>
      </c>
      <c r="AB77" t="s">
        <v>60</v>
      </c>
      <c r="AC77" t="s">
        <v>61</v>
      </c>
      <c r="AD77" t="s">
        <v>49</v>
      </c>
      <c r="AE77" t="s">
        <v>49</v>
      </c>
      <c r="AF77" t="s">
        <v>49</v>
      </c>
      <c r="AG77" t="s">
        <v>49</v>
      </c>
      <c r="AH77" t="s">
        <v>48</v>
      </c>
      <c r="AI77" t="s">
        <v>48</v>
      </c>
      <c r="AJ77" t="s">
        <v>48</v>
      </c>
      <c r="AK77" t="s">
        <v>62</v>
      </c>
      <c r="AL77" t="s">
        <v>63</v>
      </c>
      <c r="AM77" t="s">
        <v>61</v>
      </c>
      <c r="AN77" t="s">
        <v>64</v>
      </c>
      <c r="AO77" t="s">
        <v>122</v>
      </c>
      <c r="AP77">
        <v>1</v>
      </c>
      <c r="AQ77" t="s">
        <v>66</v>
      </c>
      <c r="AR77" t="s">
        <v>76</v>
      </c>
      <c r="AS77">
        <v>2004</v>
      </c>
      <c r="AT77" t="s">
        <v>49</v>
      </c>
      <c r="AU77" t="s">
        <v>48</v>
      </c>
      <c r="AV77" t="s">
        <v>48</v>
      </c>
      <c r="AW77" t="s">
        <v>48</v>
      </c>
    </row>
    <row r="78" spans="1:49" x14ac:dyDescent="0.3">
      <c r="A78" t="s">
        <v>369</v>
      </c>
      <c r="B78" t="s">
        <v>48</v>
      </c>
      <c r="C78" t="s">
        <v>49</v>
      </c>
      <c r="D78">
        <v>357.41</v>
      </c>
      <c r="E78">
        <v>0</v>
      </c>
      <c r="F78">
        <v>1.97</v>
      </c>
      <c r="G78" t="s">
        <v>370</v>
      </c>
      <c r="H78" t="s">
        <v>371</v>
      </c>
      <c r="I78" t="s">
        <v>52</v>
      </c>
      <c r="J78" t="s">
        <v>53</v>
      </c>
      <c r="K78">
        <v>12.8</v>
      </c>
      <c r="L78" t="s">
        <v>54</v>
      </c>
      <c r="M78">
        <f>DOWNLOAD_2kLRbPnDtawQopEJ_UKtt22ud9U57gk8mqebZIeugNk[[#This Row],[Standard Value]]/DOWNLOAD_2kLRbPnDtawQopEJ_UKtt22ud9U57gk8mqebZIeugNk[[#This Row],[Molecular Weight]]*1000*1000</f>
        <v>35813.211717635204</v>
      </c>
      <c r="N78">
        <f>-LOG(DOWNLOAD_2kLRbPnDtawQopEJ_UKtt22ud9U57gk8mqebZIeugNk[[#This Row],[IC50]]*POWER(10, -9), 10)</f>
        <v>4.4459567298481772</v>
      </c>
      <c r="P78" t="s">
        <v>48</v>
      </c>
      <c r="R78" t="s">
        <v>55</v>
      </c>
      <c r="W78">
        <v>0</v>
      </c>
      <c r="X78" t="s">
        <v>92</v>
      </c>
      <c r="Y78" t="s">
        <v>93</v>
      </c>
      <c r="Z78" t="s">
        <v>58</v>
      </c>
      <c r="AA78" t="s">
        <v>59</v>
      </c>
      <c r="AB78" t="s">
        <v>60</v>
      </c>
      <c r="AC78" t="s">
        <v>61</v>
      </c>
      <c r="AD78" t="s">
        <v>49</v>
      </c>
      <c r="AE78" t="s">
        <v>49</v>
      </c>
      <c r="AF78" t="s">
        <v>49</v>
      </c>
      <c r="AG78" t="s">
        <v>49</v>
      </c>
      <c r="AH78" t="s">
        <v>48</v>
      </c>
      <c r="AI78" t="s">
        <v>48</v>
      </c>
      <c r="AJ78" t="s">
        <v>48</v>
      </c>
      <c r="AK78" t="s">
        <v>62</v>
      </c>
      <c r="AL78" t="s">
        <v>63</v>
      </c>
      <c r="AM78" t="s">
        <v>61</v>
      </c>
      <c r="AN78" t="s">
        <v>64</v>
      </c>
      <c r="AO78" t="s">
        <v>94</v>
      </c>
      <c r="AP78">
        <v>1</v>
      </c>
      <c r="AQ78" t="s">
        <v>66</v>
      </c>
      <c r="AR78" t="s">
        <v>67</v>
      </c>
      <c r="AS78">
        <v>2003</v>
      </c>
      <c r="AT78" t="s">
        <v>49</v>
      </c>
      <c r="AU78" t="s">
        <v>48</v>
      </c>
      <c r="AV78" t="s">
        <v>48</v>
      </c>
      <c r="AW78" t="s">
        <v>48</v>
      </c>
    </row>
    <row r="79" spans="1:49" x14ac:dyDescent="0.3">
      <c r="A79" t="s">
        <v>199</v>
      </c>
      <c r="B79" t="s">
        <v>48</v>
      </c>
      <c r="C79" t="s">
        <v>49</v>
      </c>
      <c r="D79">
        <v>361.83</v>
      </c>
      <c r="E79">
        <v>0</v>
      </c>
      <c r="F79">
        <v>2.62</v>
      </c>
      <c r="G79" t="s">
        <v>200</v>
      </c>
      <c r="H79" t="s">
        <v>201</v>
      </c>
      <c r="I79" t="s">
        <v>52</v>
      </c>
      <c r="J79" t="s">
        <v>53</v>
      </c>
      <c r="K79">
        <v>3.2</v>
      </c>
      <c r="L79" t="s">
        <v>54</v>
      </c>
      <c r="M79">
        <f>DOWNLOAD_2kLRbPnDtawQopEJ_UKtt22ud9U57gk8mqebZIeugNk[[#This Row],[Standard Value]]/DOWNLOAD_2kLRbPnDtawQopEJ_UKtt22ud9U57gk8mqebZIeugNk[[#This Row],[Molecular Weight]]*1000*1000</f>
        <v>8843.9322333692617</v>
      </c>
      <c r="N79">
        <f>-LOG(DOWNLOAD_2kLRbPnDtawQopEJ_UKtt22ud9U57gk8mqebZIeugNk[[#This Row],[IC50]]*POWER(10, -9), 10)</f>
        <v>5.053354593862041</v>
      </c>
      <c r="P79" t="s">
        <v>48</v>
      </c>
      <c r="R79" t="s">
        <v>55</v>
      </c>
      <c r="W79">
        <v>0</v>
      </c>
      <c r="X79" t="s">
        <v>372</v>
      </c>
      <c r="Y79" t="s">
        <v>373</v>
      </c>
      <c r="Z79" t="s">
        <v>58</v>
      </c>
      <c r="AA79" t="s">
        <v>59</v>
      </c>
      <c r="AB79" t="s">
        <v>60</v>
      </c>
      <c r="AC79" t="s">
        <v>61</v>
      </c>
      <c r="AD79" t="s">
        <v>49</v>
      </c>
      <c r="AE79" t="s">
        <v>49</v>
      </c>
      <c r="AF79" t="s">
        <v>49</v>
      </c>
      <c r="AG79" t="s">
        <v>49</v>
      </c>
      <c r="AH79" t="s">
        <v>48</v>
      </c>
      <c r="AI79" t="s">
        <v>48</v>
      </c>
      <c r="AJ79" t="s">
        <v>48</v>
      </c>
      <c r="AK79" t="s">
        <v>62</v>
      </c>
      <c r="AL79" t="s">
        <v>63</v>
      </c>
      <c r="AM79" t="s">
        <v>61</v>
      </c>
      <c r="AN79" t="s">
        <v>64</v>
      </c>
      <c r="AO79" t="s">
        <v>94</v>
      </c>
      <c r="AP79">
        <v>1</v>
      </c>
      <c r="AQ79" t="s">
        <v>66</v>
      </c>
      <c r="AR79" t="s">
        <v>67</v>
      </c>
      <c r="AS79">
        <v>2003</v>
      </c>
      <c r="AT79" t="s">
        <v>49</v>
      </c>
      <c r="AU79" t="s">
        <v>48</v>
      </c>
      <c r="AV79" t="s">
        <v>48</v>
      </c>
      <c r="AW79" t="s">
        <v>48</v>
      </c>
    </row>
    <row r="80" spans="1:49" x14ac:dyDescent="0.3">
      <c r="A80" t="s">
        <v>374</v>
      </c>
      <c r="B80" t="s">
        <v>48</v>
      </c>
      <c r="C80" t="s">
        <v>49</v>
      </c>
      <c r="D80">
        <v>332.34</v>
      </c>
      <c r="E80">
        <v>0</v>
      </c>
      <c r="F80">
        <v>0.98</v>
      </c>
      <c r="G80" t="s">
        <v>227</v>
      </c>
      <c r="H80" t="s">
        <v>375</v>
      </c>
      <c r="I80" t="s">
        <v>52</v>
      </c>
      <c r="J80" t="s">
        <v>53</v>
      </c>
      <c r="K80">
        <v>50</v>
      </c>
      <c r="L80" t="s">
        <v>54</v>
      </c>
      <c r="M80">
        <f>DOWNLOAD_2kLRbPnDtawQopEJ_UKtt22ud9U57gk8mqebZIeugNk[[#This Row],[Standard Value]]/DOWNLOAD_2kLRbPnDtawQopEJ_UKtt22ud9U57gk8mqebZIeugNk[[#This Row],[Molecular Weight]]*1000*1000</f>
        <v>150448.33604140338</v>
      </c>
      <c r="N80">
        <f>-LOG(DOWNLOAD_2kLRbPnDtawQopEJ_UKtt22ud9U57gk8mqebZIeugNk[[#This Row],[IC50]]*POWER(10, -9), 10)</f>
        <v>3.8226126111943084</v>
      </c>
      <c r="P80" t="s">
        <v>48</v>
      </c>
      <c r="R80" t="s">
        <v>55</v>
      </c>
      <c r="W80">
        <v>0</v>
      </c>
      <c r="X80" t="s">
        <v>98</v>
      </c>
      <c r="Y80" t="s">
        <v>99</v>
      </c>
      <c r="Z80" t="s">
        <v>58</v>
      </c>
      <c r="AA80" t="s">
        <v>59</v>
      </c>
      <c r="AB80" t="s">
        <v>60</v>
      </c>
      <c r="AC80" t="s">
        <v>49</v>
      </c>
      <c r="AD80" t="s">
        <v>49</v>
      </c>
      <c r="AE80" t="s">
        <v>49</v>
      </c>
      <c r="AF80" t="s">
        <v>49</v>
      </c>
      <c r="AG80" t="s">
        <v>49</v>
      </c>
      <c r="AH80" t="s">
        <v>48</v>
      </c>
      <c r="AI80" t="s">
        <v>48</v>
      </c>
      <c r="AJ80" t="s">
        <v>48</v>
      </c>
      <c r="AK80" t="s">
        <v>62</v>
      </c>
      <c r="AL80" t="s">
        <v>63</v>
      </c>
      <c r="AM80" t="s">
        <v>61</v>
      </c>
      <c r="AN80" t="s">
        <v>64</v>
      </c>
      <c r="AO80" t="s">
        <v>100</v>
      </c>
      <c r="AP80">
        <v>1</v>
      </c>
      <c r="AQ80" t="s">
        <v>66</v>
      </c>
      <c r="AR80" t="s">
        <v>67</v>
      </c>
      <c r="AS80">
        <v>1991</v>
      </c>
      <c r="AT80" t="s">
        <v>49</v>
      </c>
      <c r="AU80" t="s">
        <v>48</v>
      </c>
      <c r="AV80" t="s">
        <v>48</v>
      </c>
      <c r="AW80" t="s">
        <v>48</v>
      </c>
    </row>
    <row r="81" spans="1:49" x14ac:dyDescent="0.3">
      <c r="A81" t="s">
        <v>376</v>
      </c>
      <c r="B81" t="s">
        <v>48</v>
      </c>
      <c r="C81" t="s">
        <v>49</v>
      </c>
      <c r="D81">
        <v>390.39</v>
      </c>
      <c r="E81">
        <v>0</v>
      </c>
      <c r="F81">
        <v>1.84</v>
      </c>
      <c r="G81" t="s">
        <v>331</v>
      </c>
      <c r="H81" t="s">
        <v>377</v>
      </c>
      <c r="I81" t="s">
        <v>52</v>
      </c>
      <c r="J81" t="s">
        <v>53</v>
      </c>
      <c r="K81">
        <v>5.5</v>
      </c>
      <c r="L81" t="s">
        <v>54</v>
      </c>
      <c r="M81">
        <f>DOWNLOAD_2kLRbPnDtawQopEJ_UKtt22ud9U57gk8mqebZIeugNk[[#This Row],[Standard Value]]/DOWNLOAD_2kLRbPnDtawQopEJ_UKtt22ud9U57gk8mqebZIeugNk[[#This Row],[Molecular Weight]]*1000*1000</f>
        <v>14088.475626937166</v>
      </c>
      <c r="N81">
        <f>-LOG(DOWNLOAD_2kLRbPnDtawQopEJ_UKtt22ud9U57gk8mqebZIeugNk[[#This Row],[IC50]]*POWER(10, -9), 10)</f>
        <v>4.8511359950115738</v>
      </c>
      <c r="P81" t="s">
        <v>48</v>
      </c>
      <c r="R81" t="s">
        <v>55</v>
      </c>
      <c r="W81">
        <v>0</v>
      </c>
      <c r="X81" t="s">
        <v>98</v>
      </c>
      <c r="Y81" t="s">
        <v>99</v>
      </c>
      <c r="Z81" t="s">
        <v>58</v>
      </c>
      <c r="AA81" t="s">
        <v>59</v>
      </c>
      <c r="AB81" t="s">
        <v>60</v>
      </c>
      <c r="AC81" t="s">
        <v>49</v>
      </c>
      <c r="AD81" t="s">
        <v>49</v>
      </c>
      <c r="AE81" t="s">
        <v>49</v>
      </c>
      <c r="AF81" t="s">
        <v>49</v>
      </c>
      <c r="AG81" t="s">
        <v>49</v>
      </c>
      <c r="AH81" t="s">
        <v>48</v>
      </c>
      <c r="AI81" t="s">
        <v>48</v>
      </c>
      <c r="AJ81" t="s">
        <v>48</v>
      </c>
      <c r="AK81" t="s">
        <v>62</v>
      </c>
      <c r="AL81" t="s">
        <v>63</v>
      </c>
      <c r="AM81" t="s">
        <v>61</v>
      </c>
      <c r="AN81" t="s">
        <v>64</v>
      </c>
      <c r="AO81" t="s">
        <v>100</v>
      </c>
      <c r="AP81">
        <v>1</v>
      </c>
      <c r="AQ81" t="s">
        <v>66</v>
      </c>
      <c r="AR81" t="s">
        <v>67</v>
      </c>
      <c r="AS81">
        <v>1991</v>
      </c>
      <c r="AT81" t="s">
        <v>49</v>
      </c>
      <c r="AU81" t="s">
        <v>48</v>
      </c>
      <c r="AV81" t="s">
        <v>48</v>
      </c>
      <c r="AW81" t="s">
        <v>48</v>
      </c>
    </row>
    <row r="82" spans="1:49" x14ac:dyDescent="0.3">
      <c r="A82" t="s">
        <v>378</v>
      </c>
      <c r="B82" t="s">
        <v>379</v>
      </c>
      <c r="C82" t="s">
        <v>112</v>
      </c>
      <c r="D82">
        <v>375.4</v>
      </c>
      <c r="E82">
        <v>0</v>
      </c>
      <c r="F82">
        <v>1.98</v>
      </c>
      <c r="G82" t="s">
        <v>380</v>
      </c>
      <c r="H82" t="s">
        <v>381</v>
      </c>
      <c r="I82" t="s">
        <v>52</v>
      </c>
      <c r="J82" t="s">
        <v>53</v>
      </c>
      <c r="K82">
        <v>500</v>
      </c>
      <c r="L82" t="s">
        <v>126</v>
      </c>
      <c r="M82">
        <f>DOWNLOAD_2kLRbPnDtawQopEJ_UKtt22ud9U57gk8mqebZIeugNk[[#This Row],[Standard Value]]</f>
        <v>500</v>
      </c>
      <c r="N82">
        <f>-LOG(DOWNLOAD_2kLRbPnDtawQopEJ_UKtt22ud9U57gk8mqebZIeugNk[[#This Row],[IC50]]*POWER(10, -9), 10)</f>
        <v>6.3010299956639804</v>
      </c>
      <c r="O82">
        <v>6.3</v>
      </c>
      <c r="P82" t="s">
        <v>48</v>
      </c>
      <c r="R82" t="s">
        <v>127</v>
      </c>
      <c r="W82">
        <v>1</v>
      </c>
      <c r="X82" t="s">
        <v>382</v>
      </c>
      <c r="Y82" t="s">
        <v>383</v>
      </c>
      <c r="Z82" t="s">
        <v>168</v>
      </c>
      <c r="AA82" t="s">
        <v>169</v>
      </c>
      <c r="AB82" t="s">
        <v>170</v>
      </c>
      <c r="AC82" t="s">
        <v>61</v>
      </c>
      <c r="AD82" t="s">
        <v>49</v>
      </c>
      <c r="AE82" t="s">
        <v>49</v>
      </c>
      <c r="AF82" t="s">
        <v>49</v>
      </c>
      <c r="AG82" t="s">
        <v>49</v>
      </c>
      <c r="AH82" t="s">
        <v>48</v>
      </c>
      <c r="AI82" t="s">
        <v>48</v>
      </c>
      <c r="AJ82" t="s">
        <v>48</v>
      </c>
      <c r="AK82" t="s">
        <v>62</v>
      </c>
      <c r="AL82" t="s">
        <v>63</v>
      </c>
      <c r="AM82" t="s">
        <v>61</v>
      </c>
      <c r="AN82" t="s">
        <v>64</v>
      </c>
      <c r="AO82" t="s">
        <v>384</v>
      </c>
      <c r="AP82">
        <v>1</v>
      </c>
      <c r="AQ82" t="s">
        <v>66</v>
      </c>
      <c r="AR82" t="s">
        <v>67</v>
      </c>
      <c r="AS82">
        <v>2006</v>
      </c>
      <c r="AT82" t="s">
        <v>49</v>
      </c>
      <c r="AU82" t="s">
        <v>48</v>
      </c>
      <c r="AV82" t="s">
        <v>48</v>
      </c>
      <c r="AW82" t="s">
        <v>48</v>
      </c>
    </row>
    <row r="83" spans="1:49" x14ac:dyDescent="0.3">
      <c r="A83" t="s">
        <v>385</v>
      </c>
      <c r="B83" t="s">
        <v>48</v>
      </c>
      <c r="C83" t="s">
        <v>49</v>
      </c>
      <c r="D83">
        <v>413.91</v>
      </c>
      <c r="E83">
        <v>0</v>
      </c>
      <c r="F83">
        <v>4.9400000000000004</v>
      </c>
      <c r="G83" t="s">
        <v>386</v>
      </c>
      <c r="H83" t="s">
        <v>387</v>
      </c>
      <c r="I83" t="s">
        <v>52</v>
      </c>
      <c r="J83" t="s">
        <v>53</v>
      </c>
      <c r="K83">
        <v>16</v>
      </c>
      <c r="L83" t="s">
        <v>54</v>
      </c>
      <c r="M83">
        <f>DOWNLOAD_2kLRbPnDtawQopEJ_UKtt22ud9U57gk8mqebZIeugNk[[#This Row],[Standard Value]]/DOWNLOAD_2kLRbPnDtawQopEJ_UKtt22ud9U57gk8mqebZIeugNk[[#This Row],[Molecular Weight]]*1000*1000</f>
        <v>38655.746418303497</v>
      </c>
      <c r="N83">
        <f>-LOG(DOWNLOAD_2kLRbPnDtawQopEJ_UKtt22ud9U57gk8mqebZIeugNk[[#This Row],[IC50]]*POWER(10, -9), 10)</f>
        <v>4.4127859363574373</v>
      </c>
      <c r="P83" t="s">
        <v>48</v>
      </c>
      <c r="R83" t="s">
        <v>55</v>
      </c>
      <c r="W83">
        <v>0</v>
      </c>
      <c r="X83" t="s">
        <v>121</v>
      </c>
      <c r="Y83" t="s">
        <v>87</v>
      </c>
      <c r="Z83" t="s">
        <v>58</v>
      </c>
      <c r="AA83" t="s">
        <v>59</v>
      </c>
      <c r="AB83" t="s">
        <v>60</v>
      </c>
      <c r="AC83" t="s">
        <v>61</v>
      </c>
      <c r="AD83" t="s">
        <v>49</v>
      </c>
      <c r="AE83" t="s">
        <v>49</v>
      </c>
      <c r="AF83" t="s">
        <v>49</v>
      </c>
      <c r="AG83" t="s">
        <v>49</v>
      </c>
      <c r="AH83" t="s">
        <v>48</v>
      </c>
      <c r="AI83" t="s">
        <v>48</v>
      </c>
      <c r="AJ83" t="s">
        <v>48</v>
      </c>
      <c r="AK83" t="s">
        <v>62</v>
      </c>
      <c r="AL83" t="s">
        <v>63</v>
      </c>
      <c r="AM83" t="s">
        <v>61</v>
      </c>
      <c r="AN83" t="s">
        <v>64</v>
      </c>
      <c r="AO83" t="s">
        <v>122</v>
      </c>
      <c r="AP83">
        <v>1</v>
      </c>
      <c r="AQ83" t="s">
        <v>66</v>
      </c>
      <c r="AR83" t="s">
        <v>76</v>
      </c>
      <c r="AS83">
        <v>2004</v>
      </c>
      <c r="AT83" t="s">
        <v>49</v>
      </c>
      <c r="AU83" t="s">
        <v>48</v>
      </c>
      <c r="AV83" t="s">
        <v>48</v>
      </c>
      <c r="AW83" t="s">
        <v>48</v>
      </c>
    </row>
    <row r="84" spans="1:49" x14ac:dyDescent="0.3">
      <c r="A84" t="s">
        <v>388</v>
      </c>
      <c r="B84" t="s">
        <v>48</v>
      </c>
      <c r="C84" t="s">
        <v>49</v>
      </c>
      <c r="D84">
        <v>337.33</v>
      </c>
      <c r="E84">
        <v>0</v>
      </c>
      <c r="F84">
        <v>1.41</v>
      </c>
      <c r="G84" t="s">
        <v>389</v>
      </c>
      <c r="H84" t="s">
        <v>390</v>
      </c>
      <c r="I84" t="s">
        <v>52</v>
      </c>
      <c r="J84" t="s">
        <v>53</v>
      </c>
      <c r="K84">
        <v>6.3</v>
      </c>
      <c r="L84" t="s">
        <v>54</v>
      </c>
      <c r="M84">
        <f>DOWNLOAD_2kLRbPnDtawQopEJ_UKtt22ud9U57gk8mqebZIeugNk[[#This Row],[Standard Value]]/DOWNLOAD_2kLRbPnDtawQopEJ_UKtt22ud9U57gk8mqebZIeugNk[[#This Row],[Molecular Weight]]*1000*1000</f>
        <v>18676.07387424777</v>
      </c>
      <c r="N84">
        <f>-LOG(DOWNLOAD_2kLRbPnDtawQopEJ_UKtt22ud9U57gk8mqebZIeugNk[[#This Row],[IC50]]*POWER(10, -9), 10)</f>
        <v>4.7287144168618829</v>
      </c>
      <c r="P84" t="s">
        <v>48</v>
      </c>
      <c r="R84" t="s">
        <v>55</v>
      </c>
      <c r="W84">
        <v>0</v>
      </c>
      <c r="X84" t="s">
        <v>115</v>
      </c>
      <c r="Y84" t="s">
        <v>116</v>
      </c>
      <c r="Z84" t="s">
        <v>58</v>
      </c>
      <c r="AA84" t="s">
        <v>59</v>
      </c>
      <c r="AB84" t="s">
        <v>60</v>
      </c>
      <c r="AC84" t="s">
        <v>61</v>
      </c>
      <c r="AD84" t="s">
        <v>49</v>
      </c>
      <c r="AE84" t="s">
        <v>49</v>
      </c>
      <c r="AF84" t="s">
        <v>49</v>
      </c>
      <c r="AG84" t="s">
        <v>49</v>
      </c>
      <c r="AH84" t="s">
        <v>48</v>
      </c>
      <c r="AI84" t="s">
        <v>48</v>
      </c>
      <c r="AJ84" t="s">
        <v>48</v>
      </c>
      <c r="AK84" t="s">
        <v>62</v>
      </c>
      <c r="AL84" t="s">
        <v>63</v>
      </c>
      <c r="AM84" t="s">
        <v>61</v>
      </c>
      <c r="AN84" t="s">
        <v>64</v>
      </c>
      <c r="AO84" t="s">
        <v>117</v>
      </c>
      <c r="AP84">
        <v>1</v>
      </c>
      <c r="AQ84" t="s">
        <v>66</v>
      </c>
      <c r="AR84" t="s">
        <v>67</v>
      </c>
      <c r="AS84">
        <v>1986</v>
      </c>
      <c r="AT84" t="s">
        <v>49</v>
      </c>
      <c r="AU84" t="s">
        <v>48</v>
      </c>
      <c r="AV84" t="s">
        <v>48</v>
      </c>
      <c r="AW84" t="s">
        <v>48</v>
      </c>
    </row>
    <row r="85" spans="1:49" x14ac:dyDescent="0.3">
      <c r="A85" t="s">
        <v>391</v>
      </c>
      <c r="B85" t="s">
        <v>392</v>
      </c>
      <c r="C85" t="s">
        <v>49</v>
      </c>
      <c r="D85">
        <v>238.24</v>
      </c>
      <c r="E85">
        <v>0</v>
      </c>
      <c r="F85">
        <v>3.17</v>
      </c>
      <c r="G85" t="s">
        <v>393</v>
      </c>
      <c r="H85" t="s">
        <v>394</v>
      </c>
      <c r="I85" t="s">
        <v>52</v>
      </c>
      <c r="J85" t="s">
        <v>71</v>
      </c>
      <c r="K85">
        <v>500</v>
      </c>
      <c r="L85" t="s">
        <v>54</v>
      </c>
      <c r="M85">
        <f>DOWNLOAD_2kLRbPnDtawQopEJ_UKtt22ud9U57gk8mqebZIeugNk[[#This Row],[Standard Value]]/DOWNLOAD_2kLRbPnDtawQopEJ_UKtt22ud9U57gk8mqebZIeugNk[[#This Row],[Molecular Weight]]*1000*1000</f>
        <v>2098723.9758226997</v>
      </c>
      <c r="N85">
        <f>-LOG(DOWNLOAD_2kLRbPnDtawQopEJ_UKtt22ud9U57gk8mqebZIeugNk[[#This Row],[IC50]]*POWER(10, -9), 10)</f>
        <v>2.6780446760720822</v>
      </c>
      <c r="P85" t="s">
        <v>72</v>
      </c>
      <c r="R85" t="s">
        <v>55</v>
      </c>
      <c r="W85">
        <v>0</v>
      </c>
      <c r="X85" t="s">
        <v>314</v>
      </c>
      <c r="Y85" t="s">
        <v>315</v>
      </c>
      <c r="Z85" t="s">
        <v>58</v>
      </c>
      <c r="AA85" t="s">
        <v>59</v>
      </c>
      <c r="AB85" t="s">
        <v>60</v>
      </c>
      <c r="AC85" t="s">
        <v>61</v>
      </c>
      <c r="AD85" t="s">
        <v>49</v>
      </c>
      <c r="AE85" t="s">
        <v>49</v>
      </c>
      <c r="AF85" t="s">
        <v>49</v>
      </c>
      <c r="AG85" t="s">
        <v>49</v>
      </c>
      <c r="AH85" t="s">
        <v>48</v>
      </c>
      <c r="AI85" t="s">
        <v>48</v>
      </c>
      <c r="AJ85" t="s">
        <v>48</v>
      </c>
      <c r="AK85" t="s">
        <v>62</v>
      </c>
      <c r="AL85" t="s">
        <v>63</v>
      </c>
      <c r="AM85" t="s">
        <v>61</v>
      </c>
      <c r="AN85" t="s">
        <v>64</v>
      </c>
      <c r="AO85" t="s">
        <v>316</v>
      </c>
      <c r="AP85">
        <v>1</v>
      </c>
      <c r="AQ85" t="s">
        <v>66</v>
      </c>
      <c r="AR85" t="s">
        <v>76</v>
      </c>
      <c r="AS85">
        <v>1993</v>
      </c>
      <c r="AT85" t="s">
        <v>49</v>
      </c>
      <c r="AU85" t="s">
        <v>48</v>
      </c>
      <c r="AV85" t="s">
        <v>48</v>
      </c>
      <c r="AW85" t="s">
        <v>48</v>
      </c>
    </row>
    <row r="86" spans="1:49" x14ac:dyDescent="0.3">
      <c r="A86" t="s">
        <v>395</v>
      </c>
      <c r="B86" t="s">
        <v>48</v>
      </c>
      <c r="C86" t="s">
        <v>49</v>
      </c>
      <c r="D86">
        <v>367.41</v>
      </c>
      <c r="E86">
        <v>0</v>
      </c>
      <c r="F86">
        <v>3.63</v>
      </c>
      <c r="G86" t="s">
        <v>396</v>
      </c>
      <c r="H86" t="s">
        <v>397</v>
      </c>
      <c r="I86" t="s">
        <v>52</v>
      </c>
      <c r="J86" t="s">
        <v>53</v>
      </c>
      <c r="K86">
        <v>3100</v>
      </c>
      <c r="L86" t="s">
        <v>126</v>
      </c>
      <c r="M86">
        <f>DOWNLOAD_2kLRbPnDtawQopEJ_UKtt22ud9U57gk8mqebZIeugNk[[#This Row],[Standard Value]]</f>
        <v>3100</v>
      </c>
      <c r="N86">
        <f>-LOG(DOWNLOAD_2kLRbPnDtawQopEJ_UKtt22ud9U57gk8mqebZIeugNk[[#This Row],[IC50]]*POWER(10, -9), 10)</f>
        <v>5.5086383061657269</v>
      </c>
      <c r="O86">
        <v>5.51</v>
      </c>
      <c r="P86" t="s">
        <v>48</v>
      </c>
      <c r="R86" t="s">
        <v>127</v>
      </c>
      <c r="S86">
        <v>14.99</v>
      </c>
      <c r="T86">
        <v>0.28999999999999998</v>
      </c>
      <c r="U86">
        <v>1.88</v>
      </c>
      <c r="V86">
        <v>6.81</v>
      </c>
      <c r="W86">
        <v>0</v>
      </c>
      <c r="X86" t="s">
        <v>334</v>
      </c>
      <c r="Y86" t="s">
        <v>335</v>
      </c>
      <c r="Z86" t="s">
        <v>58</v>
      </c>
      <c r="AA86" t="s">
        <v>59</v>
      </c>
      <c r="AB86" t="s">
        <v>60</v>
      </c>
      <c r="AC86" t="s">
        <v>61</v>
      </c>
      <c r="AD86" t="s">
        <v>49</v>
      </c>
      <c r="AE86" t="s">
        <v>49</v>
      </c>
      <c r="AF86" t="s">
        <v>49</v>
      </c>
      <c r="AG86" t="s">
        <v>49</v>
      </c>
      <c r="AH86" t="s">
        <v>48</v>
      </c>
      <c r="AI86" t="s">
        <v>48</v>
      </c>
      <c r="AJ86" t="s">
        <v>48</v>
      </c>
      <c r="AK86" t="s">
        <v>62</v>
      </c>
      <c r="AL86" t="s">
        <v>63</v>
      </c>
      <c r="AM86" t="s">
        <v>61</v>
      </c>
      <c r="AN86" t="s">
        <v>64</v>
      </c>
      <c r="AO86" t="s">
        <v>336</v>
      </c>
      <c r="AP86">
        <v>1</v>
      </c>
      <c r="AQ86" t="s">
        <v>66</v>
      </c>
      <c r="AR86" t="s">
        <v>76</v>
      </c>
      <c r="AS86">
        <v>2006</v>
      </c>
      <c r="AT86" t="s">
        <v>49</v>
      </c>
      <c r="AU86" t="s">
        <v>48</v>
      </c>
      <c r="AV86" t="s">
        <v>48</v>
      </c>
      <c r="AW86" t="s">
        <v>48</v>
      </c>
    </row>
    <row r="87" spans="1:49" x14ac:dyDescent="0.3">
      <c r="A87" t="s">
        <v>378</v>
      </c>
      <c r="B87" t="s">
        <v>379</v>
      </c>
      <c r="C87" t="s">
        <v>112</v>
      </c>
      <c r="D87">
        <v>375.4</v>
      </c>
      <c r="E87">
        <v>0</v>
      </c>
      <c r="F87">
        <v>1.98</v>
      </c>
      <c r="G87" t="s">
        <v>398</v>
      </c>
      <c r="H87" t="s">
        <v>381</v>
      </c>
      <c r="I87" t="s">
        <v>52</v>
      </c>
      <c r="J87" t="s">
        <v>53</v>
      </c>
      <c r="K87">
        <v>500</v>
      </c>
      <c r="L87" t="s">
        <v>126</v>
      </c>
      <c r="M87">
        <f>DOWNLOAD_2kLRbPnDtawQopEJ_UKtt22ud9U57gk8mqebZIeugNk[[#This Row],[Standard Value]]</f>
        <v>500</v>
      </c>
      <c r="N87">
        <f>-LOG(DOWNLOAD_2kLRbPnDtawQopEJ_UKtt22ud9U57gk8mqebZIeugNk[[#This Row],[IC50]]*POWER(10, -9), 10)</f>
        <v>6.3010299956639804</v>
      </c>
      <c r="O87">
        <v>6.3</v>
      </c>
      <c r="P87" t="s">
        <v>48</v>
      </c>
      <c r="R87" t="s">
        <v>127</v>
      </c>
      <c r="S87">
        <v>16.78</v>
      </c>
      <c r="T87">
        <v>0.32</v>
      </c>
      <c r="U87">
        <v>4.32</v>
      </c>
      <c r="V87">
        <v>7.52</v>
      </c>
      <c r="W87">
        <v>0</v>
      </c>
      <c r="X87" t="s">
        <v>334</v>
      </c>
      <c r="Y87" t="s">
        <v>335</v>
      </c>
      <c r="Z87" t="s">
        <v>58</v>
      </c>
      <c r="AA87" t="s">
        <v>59</v>
      </c>
      <c r="AB87" t="s">
        <v>60</v>
      </c>
      <c r="AC87" t="s">
        <v>61</v>
      </c>
      <c r="AD87" t="s">
        <v>49</v>
      </c>
      <c r="AE87" t="s">
        <v>49</v>
      </c>
      <c r="AF87" t="s">
        <v>49</v>
      </c>
      <c r="AG87" t="s">
        <v>49</v>
      </c>
      <c r="AH87" t="s">
        <v>48</v>
      </c>
      <c r="AI87" t="s">
        <v>48</v>
      </c>
      <c r="AJ87" t="s">
        <v>48</v>
      </c>
      <c r="AK87" t="s">
        <v>62</v>
      </c>
      <c r="AL87" t="s">
        <v>63</v>
      </c>
      <c r="AM87" t="s">
        <v>61</v>
      </c>
      <c r="AN87" t="s">
        <v>64</v>
      </c>
      <c r="AO87" t="s">
        <v>336</v>
      </c>
      <c r="AP87">
        <v>1</v>
      </c>
      <c r="AQ87" t="s">
        <v>66</v>
      </c>
      <c r="AR87" t="s">
        <v>76</v>
      </c>
      <c r="AS87">
        <v>2006</v>
      </c>
      <c r="AT87" t="s">
        <v>49</v>
      </c>
      <c r="AU87" t="s">
        <v>48</v>
      </c>
      <c r="AV87" t="s">
        <v>48</v>
      </c>
      <c r="AW87" t="s">
        <v>48</v>
      </c>
    </row>
    <row r="88" spans="1:49" x14ac:dyDescent="0.3">
      <c r="A88" t="s">
        <v>399</v>
      </c>
      <c r="B88" t="s">
        <v>48</v>
      </c>
      <c r="C88" t="s">
        <v>49</v>
      </c>
      <c r="D88">
        <v>436.56</v>
      </c>
      <c r="E88">
        <v>0</v>
      </c>
      <c r="F88">
        <v>3.43</v>
      </c>
      <c r="G88" t="s">
        <v>400</v>
      </c>
      <c r="H88" t="s">
        <v>401</v>
      </c>
      <c r="I88" t="s">
        <v>52</v>
      </c>
      <c r="J88" t="s">
        <v>53</v>
      </c>
      <c r="K88">
        <v>8</v>
      </c>
      <c r="L88" t="s">
        <v>54</v>
      </c>
      <c r="M88">
        <f>DOWNLOAD_2kLRbPnDtawQopEJ_UKtt22ud9U57gk8mqebZIeugNk[[#This Row],[Standard Value]]/DOWNLOAD_2kLRbPnDtawQopEJ_UKtt22ud9U57gk8mqebZIeugNk[[#This Row],[Molecular Weight]]*1000*1000</f>
        <v>18325.087044163462</v>
      </c>
      <c r="N88">
        <f>-LOG(DOWNLOAD_2kLRbPnDtawQopEJ_UKtt22ud9U57gk8mqebZIeugNk[[#This Row],[IC50]]*POWER(10, -9), 10)</f>
        <v>4.7369539537831455</v>
      </c>
      <c r="P88" t="s">
        <v>48</v>
      </c>
      <c r="R88" t="s">
        <v>55</v>
      </c>
      <c r="W88">
        <v>0</v>
      </c>
      <c r="X88" t="s">
        <v>121</v>
      </c>
      <c r="Y88" t="s">
        <v>87</v>
      </c>
      <c r="Z88" t="s">
        <v>58</v>
      </c>
      <c r="AA88" t="s">
        <v>59</v>
      </c>
      <c r="AB88" t="s">
        <v>60</v>
      </c>
      <c r="AC88" t="s">
        <v>61</v>
      </c>
      <c r="AD88" t="s">
        <v>49</v>
      </c>
      <c r="AE88" t="s">
        <v>49</v>
      </c>
      <c r="AF88" t="s">
        <v>49</v>
      </c>
      <c r="AG88" t="s">
        <v>49</v>
      </c>
      <c r="AH88" t="s">
        <v>48</v>
      </c>
      <c r="AI88" t="s">
        <v>48</v>
      </c>
      <c r="AJ88" t="s">
        <v>48</v>
      </c>
      <c r="AK88" t="s">
        <v>62</v>
      </c>
      <c r="AL88" t="s">
        <v>63</v>
      </c>
      <c r="AM88" t="s">
        <v>61</v>
      </c>
      <c r="AN88" t="s">
        <v>64</v>
      </c>
      <c r="AO88" t="s">
        <v>122</v>
      </c>
      <c r="AP88">
        <v>1</v>
      </c>
      <c r="AQ88" t="s">
        <v>66</v>
      </c>
      <c r="AR88" t="s">
        <v>76</v>
      </c>
      <c r="AS88">
        <v>2004</v>
      </c>
      <c r="AT88" t="s">
        <v>49</v>
      </c>
      <c r="AU88" t="s">
        <v>48</v>
      </c>
      <c r="AV88" t="s">
        <v>48</v>
      </c>
      <c r="AW88" t="s">
        <v>48</v>
      </c>
    </row>
    <row r="89" spans="1:49" x14ac:dyDescent="0.3">
      <c r="A89" t="s">
        <v>402</v>
      </c>
      <c r="B89" t="s">
        <v>48</v>
      </c>
      <c r="C89" t="s">
        <v>49</v>
      </c>
      <c r="D89">
        <v>408.33</v>
      </c>
      <c r="E89">
        <v>0</v>
      </c>
      <c r="F89">
        <v>4.71</v>
      </c>
      <c r="G89" t="s">
        <v>403</v>
      </c>
      <c r="H89" t="s">
        <v>404</v>
      </c>
      <c r="I89" t="s">
        <v>52</v>
      </c>
      <c r="J89" t="s">
        <v>53</v>
      </c>
      <c r="K89">
        <v>16</v>
      </c>
      <c r="L89" t="s">
        <v>54</v>
      </c>
      <c r="M89">
        <f>DOWNLOAD_2kLRbPnDtawQopEJ_UKtt22ud9U57gk8mqebZIeugNk[[#This Row],[Standard Value]]/DOWNLOAD_2kLRbPnDtawQopEJ_UKtt22ud9U57gk8mqebZIeugNk[[#This Row],[Molecular Weight]]*1000*1000</f>
        <v>39183.993338721135</v>
      </c>
      <c r="N89">
        <f>-LOG(DOWNLOAD_2kLRbPnDtawQopEJ_UKtt22ud9U57gk8mqebZIeugNk[[#This Row],[IC50]]*POWER(10, -9), 10)</f>
        <v>4.4068913060494159</v>
      </c>
      <c r="P89" t="s">
        <v>48</v>
      </c>
      <c r="R89" t="s">
        <v>55</v>
      </c>
      <c r="W89">
        <v>0</v>
      </c>
      <c r="X89" t="s">
        <v>121</v>
      </c>
      <c r="Y89" t="s">
        <v>87</v>
      </c>
      <c r="Z89" t="s">
        <v>58</v>
      </c>
      <c r="AA89" t="s">
        <v>59</v>
      </c>
      <c r="AB89" t="s">
        <v>60</v>
      </c>
      <c r="AC89" t="s">
        <v>61</v>
      </c>
      <c r="AD89" t="s">
        <v>49</v>
      </c>
      <c r="AE89" t="s">
        <v>49</v>
      </c>
      <c r="AF89" t="s">
        <v>49</v>
      </c>
      <c r="AG89" t="s">
        <v>49</v>
      </c>
      <c r="AH89" t="s">
        <v>48</v>
      </c>
      <c r="AI89" t="s">
        <v>48</v>
      </c>
      <c r="AJ89" t="s">
        <v>48</v>
      </c>
      <c r="AK89" t="s">
        <v>62</v>
      </c>
      <c r="AL89" t="s">
        <v>63</v>
      </c>
      <c r="AM89" t="s">
        <v>61</v>
      </c>
      <c r="AN89" t="s">
        <v>64</v>
      </c>
      <c r="AO89" t="s">
        <v>122</v>
      </c>
      <c r="AP89">
        <v>1</v>
      </c>
      <c r="AQ89" t="s">
        <v>66</v>
      </c>
      <c r="AR89" t="s">
        <v>76</v>
      </c>
      <c r="AS89">
        <v>2004</v>
      </c>
      <c r="AT89" t="s">
        <v>49</v>
      </c>
      <c r="AU89" t="s">
        <v>48</v>
      </c>
      <c r="AV89" t="s">
        <v>48</v>
      </c>
      <c r="AW89" t="s">
        <v>48</v>
      </c>
    </row>
    <row r="90" spans="1:49" x14ac:dyDescent="0.3">
      <c r="A90" t="s">
        <v>226</v>
      </c>
      <c r="B90" t="s">
        <v>48</v>
      </c>
      <c r="C90" t="s">
        <v>49</v>
      </c>
      <c r="D90">
        <v>333.44</v>
      </c>
      <c r="E90">
        <v>0</v>
      </c>
      <c r="F90">
        <v>4.12</v>
      </c>
      <c r="G90" t="s">
        <v>405</v>
      </c>
      <c r="H90" t="s">
        <v>228</v>
      </c>
      <c r="I90" t="s">
        <v>52</v>
      </c>
      <c r="J90" t="s">
        <v>53</v>
      </c>
      <c r="K90">
        <v>128</v>
      </c>
      <c r="L90" t="s">
        <v>54</v>
      </c>
      <c r="M90">
        <f>DOWNLOAD_2kLRbPnDtawQopEJ_UKtt22ud9U57gk8mqebZIeugNk[[#This Row],[Standard Value]]/DOWNLOAD_2kLRbPnDtawQopEJ_UKtt22ud9U57gk8mqebZIeugNk[[#This Row],[Molecular Weight]]*1000*1000</f>
        <v>383877.15930902114</v>
      </c>
      <c r="N90">
        <f>-LOG(DOWNLOAD_2kLRbPnDtawQopEJ_UKtt22ud9U57gk8mqebZIeugNk[[#This Row],[IC50]]*POWER(10, -9), 10)</f>
        <v>3.415807727635543</v>
      </c>
      <c r="P90" t="s">
        <v>72</v>
      </c>
      <c r="R90" t="s">
        <v>55</v>
      </c>
      <c r="W90">
        <v>0</v>
      </c>
      <c r="X90" t="s">
        <v>121</v>
      </c>
      <c r="Y90" t="s">
        <v>87</v>
      </c>
      <c r="Z90" t="s">
        <v>58</v>
      </c>
      <c r="AA90" t="s">
        <v>59</v>
      </c>
      <c r="AB90" t="s">
        <v>60</v>
      </c>
      <c r="AC90" t="s">
        <v>61</v>
      </c>
      <c r="AD90" t="s">
        <v>49</v>
      </c>
      <c r="AE90" t="s">
        <v>49</v>
      </c>
      <c r="AF90" t="s">
        <v>49</v>
      </c>
      <c r="AG90" t="s">
        <v>49</v>
      </c>
      <c r="AH90" t="s">
        <v>48</v>
      </c>
      <c r="AI90" t="s">
        <v>48</v>
      </c>
      <c r="AJ90" t="s">
        <v>48</v>
      </c>
      <c r="AK90" t="s">
        <v>62</v>
      </c>
      <c r="AL90" t="s">
        <v>63</v>
      </c>
      <c r="AM90" t="s">
        <v>61</v>
      </c>
      <c r="AN90" t="s">
        <v>64</v>
      </c>
      <c r="AO90" t="s">
        <v>122</v>
      </c>
      <c r="AP90">
        <v>1</v>
      </c>
      <c r="AQ90" t="s">
        <v>66</v>
      </c>
      <c r="AR90" t="s">
        <v>76</v>
      </c>
      <c r="AS90">
        <v>2004</v>
      </c>
      <c r="AT90" t="s">
        <v>49</v>
      </c>
      <c r="AU90" t="s">
        <v>48</v>
      </c>
      <c r="AV90" t="s">
        <v>48</v>
      </c>
      <c r="AW90" t="s">
        <v>48</v>
      </c>
    </row>
    <row r="91" spans="1:49" x14ac:dyDescent="0.3">
      <c r="A91" t="s">
        <v>406</v>
      </c>
      <c r="B91" t="s">
        <v>48</v>
      </c>
      <c r="C91" t="s">
        <v>49</v>
      </c>
      <c r="D91">
        <v>425.86</v>
      </c>
      <c r="E91">
        <v>0</v>
      </c>
      <c r="F91">
        <v>2.77</v>
      </c>
      <c r="G91" t="s">
        <v>407</v>
      </c>
      <c r="H91" t="s">
        <v>408</v>
      </c>
      <c r="I91" t="s">
        <v>52</v>
      </c>
      <c r="J91" t="s">
        <v>53</v>
      </c>
      <c r="K91">
        <v>3.8</v>
      </c>
      <c r="L91" t="s">
        <v>54</v>
      </c>
      <c r="M91">
        <f>DOWNLOAD_2kLRbPnDtawQopEJ_UKtt22ud9U57gk8mqebZIeugNk[[#This Row],[Standard Value]]/DOWNLOAD_2kLRbPnDtawQopEJ_UKtt22ud9U57gk8mqebZIeugNk[[#This Row],[Molecular Weight]]*1000*1000</f>
        <v>8923.1202742685382</v>
      </c>
      <c r="N91">
        <f>-LOG(DOWNLOAD_2kLRbPnDtawQopEJ_UKtt22ud9U57gk8mqebZIeugNk[[#This Row],[IC50]]*POWER(10, -9), 10)</f>
        <v>5.0494832531420863</v>
      </c>
      <c r="P91" t="s">
        <v>48</v>
      </c>
      <c r="R91" t="s">
        <v>55</v>
      </c>
      <c r="W91">
        <v>0</v>
      </c>
      <c r="X91" t="s">
        <v>98</v>
      </c>
      <c r="Y91" t="s">
        <v>99</v>
      </c>
      <c r="Z91" t="s">
        <v>58</v>
      </c>
      <c r="AA91" t="s">
        <v>59</v>
      </c>
      <c r="AB91" t="s">
        <v>60</v>
      </c>
      <c r="AC91" t="s">
        <v>49</v>
      </c>
      <c r="AD91" t="s">
        <v>49</v>
      </c>
      <c r="AE91" t="s">
        <v>49</v>
      </c>
      <c r="AF91" t="s">
        <v>49</v>
      </c>
      <c r="AG91" t="s">
        <v>49</v>
      </c>
      <c r="AH91" t="s">
        <v>48</v>
      </c>
      <c r="AI91" t="s">
        <v>48</v>
      </c>
      <c r="AJ91" t="s">
        <v>48</v>
      </c>
      <c r="AK91" t="s">
        <v>62</v>
      </c>
      <c r="AL91" t="s">
        <v>63</v>
      </c>
      <c r="AM91" t="s">
        <v>61</v>
      </c>
      <c r="AN91" t="s">
        <v>64</v>
      </c>
      <c r="AO91" t="s">
        <v>100</v>
      </c>
      <c r="AP91">
        <v>1</v>
      </c>
      <c r="AQ91" t="s">
        <v>66</v>
      </c>
      <c r="AR91" t="s">
        <v>67</v>
      </c>
      <c r="AS91">
        <v>1991</v>
      </c>
      <c r="AT91" t="s">
        <v>49</v>
      </c>
      <c r="AU91" t="s">
        <v>48</v>
      </c>
      <c r="AV91" t="s">
        <v>48</v>
      </c>
      <c r="AW91" t="s">
        <v>48</v>
      </c>
    </row>
    <row r="92" spans="1:49" x14ac:dyDescent="0.3">
      <c r="A92" t="s">
        <v>409</v>
      </c>
      <c r="B92" t="s">
        <v>48</v>
      </c>
      <c r="C92" t="s">
        <v>49</v>
      </c>
      <c r="D92">
        <v>583.54999999999995</v>
      </c>
      <c r="E92">
        <v>1</v>
      </c>
      <c r="F92">
        <v>2.83</v>
      </c>
      <c r="G92" t="s">
        <v>410</v>
      </c>
      <c r="H92" t="s">
        <v>411</v>
      </c>
      <c r="I92" t="s">
        <v>52</v>
      </c>
      <c r="J92" s="1" t="s">
        <v>2536</v>
      </c>
      <c r="K92">
        <v>10000</v>
      </c>
      <c r="L92" t="s">
        <v>126</v>
      </c>
      <c r="M92">
        <f>DOWNLOAD_2kLRbPnDtawQopEJ_UKtt22ud9U57gk8mqebZIeugNk[[#This Row],[Standard Value]]</f>
        <v>10000</v>
      </c>
      <c r="N92">
        <f>-LOG(DOWNLOAD_2kLRbPnDtawQopEJ_UKtt22ud9U57gk8mqebZIeugNk[[#This Row],[IC50]]*POWER(10, -9), 10)</f>
        <v>5</v>
      </c>
      <c r="O92">
        <v>5</v>
      </c>
      <c r="P92" t="s">
        <v>48</v>
      </c>
      <c r="R92" t="s">
        <v>127</v>
      </c>
      <c r="S92">
        <v>8.57</v>
      </c>
      <c r="T92">
        <v>0.16</v>
      </c>
      <c r="U92">
        <v>2.17</v>
      </c>
      <c r="V92">
        <v>3.49</v>
      </c>
      <c r="W92">
        <v>0</v>
      </c>
      <c r="X92" t="s">
        <v>193</v>
      </c>
      <c r="Y92" t="s">
        <v>194</v>
      </c>
      <c r="Z92" t="s">
        <v>58</v>
      </c>
      <c r="AA92" t="s">
        <v>59</v>
      </c>
      <c r="AB92" t="s">
        <v>60</v>
      </c>
      <c r="AC92" t="s">
        <v>61</v>
      </c>
      <c r="AD92" t="s">
        <v>49</v>
      </c>
      <c r="AE92" t="s">
        <v>49</v>
      </c>
      <c r="AF92" t="s">
        <v>49</v>
      </c>
      <c r="AG92" t="s">
        <v>49</v>
      </c>
      <c r="AH92" t="s">
        <v>48</v>
      </c>
      <c r="AI92" t="s">
        <v>48</v>
      </c>
      <c r="AJ92" t="s">
        <v>48</v>
      </c>
      <c r="AK92" t="s">
        <v>62</v>
      </c>
      <c r="AL92" t="s">
        <v>63</v>
      </c>
      <c r="AM92" t="s">
        <v>61</v>
      </c>
      <c r="AN92" t="s">
        <v>64</v>
      </c>
      <c r="AO92" t="s">
        <v>195</v>
      </c>
      <c r="AP92">
        <v>1</v>
      </c>
      <c r="AQ92" t="s">
        <v>66</v>
      </c>
      <c r="AR92" t="s">
        <v>76</v>
      </c>
      <c r="AS92">
        <v>2003</v>
      </c>
      <c r="AT92" t="s">
        <v>49</v>
      </c>
      <c r="AU92" t="s">
        <v>48</v>
      </c>
      <c r="AV92" t="s">
        <v>48</v>
      </c>
      <c r="AW92" t="s">
        <v>48</v>
      </c>
    </row>
    <row r="93" spans="1:49" x14ac:dyDescent="0.3">
      <c r="A93" t="s">
        <v>412</v>
      </c>
      <c r="B93" t="s">
        <v>48</v>
      </c>
      <c r="C93" t="s">
        <v>49</v>
      </c>
      <c r="D93">
        <v>418.38</v>
      </c>
      <c r="E93">
        <v>0</v>
      </c>
      <c r="F93">
        <v>0.87</v>
      </c>
      <c r="G93" t="s">
        <v>413</v>
      </c>
      <c r="H93" t="s">
        <v>414</v>
      </c>
      <c r="I93" t="s">
        <v>52</v>
      </c>
      <c r="J93" t="s">
        <v>53</v>
      </c>
      <c r="K93">
        <v>1000</v>
      </c>
      <c r="L93" t="s">
        <v>126</v>
      </c>
      <c r="M93">
        <f>DOWNLOAD_2kLRbPnDtawQopEJ_UKtt22ud9U57gk8mqebZIeugNk[[#This Row],[Standard Value]]</f>
        <v>1000</v>
      </c>
      <c r="N93">
        <f>-LOG(DOWNLOAD_2kLRbPnDtawQopEJ_UKtt22ud9U57gk8mqebZIeugNk[[#This Row],[IC50]]*POWER(10, -9), 10)</f>
        <v>5.9999999999999991</v>
      </c>
      <c r="O93">
        <v>6</v>
      </c>
      <c r="P93" t="s">
        <v>48</v>
      </c>
      <c r="Q93">
        <v>302817</v>
      </c>
      <c r="R93" t="s">
        <v>127</v>
      </c>
      <c r="S93">
        <v>14.34</v>
      </c>
      <c r="T93">
        <v>0.27</v>
      </c>
      <c r="U93">
        <v>5.13</v>
      </c>
      <c r="V93">
        <v>4.88</v>
      </c>
      <c r="W93">
        <v>0</v>
      </c>
      <c r="X93" t="s">
        <v>251</v>
      </c>
      <c r="Y93" t="s">
        <v>252</v>
      </c>
      <c r="Z93" t="s">
        <v>58</v>
      </c>
      <c r="AA93" t="s">
        <v>59</v>
      </c>
      <c r="AB93" t="s">
        <v>60</v>
      </c>
      <c r="AC93" t="s">
        <v>61</v>
      </c>
      <c r="AD93" t="s">
        <v>49</v>
      </c>
      <c r="AE93" t="s">
        <v>49</v>
      </c>
      <c r="AF93" t="s">
        <v>49</v>
      </c>
      <c r="AG93" t="s">
        <v>49</v>
      </c>
      <c r="AH93" t="s">
        <v>48</v>
      </c>
      <c r="AI93" t="s">
        <v>48</v>
      </c>
      <c r="AJ93" t="s">
        <v>48</v>
      </c>
      <c r="AK93" t="s">
        <v>62</v>
      </c>
      <c r="AL93" t="s">
        <v>63</v>
      </c>
      <c r="AM93" t="s">
        <v>61</v>
      </c>
      <c r="AN93" t="s">
        <v>64</v>
      </c>
      <c r="AO93" t="s">
        <v>253</v>
      </c>
      <c r="AP93">
        <v>37</v>
      </c>
      <c r="AQ93" t="s">
        <v>254</v>
      </c>
      <c r="AR93" t="s">
        <v>48</v>
      </c>
      <c r="AS93">
        <v>2015</v>
      </c>
      <c r="AT93" t="s">
        <v>49</v>
      </c>
      <c r="AU93" t="s">
        <v>48</v>
      </c>
      <c r="AV93" t="s">
        <v>48</v>
      </c>
      <c r="AW93" t="s">
        <v>48</v>
      </c>
    </row>
    <row r="94" spans="1:49" x14ac:dyDescent="0.3">
      <c r="A94" t="s">
        <v>415</v>
      </c>
      <c r="B94" t="s">
        <v>48</v>
      </c>
      <c r="C94" t="s">
        <v>49</v>
      </c>
      <c r="D94">
        <v>455.41</v>
      </c>
      <c r="E94">
        <v>0</v>
      </c>
      <c r="F94">
        <v>0.44</v>
      </c>
      <c r="G94" t="s">
        <v>416</v>
      </c>
      <c r="H94" t="s">
        <v>417</v>
      </c>
      <c r="I94" t="s">
        <v>52</v>
      </c>
      <c r="J94" t="s">
        <v>53</v>
      </c>
      <c r="K94">
        <v>200</v>
      </c>
      <c r="L94" t="s">
        <v>126</v>
      </c>
      <c r="M94">
        <f>DOWNLOAD_2kLRbPnDtawQopEJ_UKtt22ud9U57gk8mqebZIeugNk[[#This Row],[Standard Value]]</f>
        <v>200</v>
      </c>
      <c r="N94">
        <f>-LOG(DOWNLOAD_2kLRbPnDtawQopEJ_UKtt22ud9U57gk8mqebZIeugNk[[#This Row],[IC50]]*POWER(10, -9), 10)</f>
        <v>6.6989700043360187</v>
      </c>
      <c r="O94">
        <v>6.7</v>
      </c>
      <c r="P94" t="s">
        <v>48</v>
      </c>
      <c r="Q94">
        <v>302820</v>
      </c>
      <c r="R94" t="s">
        <v>127</v>
      </c>
      <c r="S94">
        <v>14.71</v>
      </c>
      <c r="T94">
        <v>0.28000000000000003</v>
      </c>
      <c r="U94">
        <v>6.26</v>
      </c>
      <c r="V94">
        <v>4.6399999999999997</v>
      </c>
      <c r="W94">
        <v>0</v>
      </c>
      <c r="X94" t="s">
        <v>251</v>
      </c>
      <c r="Y94" t="s">
        <v>252</v>
      </c>
      <c r="Z94" t="s">
        <v>58</v>
      </c>
      <c r="AA94" t="s">
        <v>59</v>
      </c>
      <c r="AB94" t="s">
        <v>60</v>
      </c>
      <c r="AC94" t="s">
        <v>61</v>
      </c>
      <c r="AD94" t="s">
        <v>49</v>
      </c>
      <c r="AE94" t="s">
        <v>49</v>
      </c>
      <c r="AF94" t="s">
        <v>49</v>
      </c>
      <c r="AG94" t="s">
        <v>49</v>
      </c>
      <c r="AH94" t="s">
        <v>48</v>
      </c>
      <c r="AI94" t="s">
        <v>48</v>
      </c>
      <c r="AJ94" t="s">
        <v>48</v>
      </c>
      <c r="AK94" t="s">
        <v>62</v>
      </c>
      <c r="AL94" t="s">
        <v>63</v>
      </c>
      <c r="AM94" t="s">
        <v>61</v>
      </c>
      <c r="AN94" t="s">
        <v>64</v>
      </c>
      <c r="AO94" t="s">
        <v>253</v>
      </c>
      <c r="AP94">
        <v>37</v>
      </c>
      <c r="AQ94" t="s">
        <v>254</v>
      </c>
      <c r="AR94" t="s">
        <v>48</v>
      </c>
      <c r="AS94">
        <v>2015</v>
      </c>
      <c r="AT94" t="s">
        <v>49</v>
      </c>
      <c r="AU94" t="s">
        <v>48</v>
      </c>
      <c r="AV94" t="s">
        <v>48</v>
      </c>
      <c r="AW94" t="s">
        <v>48</v>
      </c>
    </row>
    <row r="95" spans="1:49" x14ac:dyDescent="0.3">
      <c r="A95" t="s">
        <v>418</v>
      </c>
      <c r="B95" t="s">
        <v>48</v>
      </c>
      <c r="C95" t="s">
        <v>49</v>
      </c>
      <c r="D95">
        <v>455.41</v>
      </c>
      <c r="E95">
        <v>0</v>
      </c>
      <c r="F95">
        <v>0.44</v>
      </c>
      <c r="G95" t="s">
        <v>419</v>
      </c>
      <c r="H95" t="s">
        <v>420</v>
      </c>
      <c r="I95" t="s">
        <v>52</v>
      </c>
      <c r="J95" t="s">
        <v>53</v>
      </c>
      <c r="K95">
        <v>20000</v>
      </c>
      <c r="L95" t="s">
        <v>126</v>
      </c>
      <c r="M95">
        <f>DOWNLOAD_2kLRbPnDtawQopEJ_UKtt22ud9U57gk8mqebZIeugNk[[#This Row],[Standard Value]]</f>
        <v>20000</v>
      </c>
      <c r="N95">
        <f>-LOG(DOWNLOAD_2kLRbPnDtawQopEJ_UKtt22ud9U57gk8mqebZIeugNk[[#This Row],[IC50]]*POWER(10, -9), 10)</f>
        <v>4.6989700043360187</v>
      </c>
      <c r="O95">
        <v>4.7</v>
      </c>
      <c r="P95" t="s">
        <v>48</v>
      </c>
      <c r="Q95">
        <v>302821</v>
      </c>
      <c r="R95" t="s">
        <v>127</v>
      </c>
      <c r="S95">
        <v>10.32</v>
      </c>
      <c r="T95">
        <v>0.19</v>
      </c>
      <c r="U95">
        <v>4.26</v>
      </c>
      <c r="V95">
        <v>3.25</v>
      </c>
      <c r="W95">
        <v>0</v>
      </c>
      <c r="X95" t="s">
        <v>251</v>
      </c>
      <c r="Y95" t="s">
        <v>252</v>
      </c>
      <c r="Z95" t="s">
        <v>58</v>
      </c>
      <c r="AA95" t="s">
        <v>59</v>
      </c>
      <c r="AB95" t="s">
        <v>60</v>
      </c>
      <c r="AC95" t="s">
        <v>61</v>
      </c>
      <c r="AD95" t="s">
        <v>49</v>
      </c>
      <c r="AE95" t="s">
        <v>49</v>
      </c>
      <c r="AF95" t="s">
        <v>49</v>
      </c>
      <c r="AG95" t="s">
        <v>49</v>
      </c>
      <c r="AH95" t="s">
        <v>48</v>
      </c>
      <c r="AI95" t="s">
        <v>48</v>
      </c>
      <c r="AJ95" t="s">
        <v>48</v>
      </c>
      <c r="AK95" t="s">
        <v>62</v>
      </c>
      <c r="AL95" t="s">
        <v>63</v>
      </c>
      <c r="AM95" t="s">
        <v>61</v>
      </c>
      <c r="AN95" t="s">
        <v>64</v>
      </c>
      <c r="AO95" t="s">
        <v>253</v>
      </c>
      <c r="AP95">
        <v>37</v>
      </c>
      <c r="AQ95" t="s">
        <v>254</v>
      </c>
      <c r="AR95" t="s">
        <v>48</v>
      </c>
      <c r="AS95">
        <v>2015</v>
      </c>
      <c r="AT95" t="s">
        <v>49</v>
      </c>
      <c r="AU95" t="s">
        <v>48</v>
      </c>
      <c r="AV95" t="s">
        <v>48</v>
      </c>
      <c r="AW95" t="s">
        <v>48</v>
      </c>
    </row>
    <row r="96" spans="1:49" x14ac:dyDescent="0.3">
      <c r="A96" t="s">
        <v>421</v>
      </c>
      <c r="B96" t="s">
        <v>48</v>
      </c>
      <c r="C96" t="s">
        <v>49</v>
      </c>
      <c r="D96">
        <v>418.45</v>
      </c>
      <c r="E96">
        <v>0</v>
      </c>
      <c r="F96">
        <v>1.63</v>
      </c>
      <c r="G96" t="s">
        <v>422</v>
      </c>
      <c r="H96" t="s">
        <v>423</v>
      </c>
      <c r="I96" t="s">
        <v>52</v>
      </c>
      <c r="J96" t="s">
        <v>53</v>
      </c>
      <c r="K96">
        <v>200</v>
      </c>
      <c r="L96" t="s">
        <v>126</v>
      </c>
      <c r="M96">
        <f>DOWNLOAD_2kLRbPnDtawQopEJ_UKtt22ud9U57gk8mqebZIeugNk[[#This Row],[Standard Value]]</f>
        <v>200</v>
      </c>
      <c r="N96">
        <f>-LOG(DOWNLOAD_2kLRbPnDtawQopEJ_UKtt22ud9U57gk8mqebZIeugNk[[#This Row],[IC50]]*POWER(10, -9), 10)</f>
        <v>6.6989700043360187</v>
      </c>
      <c r="O96">
        <v>6.7</v>
      </c>
      <c r="P96" t="s">
        <v>48</v>
      </c>
      <c r="Q96">
        <v>302844</v>
      </c>
      <c r="R96" t="s">
        <v>127</v>
      </c>
      <c r="S96">
        <v>16.010000000000002</v>
      </c>
      <c r="T96">
        <v>0.32</v>
      </c>
      <c r="U96">
        <v>5.07</v>
      </c>
      <c r="V96">
        <v>6.66</v>
      </c>
      <c r="W96">
        <v>0</v>
      </c>
      <c r="X96" t="s">
        <v>251</v>
      </c>
      <c r="Y96" t="s">
        <v>252</v>
      </c>
      <c r="Z96" t="s">
        <v>58</v>
      </c>
      <c r="AA96" t="s">
        <v>59</v>
      </c>
      <c r="AB96" t="s">
        <v>60</v>
      </c>
      <c r="AC96" t="s">
        <v>61</v>
      </c>
      <c r="AD96" t="s">
        <v>49</v>
      </c>
      <c r="AE96" t="s">
        <v>49</v>
      </c>
      <c r="AF96" t="s">
        <v>49</v>
      </c>
      <c r="AG96" t="s">
        <v>49</v>
      </c>
      <c r="AH96" t="s">
        <v>48</v>
      </c>
      <c r="AI96" t="s">
        <v>48</v>
      </c>
      <c r="AJ96" t="s">
        <v>48</v>
      </c>
      <c r="AK96" t="s">
        <v>62</v>
      </c>
      <c r="AL96" t="s">
        <v>63</v>
      </c>
      <c r="AM96" t="s">
        <v>61</v>
      </c>
      <c r="AN96" t="s">
        <v>64</v>
      </c>
      <c r="AO96" t="s">
        <v>253</v>
      </c>
      <c r="AP96">
        <v>37</v>
      </c>
      <c r="AQ96" t="s">
        <v>254</v>
      </c>
      <c r="AR96" t="s">
        <v>48</v>
      </c>
      <c r="AS96">
        <v>2015</v>
      </c>
      <c r="AT96" t="s">
        <v>49</v>
      </c>
      <c r="AU96" t="s">
        <v>48</v>
      </c>
      <c r="AV96" t="s">
        <v>48</v>
      </c>
      <c r="AW96" t="s">
        <v>48</v>
      </c>
    </row>
    <row r="97" spans="1:49" x14ac:dyDescent="0.3">
      <c r="A97" t="s">
        <v>424</v>
      </c>
      <c r="B97" t="s">
        <v>48</v>
      </c>
      <c r="C97" t="s">
        <v>49</v>
      </c>
      <c r="D97">
        <v>512.52</v>
      </c>
      <c r="E97">
        <v>1</v>
      </c>
      <c r="F97">
        <v>2.04</v>
      </c>
      <c r="G97" t="s">
        <v>425</v>
      </c>
      <c r="H97" t="s">
        <v>426</v>
      </c>
      <c r="I97" t="s">
        <v>52</v>
      </c>
      <c r="J97" t="s">
        <v>53</v>
      </c>
      <c r="K97">
        <v>1700</v>
      </c>
      <c r="L97" t="s">
        <v>126</v>
      </c>
      <c r="M97">
        <f>DOWNLOAD_2kLRbPnDtawQopEJ_UKtt22ud9U57gk8mqebZIeugNk[[#This Row],[Standard Value]]</f>
        <v>1700</v>
      </c>
      <c r="N97">
        <f>-LOG(DOWNLOAD_2kLRbPnDtawQopEJ_UKtt22ud9U57gk8mqebZIeugNk[[#This Row],[IC50]]*POWER(10, -9), 10)</f>
        <v>5.769551078621725</v>
      </c>
      <c r="O97">
        <v>5.77</v>
      </c>
      <c r="P97" t="s">
        <v>48</v>
      </c>
      <c r="Q97">
        <v>302848</v>
      </c>
      <c r="R97" t="s">
        <v>127</v>
      </c>
      <c r="S97">
        <v>11.26</v>
      </c>
      <c r="T97">
        <v>0.22</v>
      </c>
      <c r="U97">
        <v>3.73</v>
      </c>
      <c r="V97">
        <v>4.13</v>
      </c>
      <c r="W97">
        <v>0</v>
      </c>
      <c r="X97" t="s">
        <v>251</v>
      </c>
      <c r="Y97" t="s">
        <v>252</v>
      </c>
      <c r="Z97" t="s">
        <v>58</v>
      </c>
      <c r="AA97" t="s">
        <v>59</v>
      </c>
      <c r="AB97" t="s">
        <v>60</v>
      </c>
      <c r="AC97" t="s">
        <v>61</v>
      </c>
      <c r="AD97" t="s">
        <v>49</v>
      </c>
      <c r="AE97" t="s">
        <v>49</v>
      </c>
      <c r="AF97" t="s">
        <v>49</v>
      </c>
      <c r="AG97" t="s">
        <v>49</v>
      </c>
      <c r="AH97" t="s">
        <v>48</v>
      </c>
      <c r="AI97" t="s">
        <v>48</v>
      </c>
      <c r="AJ97" t="s">
        <v>48</v>
      </c>
      <c r="AK97" t="s">
        <v>62</v>
      </c>
      <c r="AL97" t="s">
        <v>63</v>
      </c>
      <c r="AM97" t="s">
        <v>61</v>
      </c>
      <c r="AN97" t="s">
        <v>64</v>
      </c>
      <c r="AO97" t="s">
        <v>253</v>
      </c>
      <c r="AP97">
        <v>37</v>
      </c>
      <c r="AQ97" t="s">
        <v>254</v>
      </c>
      <c r="AR97" t="s">
        <v>48</v>
      </c>
      <c r="AS97">
        <v>2015</v>
      </c>
      <c r="AT97" t="s">
        <v>49</v>
      </c>
      <c r="AU97" t="s">
        <v>48</v>
      </c>
      <c r="AV97" t="s">
        <v>48</v>
      </c>
      <c r="AW97" t="s">
        <v>48</v>
      </c>
    </row>
    <row r="98" spans="1:49" x14ac:dyDescent="0.3">
      <c r="A98" t="s">
        <v>427</v>
      </c>
      <c r="B98" t="s">
        <v>48</v>
      </c>
      <c r="C98" t="s">
        <v>49</v>
      </c>
      <c r="D98">
        <v>584.59</v>
      </c>
      <c r="E98">
        <v>2</v>
      </c>
      <c r="F98">
        <v>1.45</v>
      </c>
      <c r="G98" t="s">
        <v>428</v>
      </c>
      <c r="H98" t="s">
        <v>429</v>
      </c>
      <c r="I98" t="s">
        <v>52</v>
      </c>
      <c r="J98" t="s">
        <v>53</v>
      </c>
      <c r="K98">
        <v>17000</v>
      </c>
      <c r="L98" t="s">
        <v>126</v>
      </c>
      <c r="M98">
        <f>DOWNLOAD_2kLRbPnDtawQopEJ_UKtt22ud9U57gk8mqebZIeugNk[[#This Row],[Standard Value]]</f>
        <v>17000</v>
      </c>
      <c r="N98">
        <f>-LOG(DOWNLOAD_2kLRbPnDtawQopEJ_UKtt22ud9U57gk8mqebZIeugNk[[#This Row],[IC50]]*POWER(10, -9), 10)</f>
        <v>4.7695510786217259</v>
      </c>
      <c r="O98">
        <v>4.7699999999999996</v>
      </c>
      <c r="P98" t="s">
        <v>48</v>
      </c>
      <c r="Q98">
        <v>302851</v>
      </c>
      <c r="R98" t="s">
        <v>127</v>
      </c>
      <c r="S98">
        <v>8.16</v>
      </c>
      <c r="T98">
        <v>0.16</v>
      </c>
      <c r="U98">
        <v>3.32</v>
      </c>
      <c r="V98">
        <v>3.05</v>
      </c>
      <c r="W98">
        <v>0</v>
      </c>
      <c r="X98" t="s">
        <v>251</v>
      </c>
      <c r="Y98" t="s">
        <v>252</v>
      </c>
      <c r="Z98" t="s">
        <v>58</v>
      </c>
      <c r="AA98" t="s">
        <v>59</v>
      </c>
      <c r="AB98" t="s">
        <v>60</v>
      </c>
      <c r="AC98" t="s">
        <v>61</v>
      </c>
      <c r="AD98" t="s">
        <v>49</v>
      </c>
      <c r="AE98" t="s">
        <v>49</v>
      </c>
      <c r="AF98" t="s">
        <v>49</v>
      </c>
      <c r="AG98" t="s">
        <v>49</v>
      </c>
      <c r="AH98" t="s">
        <v>48</v>
      </c>
      <c r="AI98" t="s">
        <v>48</v>
      </c>
      <c r="AJ98" t="s">
        <v>48</v>
      </c>
      <c r="AK98" t="s">
        <v>62</v>
      </c>
      <c r="AL98" t="s">
        <v>63</v>
      </c>
      <c r="AM98" t="s">
        <v>61</v>
      </c>
      <c r="AN98" t="s">
        <v>64</v>
      </c>
      <c r="AO98" t="s">
        <v>253</v>
      </c>
      <c r="AP98">
        <v>37</v>
      </c>
      <c r="AQ98" t="s">
        <v>254</v>
      </c>
      <c r="AR98" t="s">
        <v>48</v>
      </c>
      <c r="AS98">
        <v>2015</v>
      </c>
      <c r="AT98" t="s">
        <v>49</v>
      </c>
      <c r="AU98" t="s">
        <v>48</v>
      </c>
      <c r="AV98" t="s">
        <v>48</v>
      </c>
      <c r="AW98" t="s">
        <v>48</v>
      </c>
    </row>
    <row r="99" spans="1:49" x14ac:dyDescent="0.3">
      <c r="A99" t="s">
        <v>430</v>
      </c>
      <c r="B99" t="s">
        <v>48</v>
      </c>
      <c r="C99" t="s">
        <v>49</v>
      </c>
      <c r="D99">
        <v>456.35</v>
      </c>
      <c r="E99">
        <v>0</v>
      </c>
      <c r="F99">
        <v>1.88</v>
      </c>
      <c r="G99" t="s">
        <v>431</v>
      </c>
      <c r="H99" t="s">
        <v>432</v>
      </c>
      <c r="I99" t="s">
        <v>52</v>
      </c>
      <c r="J99" t="s">
        <v>53</v>
      </c>
      <c r="K99">
        <v>1400</v>
      </c>
      <c r="L99" t="s">
        <v>126</v>
      </c>
      <c r="M99">
        <f>DOWNLOAD_2kLRbPnDtawQopEJ_UKtt22ud9U57gk8mqebZIeugNk[[#This Row],[Standard Value]]</f>
        <v>1400</v>
      </c>
      <c r="N99">
        <f>-LOG(DOWNLOAD_2kLRbPnDtawQopEJ_UKtt22ud9U57gk8mqebZIeugNk[[#This Row],[IC50]]*POWER(10, -9), 10)</f>
        <v>5.8538719643217618</v>
      </c>
      <c r="O99">
        <v>5.85</v>
      </c>
      <c r="P99" t="s">
        <v>48</v>
      </c>
      <c r="Q99">
        <v>302857</v>
      </c>
      <c r="R99" t="s">
        <v>127</v>
      </c>
      <c r="S99">
        <v>12.83</v>
      </c>
      <c r="T99">
        <v>0.25</v>
      </c>
      <c r="U99">
        <v>3.97</v>
      </c>
      <c r="V99">
        <v>5.15</v>
      </c>
      <c r="W99">
        <v>0</v>
      </c>
      <c r="X99" t="s">
        <v>251</v>
      </c>
      <c r="Y99" t="s">
        <v>252</v>
      </c>
      <c r="Z99" t="s">
        <v>58</v>
      </c>
      <c r="AA99" t="s">
        <v>59</v>
      </c>
      <c r="AB99" t="s">
        <v>60</v>
      </c>
      <c r="AC99" t="s">
        <v>61</v>
      </c>
      <c r="AD99" t="s">
        <v>49</v>
      </c>
      <c r="AE99" t="s">
        <v>49</v>
      </c>
      <c r="AF99" t="s">
        <v>49</v>
      </c>
      <c r="AG99" t="s">
        <v>49</v>
      </c>
      <c r="AH99" t="s">
        <v>48</v>
      </c>
      <c r="AI99" t="s">
        <v>48</v>
      </c>
      <c r="AJ99" t="s">
        <v>48</v>
      </c>
      <c r="AK99" t="s">
        <v>62</v>
      </c>
      <c r="AL99" t="s">
        <v>63</v>
      </c>
      <c r="AM99" t="s">
        <v>61</v>
      </c>
      <c r="AN99" t="s">
        <v>64</v>
      </c>
      <c r="AO99" t="s">
        <v>253</v>
      </c>
      <c r="AP99">
        <v>37</v>
      </c>
      <c r="AQ99" t="s">
        <v>254</v>
      </c>
      <c r="AR99" t="s">
        <v>48</v>
      </c>
      <c r="AS99">
        <v>2015</v>
      </c>
      <c r="AT99" t="s">
        <v>49</v>
      </c>
      <c r="AU99" t="s">
        <v>48</v>
      </c>
      <c r="AV99" t="s">
        <v>48</v>
      </c>
      <c r="AW99" t="s">
        <v>48</v>
      </c>
    </row>
    <row r="100" spans="1:49" x14ac:dyDescent="0.3">
      <c r="A100" t="s">
        <v>433</v>
      </c>
      <c r="B100" t="s">
        <v>48</v>
      </c>
      <c r="C100" t="s">
        <v>49</v>
      </c>
      <c r="D100">
        <v>438.36</v>
      </c>
      <c r="E100">
        <v>0</v>
      </c>
      <c r="F100">
        <v>1.8</v>
      </c>
      <c r="G100" t="s">
        <v>434</v>
      </c>
      <c r="H100" t="s">
        <v>435</v>
      </c>
      <c r="I100" t="s">
        <v>52</v>
      </c>
      <c r="J100" t="s">
        <v>53</v>
      </c>
      <c r="K100">
        <v>56000</v>
      </c>
      <c r="L100" t="s">
        <v>126</v>
      </c>
      <c r="M100">
        <f>DOWNLOAD_2kLRbPnDtawQopEJ_UKtt22ud9U57gk8mqebZIeugNk[[#This Row],[Standard Value]]</f>
        <v>56000</v>
      </c>
      <c r="N100">
        <f>-LOG(DOWNLOAD_2kLRbPnDtawQopEJ_UKtt22ud9U57gk8mqebZIeugNk[[#This Row],[IC50]]*POWER(10, -9), 10)</f>
        <v>4.2518119729937984</v>
      </c>
      <c r="O100">
        <v>4.25</v>
      </c>
      <c r="P100" t="s">
        <v>48</v>
      </c>
      <c r="Q100">
        <v>302861</v>
      </c>
      <c r="R100" t="s">
        <v>127</v>
      </c>
      <c r="S100">
        <v>9.6999999999999993</v>
      </c>
      <c r="T100">
        <v>0.19</v>
      </c>
      <c r="U100">
        <v>2.4500000000000002</v>
      </c>
      <c r="V100">
        <v>3.74</v>
      </c>
      <c r="W100">
        <v>0</v>
      </c>
      <c r="X100" t="s">
        <v>251</v>
      </c>
      <c r="Y100" t="s">
        <v>252</v>
      </c>
      <c r="Z100" t="s">
        <v>58</v>
      </c>
      <c r="AA100" t="s">
        <v>59</v>
      </c>
      <c r="AB100" t="s">
        <v>60</v>
      </c>
      <c r="AC100" t="s">
        <v>61</v>
      </c>
      <c r="AD100" t="s">
        <v>49</v>
      </c>
      <c r="AE100" t="s">
        <v>49</v>
      </c>
      <c r="AF100" t="s">
        <v>49</v>
      </c>
      <c r="AG100" t="s">
        <v>49</v>
      </c>
      <c r="AH100" t="s">
        <v>48</v>
      </c>
      <c r="AI100" t="s">
        <v>48</v>
      </c>
      <c r="AJ100" t="s">
        <v>48</v>
      </c>
      <c r="AK100" t="s">
        <v>62</v>
      </c>
      <c r="AL100" t="s">
        <v>63</v>
      </c>
      <c r="AM100" t="s">
        <v>61</v>
      </c>
      <c r="AN100" t="s">
        <v>64</v>
      </c>
      <c r="AO100" t="s">
        <v>253</v>
      </c>
      <c r="AP100">
        <v>37</v>
      </c>
      <c r="AQ100" t="s">
        <v>254</v>
      </c>
      <c r="AR100" t="s">
        <v>48</v>
      </c>
      <c r="AS100">
        <v>2015</v>
      </c>
      <c r="AT100" t="s">
        <v>49</v>
      </c>
      <c r="AU100" t="s">
        <v>48</v>
      </c>
      <c r="AV100" t="s">
        <v>48</v>
      </c>
      <c r="AW100" t="s">
        <v>48</v>
      </c>
    </row>
    <row r="101" spans="1:49" x14ac:dyDescent="0.3">
      <c r="A101" t="s">
        <v>436</v>
      </c>
      <c r="B101" t="s">
        <v>48</v>
      </c>
      <c r="C101" t="s">
        <v>49</v>
      </c>
      <c r="D101">
        <v>495.41</v>
      </c>
      <c r="E101">
        <v>0</v>
      </c>
      <c r="F101">
        <v>0.85</v>
      </c>
      <c r="G101" t="s">
        <v>437</v>
      </c>
      <c r="H101" t="s">
        <v>438</v>
      </c>
      <c r="I101" t="s">
        <v>52</v>
      </c>
      <c r="J101" t="s">
        <v>53</v>
      </c>
      <c r="K101">
        <v>800</v>
      </c>
      <c r="L101" t="s">
        <v>126</v>
      </c>
      <c r="M101">
        <f>DOWNLOAD_2kLRbPnDtawQopEJ_UKtt22ud9U57gk8mqebZIeugNk[[#This Row],[Standard Value]]</f>
        <v>800</v>
      </c>
      <c r="N101">
        <f>-LOG(DOWNLOAD_2kLRbPnDtawQopEJ_UKtt22ud9U57gk8mqebZIeugNk[[#This Row],[IC50]]*POWER(10, -9), 10)</f>
        <v>6.0969100130080562</v>
      </c>
      <c r="O101">
        <v>6.1</v>
      </c>
      <c r="P101" t="s">
        <v>48</v>
      </c>
      <c r="Q101">
        <v>302865</v>
      </c>
      <c r="R101" t="s">
        <v>127</v>
      </c>
      <c r="S101">
        <v>12.31</v>
      </c>
      <c r="T101">
        <v>0.24</v>
      </c>
      <c r="U101">
        <v>5.25</v>
      </c>
      <c r="V101">
        <v>4.2699999999999996</v>
      </c>
      <c r="W101">
        <v>0</v>
      </c>
      <c r="X101" t="s">
        <v>251</v>
      </c>
      <c r="Y101" t="s">
        <v>252</v>
      </c>
      <c r="Z101" t="s">
        <v>58</v>
      </c>
      <c r="AA101" t="s">
        <v>59</v>
      </c>
      <c r="AB101" t="s">
        <v>60</v>
      </c>
      <c r="AC101" t="s">
        <v>61</v>
      </c>
      <c r="AD101" t="s">
        <v>49</v>
      </c>
      <c r="AE101" t="s">
        <v>49</v>
      </c>
      <c r="AF101" t="s">
        <v>49</v>
      </c>
      <c r="AG101" t="s">
        <v>49</v>
      </c>
      <c r="AH101" t="s">
        <v>48</v>
      </c>
      <c r="AI101" t="s">
        <v>48</v>
      </c>
      <c r="AJ101" t="s">
        <v>48</v>
      </c>
      <c r="AK101" t="s">
        <v>62</v>
      </c>
      <c r="AL101" t="s">
        <v>63</v>
      </c>
      <c r="AM101" t="s">
        <v>61</v>
      </c>
      <c r="AN101" t="s">
        <v>64</v>
      </c>
      <c r="AO101" t="s">
        <v>253</v>
      </c>
      <c r="AP101">
        <v>37</v>
      </c>
      <c r="AQ101" t="s">
        <v>254</v>
      </c>
      <c r="AR101" t="s">
        <v>48</v>
      </c>
      <c r="AS101">
        <v>2015</v>
      </c>
      <c r="AT101" t="s">
        <v>49</v>
      </c>
      <c r="AU101" t="s">
        <v>48</v>
      </c>
      <c r="AV101" t="s">
        <v>48</v>
      </c>
      <c r="AW101" t="s">
        <v>48</v>
      </c>
    </row>
    <row r="102" spans="1:49" x14ac:dyDescent="0.3">
      <c r="A102" t="s">
        <v>439</v>
      </c>
      <c r="B102" t="s">
        <v>48</v>
      </c>
      <c r="C102" t="s">
        <v>49</v>
      </c>
      <c r="D102">
        <v>482.88</v>
      </c>
      <c r="E102">
        <v>0</v>
      </c>
      <c r="F102">
        <v>1.83</v>
      </c>
      <c r="G102" t="s">
        <v>440</v>
      </c>
      <c r="H102" t="s">
        <v>441</v>
      </c>
      <c r="I102" t="s">
        <v>52</v>
      </c>
      <c r="J102" t="s">
        <v>53</v>
      </c>
      <c r="K102">
        <v>1400</v>
      </c>
      <c r="L102" t="s">
        <v>126</v>
      </c>
      <c r="M102">
        <f>DOWNLOAD_2kLRbPnDtawQopEJ_UKtt22ud9U57gk8mqebZIeugNk[[#This Row],[Standard Value]]</f>
        <v>1400</v>
      </c>
      <c r="N102">
        <f>-LOG(DOWNLOAD_2kLRbPnDtawQopEJ_UKtt22ud9U57gk8mqebZIeugNk[[#This Row],[IC50]]*POWER(10, -9), 10)</f>
        <v>5.8538719643217618</v>
      </c>
      <c r="O102">
        <v>5.85</v>
      </c>
      <c r="P102" t="s">
        <v>48</v>
      </c>
      <c r="Q102">
        <v>302879</v>
      </c>
      <c r="R102" t="s">
        <v>127</v>
      </c>
      <c r="S102">
        <v>12.12</v>
      </c>
      <c r="T102">
        <v>0.24</v>
      </c>
      <c r="U102">
        <v>4.0199999999999996</v>
      </c>
      <c r="V102">
        <v>4.1900000000000004</v>
      </c>
      <c r="W102">
        <v>0</v>
      </c>
      <c r="X102" t="s">
        <v>251</v>
      </c>
      <c r="Y102" t="s">
        <v>252</v>
      </c>
      <c r="Z102" t="s">
        <v>58</v>
      </c>
      <c r="AA102" t="s">
        <v>59</v>
      </c>
      <c r="AB102" t="s">
        <v>60</v>
      </c>
      <c r="AC102" t="s">
        <v>61</v>
      </c>
      <c r="AD102" t="s">
        <v>49</v>
      </c>
      <c r="AE102" t="s">
        <v>49</v>
      </c>
      <c r="AF102" t="s">
        <v>49</v>
      </c>
      <c r="AG102" t="s">
        <v>49</v>
      </c>
      <c r="AH102" t="s">
        <v>48</v>
      </c>
      <c r="AI102" t="s">
        <v>48</v>
      </c>
      <c r="AJ102" t="s">
        <v>48</v>
      </c>
      <c r="AK102" t="s">
        <v>62</v>
      </c>
      <c r="AL102" t="s">
        <v>63</v>
      </c>
      <c r="AM102" t="s">
        <v>61</v>
      </c>
      <c r="AN102" t="s">
        <v>64</v>
      </c>
      <c r="AO102" t="s">
        <v>253</v>
      </c>
      <c r="AP102">
        <v>37</v>
      </c>
      <c r="AQ102" t="s">
        <v>254</v>
      </c>
      <c r="AR102" t="s">
        <v>48</v>
      </c>
      <c r="AS102">
        <v>2015</v>
      </c>
      <c r="AT102" t="s">
        <v>49</v>
      </c>
      <c r="AU102" t="s">
        <v>48</v>
      </c>
      <c r="AV102" t="s">
        <v>48</v>
      </c>
      <c r="AW102" t="s">
        <v>48</v>
      </c>
    </row>
    <row r="103" spans="1:49" x14ac:dyDescent="0.3">
      <c r="A103" t="s">
        <v>442</v>
      </c>
      <c r="B103" t="s">
        <v>48</v>
      </c>
      <c r="C103" t="s">
        <v>49</v>
      </c>
      <c r="D103">
        <v>482.88</v>
      </c>
      <c r="E103">
        <v>0</v>
      </c>
      <c r="F103">
        <v>1.83</v>
      </c>
      <c r="G103" t="s">
        <v>443</v>
      </c>
      <c r="H103" t="s">
        <v>444</v>
      </c>
      <c r="I103" t="s">
        <v>52</v>
      </c>
      <c r="J103" t="s">
        <v>53</v>
      </c>
      <c r="K103">
        <v>800</v>
      </c>
      <c r="L103" t="s">
        <v>126</v>
      </c>
      <c r="M103">
        <f>DOWNLOAD_2kLRbPnDtawQopEJ_UKtt22ud9U57gk8mqebZIeugNk[[#This Row],[Standard Value]]</f>
        <v>800</v>
      </c>
      <c r="N103">
        <f>-LOG(DOWNLOAD_2kLRbPnDtawQopEJ_UKtt22ud9U57gk8mqebZIeugNk[[#This Row],[IC50]]*POWER(10, -9), 10)</f>
        <v>6.0969100130080562</v>
      </c>
      <c r="O103">
        <v>6.1</v>
      </c>
      <c r="P103" t="s">
        <v>48</v>
      </c>
      <c r="Q103">
        <v>302880</v>
      </c>
      <c r="R103" t="s">
        <v>127</v>
      </c>
      <c r="S103">
        <v>12.63</v>
      </c>
      <c r="T103">
        <v>0.24</v>
      </c>
      <c r="U103">
        <v>4.2699999999999996</v>
      </c>
      <c r="V103">
        <v>4.37</v>
      </c>
      <c r="W103">
        <v>0</v>
      </c>
      <c r="X103" t="s">
        <v>251</v>
      </c>
      <c r="Y103" t="s">
        <v>252</v>
      </c>
      <c r="Z103" t="s">
        <v>58</v>
      </c>
      <c r="AA103" t="s">
        <v>59</v>
      </c>
      <c r="AB103" t="s">
        <v>60</v>
      </c>
      <c r="AC103" t="s">
        <v>61</v>
      </c>
      <c r="AD103" t="s">
        <v>49</v>
      </c>
      <c r="AE103" t="s">
        <v>49</v>
      </c>
      <c r="AF103" t="s">
        <v>49</v>
      </c>
      <c r="AG103" t="s">
        <v>49</v>
      </c>
      <c r="AH103" t="s">
        <v>48</v>
      </c>
      <c r="AI103" t="s">
        <v>48</v>
      </c>
      <c r="AJ103" t="s">
        <v>48</v>
      </c>
      <c r="AK103" t="s">
        <v>62</v>
      </c>
      <c r="AL103" t="s">
        <v>63</v>
      </c>
      <c r="AM103" t="s">
        <v>61</v>
      </c>
      <c r="AN103" t="s">
        <v>64</v>
      </c>
      <c r="AO103" t="s">
        <v>253</v>
      </c>
      <c r="AP103">
        <v>37</v>
      </c>
      <c r="AQ103" t="s">
        <v>254</v>
      </c>
      <c r="AR103" t="s">
        <v>48</v>
      </c>
      <c r="AS103">
        <v>2015</v>
      </c>
      <c r="AT103" t="s">
        <v>49</v>
      </c>
      <c r="AU103" t="s">
        <v>48</v>
      </c>
      <c r="AV103" t="s">
        <v>48</v>
      </c>
      <c r="AW103" t="s">
        <v>48</v>
      </c>
    </row>
    <row r="104" spans="1:49" x14ac:dyDescent="0.3">
      <c r="A104" t="s">
        <v>445</v>
      </c>
      <c r="B104" t="s">
        <v>48</v>
      </c>
      <c r="C104" t="s">
        <v>49</v>
      </c>
      <c r="D104">
        <v>459.43</v>
      </c>
      <c r="E104">
        <v>0</v>
      </c>
      <c r="F104">
        <v>0.56000000000000005</v>
      </c>
      <c r="G104" t="s">
        <v>446</v>
      </c>
      <c r="H104" t="s">
        <v>447</v>
      </c>
      <c r="I104" t="s">
        <v>52</v>
      </c>
      <c r="J104" t="s">
        <v>53</v>
      </c>
      <c r="K104">
        <v>2800</v>
      </c>
      <c r="L104" t="s">
        <v>126</v>
      </c>
      <c r="M104">
        <f>DOWNLOAD_2kLRbPnDtawQopEJ_UKtt22ud9U57gk8mqebZIeugNk[[#This Row],[Standard Value]]</f>
        <v>2800</v>
      </c>
      <c r="N104">
        <f>-LOG(DOWNLOAD_2kLRbPnDtawQopEJ_UKtt22ud9U57gk8mqebZIeugNk[[#This Row],[IC50]]*POWER(10, -9), 10)</f>
        <v>5.5528419686577806</v>
      </c>
      <c r="O104">
        <v>5.55</v>
      </c>
      <c r="P104" t="s">
        <v>48</v>
      </c>
      <c r="Q104">
        <v>302908</v>
      </c>
      <c r="R104" t="s">
        <v>127</v>
      </c>
      <c r="S104">
        <v>12.09</v>
      </c>
      <c r="T104">
        <v>0.23</v>
      </c>
      <c r="U104">
        <v>4.99</v>
      </c>
      <c r="V104">
        <v>4.1399999999999997</v>
      </c>
      <c r="W104">
        <v>0</v>
      </c>
      <c r="X104" t="s">
        <v>251</v>
      </c>
      <c r="Y104" t="s">
        <v>252</v>
      </c>
      <c r="Z104" t="s">
        <v>58</v>
      </c>
      <c r="AA104" t="s">
        <v>59</v>
      </c>
      <c r="AB104" t="s">
        <v>60</v>
      </c>
      <c r="AC104" t="s">
        <v>61</v>
      </c>
      <c r="AD104" t="s">
        <v>49</v>
      </c>
      <c r="AE104" t="s">
        <v>49</v>
      </c>
      <c r="AF104" t="s">
        <v>49</v>
      </c>
      <c r="AG104" t="s">
        <v>49</v>
      </c>
      <c r="AH104" t="s">
        <v>48</v>
      </c>
      <c r="AI104" t="s">
        <v>48</v>
      </c>
      <c r="AJ104" t="s">
        <v>48</v>
      </c>
      <c r="AK104" t="s">
        <v>62</v>
      </c>
      <c r="AL104" t="s">
        <v>63</v>
      </c>
      <c r="AM104" t="s">
        <v>61</v>
      </c>
      <c r="AN104" t="s">
        <v>64</v>
      </c>
      <c r="AO104" t="s">
        <v>253</v>
      </c>
      <c r="AP104">
        <v>37</v>
      </c>
      <c r="AQ104" t="s">
        <v>254</v>
      </c>
      <c r="AR104" t="s">
        <v>48</v>
      </c>
      <c r="AS104">
        <v>2015</v>
      </c>
      <c r="AT104" t="s">
        <v>49</v>
      </c>
      <c r="AU104" t="s">
        <v>48</v>
      </c>
      <c r="AV104" t="s">
        <v>48</v>
      </c>
      <c r="AW104" t="s">
        <v>48</v>
      </c>
    </row>
    <row r="105" spans="1:49" x14ac:dyDescent="0.3">
      <c r="A105" t="s">
        <v>448</v>
      </c>
      <c r="B105" t="s">
        <v>48</v>
      </c>
      <c r="C105" t="s">
        <v>49</v>
      </c>
      <c r="D105">
        <v>392.42</v>
      </c>
      <c r="E105">
        <v>0</v>
      </c>
      <c r="F105">
        <v>3.32</v>
      </c>
      <c r="G105" t="s">
        <v>227</v>
      </c>
      <c r="H105" t="s">
        <v>449</v>
      </c>
      <c r="I105" t="s">
        <v>52</v>
      </c>
      <c r="J105" t="s">
        <v>53</v>
      </c>
      <c r="K105">
        <v>410</v>
      </c>
      <c r="L105" t="s">
        <v>126</v>
      </c>
      <c r="M105">
        <f>DOWNLOAD_2kLRbPnDtawQopEJ_UKtt22ud9U57gk8mqebZIeugNk[[#This Row],[Standard Value]]</f>
        <v>410</v>
      </c>
      <c r="N105">
        <f>-LOG(DOWNLOAD_2kLRbPnDtawQopEJ_UKtt22ud9U57gk8mqebZIeugNk[[#This Row],[IC50]]*POWER(10, -9), 10)</f>
        <v>6.3872161432802645</v>
      </c>
      <c r="O105">
        <v>6.39</v>
      </c>
      <c r="P105" t="s">
        <v>48</v>
      </c>
      <c r="R105" t="s">
        <v>127</v>
      </c>
      <c r="S105">
        <v>16.28</v>
      </c>
      <c r="T105">
        <v>0.3</v>
      </c>
      <c r="U105">
        <v>3.07</v>
      </c>
      <c r="V105">
        <v>4.9800000000000004</v>
      </c>
      <c r="W105">
        <v>0</v>
      </c>
      <c r="X105" t="s">
        <v>450</v>
      </c>
      <c r="Y105" t="s">
        <v>451</v>
      </c>
      <c r="Z105" t="s">
        <v>58</v>
      </c>
      <c r="AA105" t="s">
        <v>59</v>
      </c>
      <c r="AB105" t="s">
        <v>60</v>
      </c>
      <c r="AC105" t="s">
        <v>61</v>
      </c>
      <c r="AD105" t="s">
        <v>49</v>
      </c>
      <c r="AE105" t="s">
        <v>49</v>
      </c>
      <c r="AF105" t="s">
        <v>49</v>
      </c>
      <c r="AG105" t="s">
        <v>49</v>
      </c>
      <c r="AH105" t="s">
        <v>48</v>
      </c>
      <c r="AI105" t="s">
        <v>48</v>
      </c>
      <c r="AJ105" t="s">
        <v>48</v>
      </c>
      <c r="AK105" t="s">
        <v>62</v>
      </c>
      <c r="AL105" t="s">
        <v>63</v>
      </c>
      <c r="AM105" t="s">
        <v>61</v>
      </c>
      <c r="AN105" t="s">
        <v>64</v>
      </c>
      <c r="AO105" t="s">
        <v>452</v>
      </c>
      <c r="AP105">
        <v>1</v>
      </c>
      <c r="AQ105" t="s">
        <v>66</v>
      </c>
      <c r="AR105" t="s">
        <v>267</v>
      </c>
      <c r="AS105">
        <v>2019</v>
      </c>
      <c r="AT105" t="s">
        <v>49</v>
      </c>
      <c r="AU105" t="s">
        <v>48</v>
      </c>
      <c r="AV105" t="s">
        <v>48</v>
      </c>
      <c r="AW105" t="s">
        <v>48</v>
      </c>
    </row>
    <row r="106" spans="1:49" x14ac:dyDescent="0.3">
      <c r="A106" t="s">
        <v>453</v>
      </c>
      <c r="B106" t="s">
        <v>48</v>
      </c>
      <c r="C106" t="s">
        <v>49</v>
      </c>
      <c r="D106">
        <v>381.43</v>
      </c>
      <c r="E106">
        <v>0</v>
      </c>
      <c r="F106">
        <v>3.5</v>
      </c>
      <c r="G106" t="s">
        <v>224</v>
      </c>
      <c r="H106" t="s">
        <v>454</v>
      </c>
      <c r="I106" t="s">
        <v>52</v>
      </c>
      <c r="J106" t="s">
        <v>53</v>
      </c>
      <c r="K106">
        <v>100</v>
      </c>
      <c r="L106" t="s">
        <v>126</v>
      </c>
      <c r="M106">
        <f>DOWNLOAD_2kLRbPnDtawQopEJ_UKtt22ud9U57gk8mqebZIeugNk[[#This Row],[Standard Value]]</f>
        <v>100</v>
      </c>
      <c r="N106">
        <f>-LOG(DOWNLOAD_2kLRbPnDtawQopEJ_UKtt22ud9U57gk8mqebZIeugNk[[#This Row],[IC50]]*POWER(10, -9), 10)</f>
        <v>7</v>
      </c>
      <c r="O106">
        <v>7</v>
      </c>
      <c r="P106" t="s">
        <v>48</v>
      </c>
      <c r="R106" t="s">
        <v>127</v>
      </c>
      <c r="S106">
        <v>18.350000000000001</v>
      </c>
      <c r="T106">
        <v>0.35</v>
      </c>
      <c r="U106">
        <v>3.5</v>
      </c>
      <c r="V106">
        <v>8.65</v>
      </c>
      <c r="W106">
        <v>0</v>
      </c>
      <c r="X106" t="s">
        <v>334</v>
      </c>
      <c r="Y106" t="s">
        <v>335</v>
      </c>
      <c r="Z106" t="s">
        <v>58</v>
      </c>
      <c r="AA106" t="s">
        <v>59</v>
      </c>
      <c r="AB106" t="s">
        <v>60</v>
      </c>
      <c r="AC106" t="s">
        <v>61</v>
      </c>
      <c r="AD106" t="s">
        <v>49</v>
      </c>
      <c r="AE106" t="s">
        <v>49</v>
      </c>
      <c r="AF106" t="s">
        <v>49</v>
      </c>
      <c r="AG106" t="s">
        <v>49</v>
      </c>
      <c r="AH106" t="s">
        <v>48</v>
      </c>
      <c r="AI106" t="s">
        <v>48</v>
      </c>
      <c r="AJ106" t="s">
        <v>48</v>
      </c>
      <c r="AK106" t="s">
        <v>62</v>
      </c>
      <c r="AL106" t="s">
        <v>63</v>
      </c>
      <c r="AM106" t="s">
        <v>61</v>
      </c>
      <c r="AN106" t="s">
        <v>64</v>
      </c>
      <c r="AO106" t="s">
        <v>336</v>
      </c>
      <c r="AP106">
        <v>1</v>
      </c>
      <c r="AQ106" t="s">
        <v>66</v>
      </c>
      <c r="AR106" t="s">
        <v>76</v>
      </c>
      <c r="AS106">
        <v>2006</v>
      </c>
      <c r="AT106" t="s">
        <v>49</v>
      </c>
      <c r="AU106" t="s">
        <v>48</v>
      </c>
      <c r="AV106" t="s">
        <v>48</v>
      </c>
      <c r="AW106" t="s">
        <v>48</v>
      </c>
    </row>
    <row r="107" spans="1:49" x14ac:dyDescent="0.3">
      <c r="A107" t="s">
        <v>455</v>
      </c>
      <c r="B107" t="s">
        <v>48</v>
      </c>
      <c r="C107" t="s">
        <v>49</v>
      </c>
      <c r="D107">
        <v>429.52</v>
      </c>
      <c r="E107">
        <v>0</v>
      </c>
      <c r="F107">
        <v>3.8</v>
      </c>
      <c r="G107" t="s">
        <v>456</v>
      </c>
      <c r="H107" t="s">
        <v>457</v>
      </c>
      <c r="I107" t="s">
        <v>52</v>
      </c>
      <c r="J107" t="s">
        <v>71</v>
      </c>
      <c r="K107">
        <v>1000000</v>
      </c>
      <c r="L107" t="s">
        <v>126</v>
      </c>
      <c r="M107">
        <f>DOWNLOAD_2kLRbPnDtawQopEJ_UKtt22ud9U57gk8mqebZIeugNk[[#This Row],[Standard Value]]</f>
        <v>1000000</v>
      </c>
      <c r="N107">
        <f>-LOG(DOWNLOAD_2kLRbPnDtawQopEJ_UKtt22ud9U57gk8mqebZIeugNk[[#This Row],[IC50]]*POWER(10, -9), 10)</f>
        <v>2.9999999999999996</v>
      </c>
      <c r="P107" t="s">
        <v>72</v>
      </c>
      <c r="R107" t="s">
        <v>127</v>
      </c>
      <c r="W107">
        <v>0</v>
      </c>
      <c r="X107" t="s">
        <v>458</v>
      </c>
      <c r="Y107" t="s">
        <v>459</v>
      </c>
      <c r="Z107" t="s">
        <v>58</v>
      </c>
      <c r="AA107" t="s">
        <v>59</v>
      </c>
      <c r="AB107" t="s">
        <v>60</v>
      </c>
      <c r="AC107" t="s">
        <v>61</v>
      </c>
      <c r="AD107" t="s">
        <v>49</v>
      </c>
      <c r="AE107" t="s">
        <v>49</v>
      </c>
      <c r="AF107" t="s">
        <v>49</v>
      </c>
      <c r="AG107" t="s">
        <v>49</v>
      </c>
      <c r="AH107" t="s">
        <v>48</v>
      </c>
      <c r="AI107" t="s">
        <v>48</v>
      </c>
      <c r="AJ107" t="s">
        <v>48</v>
      </c>
      <c r="AK107" t="s">
        <v>62</v>
      </c>
      <c r="AL107" t="s">
        <v>63</v>
      </c>
      <c r="AM107" t="s">
        <v>61</v>
      </c>
      <c r="AN107" t="s">
        <v>64</v>
      </c>
      <c r="AO107" t="s">
        <v>460</v>
      </c>
      <c r="AP107">
        <v>1</v>
      </c>
      <c r="AQ107" t="s">
        <v>66</v>
      </c>
      <c r="AR107" t="s">
        <v>267</v>
      </c>
      <c r="AS107">
        <v>2019</v>
      </c>
      <c r="AT107" t="s">
        <v>49</v>
      </c>
      <c r="AU107" t="s">
        <v>48</v>
      </c>
      <c r="AV107" t="s">
        <v>48</v>
      </c>
      <c r="AW107" t="s">
        <v>48</v>
      </c>
    </row>
    <row r="108" spans="1:49" x14ac:dyDescent="0.3">
      <c r="A108" t="s">
        <v>461</v>
      </c>
      <c r="B108" t="s">
        <v>462</v>
      </c>
      <c r="C108" t="s">
        <v>112</v>
      </c>
      <c r="D108">
        <v>232.24</v>
      </c>
      <c r="E108">
        <v>0</v>
      </c>
      <c r="F108">
        <v>1.42</v>
      </c>
      <c r="G108" t="s">
        <v>463</v>
      </c>
      <c r="H108" t="s">
        <v>464</v>
      </c>
      <c r="I108" t="s">
        <v>52</v>
      </c>
      <c r="J108" t="s">
        <v>53</v>
      </c>
      <c r="K108">
        <v>52</v>
      </c>
      <c r="L108" t="s">
        <v>54</v>
      </c>
      <c r="M108">
        <f>DOWNLOAD_2kLRbPnDtawQopEJ_UKtt22ud9U57gk8mqebZIeugNk[[#This Row],[Standard Value]]/DOWNLOAD_2kLRbPnDtawQopEJ_UKtt22ud9U57gk8mqebZIeugNk[[#This Row],[Molecular Weight]]*1000*1000</f>
        <v>223906.3038236307</v>
      </c>
      <c r="N108">
        <f>-LOG(DOWNLOAD_2kLRbPnDtawQopEJ_UKtt22ud9U57gk8mqebZIeugNk[[#This Row],[IC50]]*POWER(10, -9), 10)</f>
        <v>3.6499336791888175</v>
      </c>
      <c r="P108" t="s">
        <v>72</v>
      </c>
      <c r="R108" t="s">
        <v>55</v>
      </c>
      <c r="W108">
        <v>1</v>
      </c>
      <c r="X108" t="s">
        <v>73</v>
      </c>
      <c r="Y108" t="s">
        <v>74</v>
      </c>
      <c r="Z108" t="s">
        <v>58</v>
      </c>
      <c r="AA108" t="s">
        <v>59</v>
      </c>
      <c r="AB108" t="s">
        <v>60</v>
      </c>
      <c r="AC108" t="s">
        <v>61</v>
      </c>
      <c r="AD108" t="s">
        <v>49</v>
      </c>
      <c r="AE108" t="s">
        <v>49</v>
      </c>
      <c r="AF108" t="s">
        <v>49</v>
      </c>
      <c r="AG108" t="s">
        <v>49</v>
      </c>
      <c r="AH108" t="s">
        <v>48</v>
      </c>
      <c r="AI108" t="s">
        <v>48</v>
      </c>
      <c r="AJ108" t="s">
        <v>48</v>
      </c>
      <c r="AK108" t="s">
        <v>62</v>
      </c>
      <c r="AL108" t="s">
        <v>63</v>
      </c>
      <c r="AM108" t="s">
        <v>61</v>
      </c>
      <c r="AN108" t="s">
        <v>64</v>
      </c>
      <c r="AO108" t="s">
        <v>75</v>
      </c>
      <c r="AP108">
        <v>1</v>
      </c>
      <c r="AQ108" t="s">
        <v>66</v>
      </c>
      <c r="AR108" t="s">
        <v>76</v>
      </c>
      <c r="AS108">
        <v>1998</v>
      </c>
      <c r="AT108" t="s">
        <v>49</v>
      </c>
      <c r="AU108" t="s">
        <v>48</v>
      </c>
      <c r="AV108" t="s">
        <v>48</v>
      </c>
      <c r="AW108" t="s">
        <v>48</v>
      </c>
    </row>
    <row r="109" spans="1:49" x14ac:dyDescent="0.3">
      <c r="A109" t="s">
        <v>465</v>
      </c>
      <c r="B109" t="s">
        <v>48</v>
      </c>
      <c r="C109" t="s">
        <v>49</v>
      </c>
      <c r="D109">
        <v>261.23</v>
      </c>
      <c r="E109">
        <v>1</v>
      </c>
      <c r="F109">
        <v>1.56</v>
      </c>
      <c r="G109" t="s">
        <v>466</v>
      </c>
      <c r="H109" t="s">
        <v>467</v>
      </c>
      <c r="I109" t="s">
        <v>52</v>
      </c>
      <c r="J109" t="s">
        <v>53</v>
      </c>
      <c r="K109">
        <v>2</v>
      </c>
      <c r="L109" t="s">
        <v>54</v>
      </c>
      <c r="M109">
        <f>DOWNLOAD_2kLRbPnDtawQopEJ_UKtt22ud9U57gk8mqebZIeugNk[[#This Row],[Standard Value]]/DOWNLOAD_2kLRbPnDtawQopEJ_UKtt22ud9U57gk8mqebZIeugNk[[#This Row],[Molecular Weight]]*1000*1000</f>
        <v>7656.0885043831104</v>
      </c>
      <c r="N109">
        <f>-LOG(DOWNLOAD_2kLRbPnDtawQopEJ_UKtt22ud9U57gk8mqebZIeugNk[[#This Row],[IC50]]*POWER(10, -9), 10)</f>
        <v>5.1159930547579826</v>
      </c>
      <c r="P109" t="s">
        <v>48</v>
      </c>
      <c r="R109" t="s">
        <v>55</v>
      </c>
      <c r="W109">
        <v>0</v>
      </c>
      <c r="X109" t="s">
        <v>73</v>
      </c>
      <c r="Y109" t="s">
        <v>74</v>
      </c>
      <c r="Z109" t="s">
        <v>58</v>
      </c>
      <c r="AA109" t="s">
        <v>59</v>
      </c>
      <c r="AB109" t="s">
        <v>60</v>
      </c>
      <c r="AC109" t="s">
        <v>61</v>
      </c>
      <c r="AD109" t="s">
        <v>49</v>
      </c>
      <c r="AE109" t="s">
        <v>49</v>
      </c>
      <c r="AF109" t="s">
        <v>49</v>
      </c>
      <c r="AG109" t="s">
        <v>49</v>
      </c>
      <c r="AH109" t="s">
        <v>48</v>
      </c>
      <c r="AI109" t="s">
        <v>48</v>
      </c>
      <c r="AJ109" t="s">
        <v>48</v>
      </c>
      <c r="AK109" t="s">
        <v>62</v>
      </c>
      <c r="AL109" t="s">
        <v>63</v>
      </c>
      <c r="AM109" t="s">
        <v>61</v>
      </c>
      <c r="AN109" t="s">
        <v>64</v>
      </c>
      <c r="AO109" t="s">
        <v>75</v>
      </c>
      <c r="AP109">
        <v>1</v>
      </c>
      <c r="AQ109" t="s">
        <v>66</v>
      </c>
      <c r="AR109" t="s">
        <v>76</v>
      </c>
      <c r="AS109">
        <v>1998</v>
      </c>
      <c r="AT109" t="s">
        <v>49</v>
      </c>
      <c r="AU109" t="s">
        <v>48</v>
      </c>
      <c r="AV109" t="s">
        <v>48</v>
      </c>
      <c r="AW109" t="s">
        <v>48</v>
      </c>
    </row>
    <row r="110" spans="1:49" x14ac:dyDescent="0.3">
      <c r="A110" t="s">
        <v>364</v>
      </c>
      <c r="B110" t="s">
        <v>48</v>
      </c>
      <c r="C110" t="s">
        <v>49</v>
      </c>
      <c r="D110">
        <v>332.33</v>
      </c>
      <c r="E110">
        <v>0</v>
      </c>
      <c r="F110">
        <v>1.1100000000000001</v>
      </c>
      <c r="G110" t="s">
        <v>468</v>
      </c>
      <c r="H110" t="s">
        <v>366</v>
      </c>
      <c r="I110" t="s">
        <v>52</v>
      </c>
      <c r="J110" t="s">
        <v>53</v>
      </c>
      <c r="K110">
        <v>0.75</v>
      </c>
      <c r="L110" t="s">
        <v>54</v>
      </c>
      <c r="M110">
        <f>DOWNLOAD_2kLRbPnDtawQopEJ_UKtt22ud9U57gk8mqebZIeugNk[[#This Row],[Standard Value]]/DOWNLOAD_2kLRbPnDtawQopEJ_UKtt22ud9U57gk8mqebZIeugNk[[#This Row],[Molecular Weight]]*1000*1000</f>
        <v>2256.7929467697772</v>
      </c>
      <c r="N110">
        <f>-LOG(DOWNLOAD_2kLRbPnDtawQopEJ_UKtt22ud9U57gk8mqebZIeugNk[[#This Row],[IC50]]*POWER(10, -9), 10)</f>
        <v>5.6465082841655887</v>
      </c>
      <c r="P110" t="s">
        <v>48</v>
      </c>
      <c r="R110" t="s">
        <v>55</v>
      </c>
      <c r="W110">
        <v>0</v>
      </c>
      <c r="X110" t="s">
        <v>80</v>
      </c>
      <c r="Y110" t="s">
        <v>81</v>
      </c>
      <c r="Z110" t="s">
        <v>58</v>
      </c>
      <c r="AA110" t="s">
        <v>59</v>
      </c>
      <c r="AB110" t="s">
        <v>60</v>
      </c>
      <c r="AC110" t="s">
        <v>61</v>
      </c>
      <c r="AD110" t="s">
        <v>49</v>
      </c>
      <c r="AE110" t="s">
        <v>49</v>
      </c>
      <c r="AF110" t="s">
        <v>49</v>
      </c>
      <c r="AG110" t="s">
        <v>49</v>
      </c>
      <c r="AH110" t="s">
        <v>48</v>
      </c>
      <c r="AI110" t="s">
        <v>48</v>
      </c>
      <c r="AJ110" t="s">
        <v>48</v>
      </c>
      <c r="AK110" t="s">
        <v>62</v>
      </c>
      <c r="AL110" t="s">
        <v>63</v>
      </c>
      <c r="AM110" t="s">
        <v>61</v>
      </c>
      <c r="AN110" t="s">
        <v>64</v>
      </c>
      <c r="AO110" t="s">
        <v>82</v>
      </c>
      <c r="AP110">
        <v>1</v>
      </c>
      <c r="AQ110" t="s">
        <v>66</v>
      </c>
      <c r="AR110" t="s">
        <v>67</v>
      </c>
      <c r="AS110">
        <v>1993</v>
      </c>
      <c r="AT110" t="s">
        <v>49</v>
      </c>
      <c r="AU110" t="s">
        <v>48</v>
      </c>
      <c r="AV110" t="s">
        <v>48</v>
      </c>
      <c r="AW110" t="s">
        <v>48</v>
      </c>
    </row>
    <row r="111" spans="1:49" x14ac:dyDescent="0.3">
      <c r="A111" t="s">
        <v>469</v>
      </c>
      <c r="B111" t="s">
        <v>48</v>
      </c>
      <c r="C111" t="s">
        <v>49</v>
      </c>
      <c r="D111">
        <v>361.42</v>
      </c>
      <c r="E111">
        <v>0</v>
      </c>
      <c r="F111">
        <v>0.83</v>
      </c>
      <c r="G111" t="s">
        <v>470</v>
      </c>
      <c r="H111" t="s">
        <v>471</v>
      </c>
      <c r="I111" t="s">
        <v>52</v>
      </c>
      <c r="J111" t="s">
        <v>53</v>
      </c>
      <c r="K111">
        <v>200</v>
      </c>
      <c r="L111" t="s">
        <v>126</v>
      </c>
      <c r="M111">
        <f>DOWNLOAD_2kLRbPnDtawQopEJ_UKtt22ud9U57gk8mqebZIeugNk[[#This Row],[Standard Value]]</f>
        <v>200</v>
      </c>
      <c r="N111">
        <f>-LOG(DOWNLOAD_2kLRbPnDtawQopEJ_UKtt22ud9U57gk8mqebZIeugNk[[#This Row],[IC50]]*POWER(10, -9), 10)</f>
        <v>6.6989700043360187</v>
      </c>
      <c r="O111">
        <v>6.7</v>
      </c>
      <c r="P111" t="s">
        <v>48</v>
      </c>
      <c r="R111" t="s">
        <v>127</v>
      </c>
      <c r="W111">
        <v>0</v>
      </c>
      <c r="X111" t="s">
        <v>382</v>
      </c>
      <c r="Y111" t="s">
        <v>383</v>
      </c>
      <c r="Z111" t="s">
        <v>168</v>
      </c>
      <c r="AA111" t="s">
        <v>169</v>
      </c>
      <c r="AB111" t="s">
        <v>170</v>
      </c>
      <c r="AC111" t="s">
        <v>61</v>
      </c>
      <c r="AD111" t="s">
        <v>49</v>
      </c>
      <c r="AE111" t="s">
        <v>49</v>
      </c>
      <c r="AF111" t="s">
        <v>49</v>
      </c>
      <c r="AG111" t="s">
        <v>49</v>
      </c>
      <c r="AH111" t="s">
        <v>48</v>
      </c>
      <c r="AI111" t="s">
        <v>48</v>
      </c>
      <c r="AJ111" t="s">
        <v>48</v>
      </c>
      <c r="AK111" t="s">
        <v>62</v>
      </c>
      <c r="AL111" t="s">
        <v>63</v>
      </c>
      <c r="AM111" t="s">
        <v>61</v>
      </c>
      <c r="AN111" t="s">
        <v>64</v>
      </c>
      <c r="AO111" t="s">
        <v>384</v>
      </c>
      <c r="AP111">
        <v>1</v>
      </c>
      <c r="AQ111" t="s">
        <v>66</v>
      </c>
      <c r="AR111" t="s">
        <v>67</v>
      </c>
      <c r="AS111">
        <v>2006</v>
      </c>
      <c r="AT111" t="s">
        <v>49</v>
      </c>
      <c r="AU111" t="s">
        <v>48</v>
      </c>
      <c r="AV111" t="s">
        <v>48</v>
      </c>
      <c r="AW111" t="s">
        <v>48</v>
      </c>
    </row>
    <row r="112" spans="1:49" x14ac:dyDescent="0.3">
      <c r="A112" t="s">
        <v>472</v>
      </c>
      <c r="B112" t="s">
        <v>48</v>
      </c>
      <c r="C112" t="s">
        <v>49</v>
      </c>
      <c r="D112">
        <v>520.20000000000005</v>
      </c>
      <c r="E112">
        <v>1</v>
      </c>
      <c r="F112">
        <v>2.79</v>
      </c>
      <c r="G112" t="s">
        <v>473</v>
      </c>
      <c r="H112" t="s">
        <v>474</v>
      </c>
      <c r="I112" t="s">
        <v>52</v>
      </c>
      <c r="J112" t="s">
        <v>53</v>
      </c>
      <c r="K112">
        <v>100</v>
      </c>
      <c r="L112" t="s">
        <v>126</v>
      </c>
      <c r="M112">
        <f>DOWNLOAD_2kLRbPnDtawQopEJ_UKtt22ud9U57gk8mqebZIeugNk[[#This Row],[Standard Value]]</f>
        <v>100</v>
      </c>
      <c r="N112">
        <f>-LOG(DOWNLOAD_2kLRbPnDtawQopEJ_UKtt22ud9U57gk8mqebZIeugNk[[#This Row],[IC50]]*POWER(10, -9), 10)</f>
        <v>7</v>
      </c>
      <c r="O112">
        <v>7</v>
      </c>
      <c r="P112" t="s">
        <v>48</v>
      </c>
      <c r="R112" t="s">
        <v>127</v>
      </c>
      <c r="S112">
        <v>13.46</v>
      </c>
      <c r="T112">
        <v>0.35</v>
      </c>
      <c r="U112">
        <v>4.21</v>
      </c>
      <c r="V112">
        <v>6.18</v>
      </c>
      <c r="W112">
        <v>0</v>
      </c>
      <c r="X112" t="s">
        <v>144</v>
      </c>
      <c r="Y112" t="s">
        <v>145</v>
      </c>
      <c r="Z112" t="s">
        <v>58</v>
      </c>
      <c r="AA112" t="s">
        <v>59</v>
      </c>
      <c r="AB112" t="s">
        <v>60</v>
      </c>
      <c r="AC112" t="s">
        <v>61</v>
      </c>
      <c r="AD112" t="s">
        <v>49</v>
      </c>
      <c r="AE112" t="s">
        <v>49</v>
      </c>
      <c r="AF112" t="s">
        <v>49</v>
      </c>
      <c r="AG112" t="s">
        <v>49</v>
      </c>
      <c r="AH112" t="s">
        <v>48</v>
      </c>
      <c r="AI112" t="s">
        <v>48</v>
      </c>
      <c r="AJ112" t="s">
        <v>48</v>
      </c>
      <c r="AK112" t="s">
        <v>62</v>
      </c>
      <c r="AL112" t="s">
        <v>63</v>
      </c>
      <c r="AM112" t="s">
        <v>61</v>
      </c>
      <c r="AN112" t="s">
        <v>64</v>
      </c>
      <c r="AO112" t="s">
        <v>146</v>
      </c>
      <c r="AP112">
        <v>1</v>
      </c>
      <c r="AQ112" t="s">
        <v>66</v>
      </c>
      <c r="AR112" t="s">
        <v>67</v>
      </c>
      <c r="AS112">
        <v>2015</v>
      </c>
      <c r="AT112" t="s">
        <v>49</v>
      </c>
      <c r="AU112" t="s">
        <v>48</v>
      </c>
      <c r="AV112" t="s">
        <v>48</v>
      </c>
      <c r="AW112" t="s">
        <v>48</v>
      </c>
    </row>
    <row r="113" spans="1:49" x14ac:dyDescent="0.3">
      <c r="A113" t="s">
        <v>475</v>
      </c>
      <c r="B113" t="s">
        <v>48</v>
      </c>
      <c r="C113" t="s">
        <v>49</v>
      </c>
      <c r="D113">
        <v>435.52</v>
      </c>
      <c r="E113">
        <v>0</v>
      </c>
      <c r="F113">
        <v>4.8600000000000003</v>
      </c>
      <c r="G113" t="s">
        <v>476</v>
      </c>
      <c r="H113" t="s">
        <v>477</v>
      </c>
      <c r="I113" t="s">
        <v>52</v>
      </c>
      <c r="J113" t="s">
        <v>53</v>
      </c>
      <c r="K113">
        <v>1000</v>
      </c>
      <c r="L113" t="s">
        <v>126</v>
      </c>
      <c r="M113">
        <f>DOWNLOAD_2kLRbPnDtawQopEJ_UKtt22ud9U57gk8mqebZIeugNk[[#This Row],[Standard Value]]</f>
        <v>1000</v>
      </c>
      <c r="N113">
        <f>-LOG(DOWNLOAD_2kLRbPnDtawQopEJ_UKtt22ud9U57gk8mqebZIeugNk[[#This Row],[IC50]]*POWER(10, -9), 10)</f>
        <v>5.9999999999999991</v>
      </c>
      <c r="O113">
        <v>6</v>
      </c>
      <c r="P113" t="s">
        <v>48</v>
      </c>
      <c r="R113" t="s">
        <v>127</v>
      </c>
      <c r="S113">
        <v>13.78</v>
      </c>
      <c r="T113">
        <v>0.26</v>
      </c>
      <c r="U113">
        <v>1.1399999999999999</v>
      </c>
      <c r="V113">
        <v>8.9700000000000006</v>
      </c>
      <c r="W113">
        <v>0</v>
      </c>
      <c r="X113" t="s">
        <v>334</v>
      </c>
      <c r="Y113" t="s">
        <v>335</v>
      </c>
      <c r="Z113" t="s">
        <v>58</v>
      </c>
      <c r="AA113" t="s">
        <v>59</v>
      </c>
      <c r="AB113" t="s">
        <v>60</v>
      </c>
      <c r="AC113" t="s">
        <v>61</v>
      </c>
      <c r="AD113" t="s">
        <v>49</v>
      </c>
      <c r="AE113" t="s">
        <v>49</v>
      </c>
      <c r="AF113" t="s">
        <v>49</v>
      </c>
      <c r="AG113" t="s">
        <v>49</v>
      </c>
      <c r="AH113" t="s">
        <v>48</v>
      </c>
      <c r="AI113" t="s">
        <v>48</v>
      </c>
      <c r="AJ113" t="s">
        <v>48</v>
      </c>
      <c r="AK113" t="s">
        <v>62</v>
      </c>
      <c r="AL113" t="s">
        <v>63</v>
      </c>
      <c r="AM113" t="s">
        <v>61</v>
      </c>
      <c r="AN113" t="s">
        <v>64</v>
      </c>
      <c r="AO113" t="s">
        <v>336</v>
      </c>
      <c r="AP113">
        <v>1</v>
      </c>
      <c r="AQ113" t="s">
        <v>66</v>
      </c>
      <c r="AR113" t="s">
        <v>76</v>
      </c>
      <c r="AS113">
        <v>2006</v>
      </c>
      <c r="AT113" t="s">
        <v>49</v>
      </c>
      <c r="AU113" t="s">
        <v>48</v>
      </c>
      <c r="AV113" t="s">
        <v>48</v>
      </c>
      <c r="AW113" t="s">
        <v>48</v>
      </c>
    </row>
    <row r="114" spans="1:49" x14ac:dyDescent="0.3">
      <c r="A114" t="s">
        <v>478</v>
      </c>
      <c r="B114" t="s">
        <v>48</v>
      </c>
      <c r="C114" t="s">
        <v>49</v>
      </c>
      <c r="D114">
        <v>382.42</v>
      </c>
      <c r="E114">
        <v>0</v>
      </c>
      <c r="F114">
        <v>3.54</v>
      </c>
      <c r="G114" t="s">
        <v>479</v>
      </c>
      <c r="H114" t="s">
        <v>480</v>
      </c>
      <c r="I114" t="s">
        <v>52</v>
      </c>
      <c r="J114" t="s">
        <v>53</v>
      </c>
      <c r="K114">
        <v>900</v>
      </c>
      <c r="L114" t="s">
        <v>126</v>
      </c>
      <c r="M114">
        <f>DOWNLOAD_2kLRbPnDtawQopEJ_UKtt22ud9U57gk8mqebZIeugNk[[#This Row],[Standard Value]]</f>
        <v>900</v>
      </c>
      <c r="N114">
        <f>-LOG(DOWNLOAD_2kLRbPnDtawQopEJ_UKtt22ud9U57gk8mqebZIeugNk[[#This Row],[IC50]]*POWER(10, -9), 10)</f>
        <v>6.0457574905606748</v>
      </c>
      <c r="O114">
        <v>6.05</v>
      </c>
      <c r="P114" t="s">
        <v>48</v>
      </c>
      <c r="R114" t="s">
        <v>127</v>
      </c>
      <c r="S114">
        <v>15.81</v>
      </c>
      <c r="T114">
        <v>0.31</v>
      </c>
      <c r="U114">
        <v>2.5099999999999998</v>
      </c>
      <c r="V114">
        <v>8.0500000000000007</v>
      </c>
      <c r="W114">
        <v>0</v>
      </c>
      <c r="X114" t="s">
        <v>334</v>
      </c>
      <c r="Y114" t="s">
        <v>335</v>
      </c>
      <c r="Z114" t="s">
        <v>58</v>
      </c>
      <c r="AA114" t="s">
        <v>59</v>
      </c>
      <c r="AB114" t="s">
        <v>60</v>
      </c>
      <c r="AC114" t="s">
        <v>61</v>
      </c>
      <c r="AD114" t="s">
        <v>49</v>
      </c>
      <c r="AE114" t="s">
        <v>49</v>
      </c>
      <c r="AF114" t="s">
        <v>49</v>
      </c>
      <c r="AG114" t="s">
        <v>49</v>
      </c>
      <c r="AH114" t="s">
        <v>48</v>
      </c>
      <c r="AI114" t="s">
        <v>48</v>
      </c>
      <c r="AJ114" t="s">
        <v>48</v>
      </c>
      <c r="AK114" t="s">
        <v>62</v>
      </c>
      <c r="AL114" t="s">
        <v>63</v>
      </c>
      <c r="AM114" t="s">
        <v>61</v>
      </c>
      <c r="AN114" t="s">
        <v>64</v>
      </c>
      <c r="AO114" t="s">
        <v>336</v>
      </c>
      <c r="AP114">
        <v>1</v>
      </c>
      <c r="AQ114" t="s">
        <v>66</v>
      </c>
      <c r="AR114" t="s">
        <v>76</v>
      </c>
      <c r="AS114">
        <v>2006</v>
      </c>
      <c r="AT114" t="s">
        <v>49</v>
      </c>
      <c r="AU114" t="s">
        <v>48</v>
      </c>
      <c r="AV114" t="s">
        <v>48</v>
      </c>
      <c r="AW114" t="s">
        <v>48</v>
      </c>
    </row>
    <row r="115" spans="1:49" x14ac:dyDescent="0.3">
      <c r="A115" t="s">
        <v>481</v>
      </c>
      <c r="B115" t="s">
        <v>48</v>
      </c>
      <c r="C115" t="s">
        <v>49</v>
      </c>
      <c r="D115">
        <v>357.39</v>
      </c>
      <c r="E115">
        <v>0</v>
      </c>
      <c r="F115">
        <v>2.11</v>
      </c>
      <c r="G115" t="s">
        <v>482</v>
      </c>
      <c r="H115" t="s">
        <v>483</v>
      </c>
      <c r="I115" t="s">
        <v>52</v>
      </c>
      <c r="J115" t="s">
        <v>53</v>
      </c>
      <c r="K115">
        <v>1.5</v>
      </c>
      <c r="L115" t="s">
        <v>54</v>
      </c>
      <c r="M115">
        <f>DOWNLOAD_2kLRbPnDtawQopEJ_UKtt22ud9U57gk8mqebZIeugNk[[#This Row],[Standard Value]]/DOWNLOAD_2kLRbPnDtawQopEJ_UKtt22ud9U57gk8mqebZIeugNk[[#This Row],[Molecular Weight]]*1000*1000</f>
        <v>4197.0956098379929</v>
      </c>
      <c r="N115">
        <f>-LOG(DOWNLOAD_2kLRbPnDtawQopEJ_UKtt22ud9U57gk8mqebZIeugNk[[#This Row],[IC50]]*POWER(10, -9), 10)</f>
        <v>5.3770511374475261</v>
      </c>
      <c r="P115" t="s">
        <v>48</v>
      </c>
      <c r="R115" t="s">
        <v>55</v>
      </c>
      <c r="W115">
        <v>0</v>
      </c>
      <c r="X115" t="s">
        <v>98</v>
      </c>
      <c r="Y115" t="s">
        <v>99</v>
      </c>
      <c r="Z115" t="s">
        <v>58</v>
      </c>
      <c r="AA115" t="s">
        <v>59</v>
      </c>
      <c r="AB115" t="s">
        <v>60</v>
      </c>
      <c r="AC115" t="s">
        <v>49</v>
      </c>
      <c r="AD115" t="s">
        <v>49</v>
      </c>
      <c r="AE115" t="s">
        <v>49</v>
      </c>
      <c r="AF115" t="s">
        <v>49</v>
      </c>
      <c r="AG115" t="s">
        <v>49</v>
      </c>
      <c r="AH115" t="s">
        <v>48</v>
      </c>
      <c r="AI115" t="s">
        <v>48</v>
      </c>
      <c r="AJ115" t="s">
        <v>48</v>
      </c>
      <c r="AK115" t="s">
        <v>62</v>
      </c>
      <c r="AL115" t="s">
        <v>63</v>
      </c>
      <c r="AM115" t="s">
        <v>61</v>
      </c>
      <c r="AN115" t="s">
        <v>64</v>
      </c>
      <c r="AO115" t="s">
        <v>100</v>
      </c>
      <c r="AP115">
        <v>1</v>
      </c>
      <c r="AQ115" t="s">
        <v>66</v>
      </c>
      <c r="AR115" t="s">
        <v>67</v>
      </c>
      <c r="AS115">
        <v>1991</v>
      </c>
      <c r="AT115" t="s">
        <v>49</v>
      </c>
      <c r="AU115" t="s">
        <v>48</v>
      </c>
      <c r="AV115" t="s">
        <v>48</v>
      </c>
      <c r="AW115" t="s">
        <v>48</v>
      </c>
    </row>
    <row r="116" spans="1:49" x14ac:dyDescent="0.3">
      <c r="A116" t="s">
        <v>484</v>
      </c>
      <c r="B116" t="s">
        <v>485</v>
      </c>
      <c r="C116" t="s">
        <v>49</v>
      </c>
      <c r="D116">
        <v>270.24</v>
      </c>
      <c r="E116">
        <v>0</v>
      </c>
      <c r="F116">
        <v>2.58</v>
      </c>
      <c r="G116" t="s">
        <v>486</v>
      </c>
      <c r="H116" t="s">
        <v>487</v>
      </c>
      <c r="I116" t="s">
        <v>52</v>
      </c>
      <c r="J116" t="s">
        <v>53</v>
      </c>
      <c r="K116">
        <v>67.599999999999994</v>
      </c>
      <c r="L116" t="s">
        <v>54</v>
      </c>
      <c r="M116">
        <f>DOWNLOAD_2kLRbPnDtawQopEJ_UKtt22ud9U57gk8mqebZIeugNk[[#This Row],[Standard Value]]/DOWNLOAD_2kLRbPnDtawQopEJ_UKtt22ud9U57gk8mqebZIeugNk[[#This Row],[Molecular Weight]]*1000*1000</f>
        <v>250148.01657785667</v>
      </c>
      <c r="N116">
        <f>-LOG(DOWNLOAD_2kLRbPnDtawQopEJ_UKtt22ud9U57gk8mqebZIeugNk[[#This Row],[IC50]]*POWER(10, -9), 10)</f>
        <v>3.601802936285297</v>
      </c>
      <c r="P116" t="s">
        <v>72</v>
      </c>
      <c r="R116" t="s">
        <v>55</v>
      </c>
      <c r="W116">
        <v>0</v>
      </c>
      <c r="X116" t="s">
        <v>314</v>
      </c>
      <c r="Y116" t="s">
        <v>315</v>
      </c>
      <c r="Z116" t="s">
        <v>58</v>
      </c>
      <c r="AA116" t="s">
        <v>59</v>
      </c>
      <c r="AB116" t="s">
        <v>60</v>
      </c>
      <c r="AC116" t="s">
        <v>61</v>
      </c>
      <c r="AD116" t="s">
        <v>49</v>
      </c>
      <c r="AE116" t="s">
        <v>49</v>
      </c>
      <c r="AF116" t="s">
        <v>49</v>
      </c>
      <c r="AG116" t="s">
        <v>49</v>
      </c>
      <c r="AH116" t="s">
        <v>48</v>
      </c>
      <c r="AI116" t="s">
        <v>48</v>
      </c>
      <c r="AJ116" t="s">
        <v>48</v>
      </c>
      <c r="AK116" t="s">
        <v>62</v>
      </c>
      <c r="AL116" t="s">
        <v>63</v>
      </c>
      <c r="AM116" t="s">
        <v>61</v>
      </c>
      <c r="AN116" t="s">
        <v>64</v>
      </c>
      <c r="AO116" t="s">
        <v>316</v>
      </c>
      <c r="AP116">
        <v>1</v>
      </c>
      <c r="AQ116" t="s">
        <v>66</v>
      </c>
      <c r="AR116" t="s">
        <v>76</v>
      </c>
      <c r="AS116">
        <v>1993</v>
      </c>
      <c r="AT116" t="s">
        <v>49</v>
      </c>
      <c r="AU116" t="s">
        <v>48</v>
      </c>
      <c r="AV116" t="s">
        <v>48</v>
      </c>
      <c r="AW116" t="s">
        <v>48</v>
      </c>
    </row>
    <row r="117" spans="1:49" x14ac:dyDescent="0.3">
      <c r="A117" t="s">
        <v>488</v>
      </c>
      <c r="B117" t="s">
        <v>48</v>
      </c>
      <c r="C117" t="s">
        <v>49</v>
      </c>
      <c r="D117">
        <v>357.39</v>
      </c>
      <c r="E117">
        <v>0</v>
      </c>
      <c r="F117">
        <v>2.0699999999999998</v>
      </c>
      <c r="G117" t="s">
        <v>479</v>
      </c>
      <c r="H117" t="s">
        <v>489</v>
      </c>
      <c r="I117" t="s">
        <v>52</v>
      </c>
      <c r="J117" t="s">
        <v>53</v>
      </c>
      <c r="K117">
        <v>3</v>
      </c>
      <c r="L117" t="s">
        <v>54</v>
      </c>
      <c r="M117">
        <f>DOWNLOAD_2kLRbPnDtawQopEJ_UKtt22ud9U57gk8mqebZIeugNk[[#This Row],[Standard Value]]/DOWNLOAD_2kLRbPnDtawQopEJ_UKtt22ud9U57gk8mqebZIeugNk[[#This Row],[Molecular Weight]]*1000*1000</f>
        <v>8394.1912196759858</v>
      </c>
      <c r="N117">
        <f>-LOG(DOWNLOAD_2kLRbPnDtawQopEJ_UKtt22ud9U57gk8mqebZIeugNk[[#This Row],[IC50]]*POWER(10, -9), 10)</f>
        <v>5.0760211417835448</v>
      </c>
      <c r="P117" t="s">
        <v>48</v>
      </c>
      <c r="R117" t="s">
        <v>55</v>
      </c>
      <c r="W117">
        <v>0</v>
      </c>
      <c r="X117" t="s">
        <v>98</v>
      </c>
      <c r="Y117" t="s">
        <v>99</v>
      </c>
      <c r="Z117" t="s">
        <v>58</v>
      </c>
      <c r="AA117" t="s">
        <v>59</v>
      </c>
      <c r="AB117" t="s">
        <v>60</v>
      </c>
      <c r="AC117" t="s">
        <v>49</v>
      </c>
      <c r="AD117" t="s">
        <v>49</v>
      </c>
      <c r="AE117" t="s">
        <v>49</v>
      </c>
      <c r="AF117" t="s">
        <v>49</v>
      </c>
      <c r="AG117" t="s">
        <v>49</v>
      </c>
      <c r="AH117" t="s">
        <v>48</v>
      </c>
      <c r="AI117" t="s">
        <v>48</v>
      </c>
      <c r="AJ117" t="s">
        <v>48</v>
      </c>
      <c r="AK117" t="s">
        <v>62</v>
      </c>
      <c r="AL117" t="s">
        <v>63</v>
      </c>
      <c r="AM117" t="s">
        <v>61</v>
      </c>
      <c r="AN117" t="s">
        <v>64</v>
      </c>
      <c r="AO117" t="s">
        <v>100</v>
      </c>
      <c r="AP117">
        <v>1</v>
      </c>
      <c r="AQ117" t="s">
        <v>66</v>
      </c>
      <c r="AR117" t="s">
        <v>67</v>
      </c>
      <c r="AS117">
        <v>1991</v>
      </c>
      <c r="AT117" t="s">
        <v>49</v>
      </c>
      <c r="AU117" t="s">
        <v>48</v>
      </c>
      <c r="AV117" t="s">
        <v>48</v>
      </c>
      <c r="AW117" t="s">
        <v>48</v>
      </c>
    </row>
    <row r="118" spans="1:49" x14ac:dyDescent="0.3">
      <c r="A118" t="s">
        <v>490</v>
      </c>
      <c r="B118" t="s">
        <v>48</v>
      </c>
      <c r="C118" t="s">
        <v>49</v>
      </c>
      <c r="D118">
        <v>376.42</v>
      </c>
      <c r="E118">
        <v>0</v>
      </c>
      <c r="F118">
        <v>4.2699999999999996</v>
      </c>
      <c r="G118" t="s">
        <v>491</v>
      </c>
      <c r="H118" t="s">
        <v>492</v>
      </c>
      <c r="I118" t="s">
        <v>52</v>
      </c>
      <c r="J118" t="s">
        <v>53</v>
      </c>
      <c r="K118">
        <v>4900</v>
      </c>
      <c r="L118" t="s">
        <v>126</v>
      </c>
      <c r="M118">
        <f>DOWNLOAD_2kLRbPnDtawQopEJ_UKtt22ud9U57gk8mqebZIeugNk[[#This Row],[Standard Value]]</f>
        <v>4900</v>
      </c>
      <c r="N118">
        <f>-LOG(DOWNLOAD_2kLRbPnDtawQopEJ_UKtt22ud9U57gk8mqebZIeugNk[[#This Row],[IC50]]*POWER(10, -9), 10)</f>
        <v>5.3098039199714862</v>
      </c>
      <c r="O118">
        <v>5.31</v>
      </c>
      <c r="P118" t="s">
        <v>48</v>
      </c>
      <c r="R118" t="s">
        <v>127</v>
      </c>
      <c r="S118">
        <v>14.11</v>
      </c>
      <c r="T118">
        <v>0.26</v>
      </c>
      <c r="U118">
        <v>1.04</v>
      </c>
      <c r="V118">
        <v>5.75</v>
      </c>
      <c r="W118">
        <v>0</v>
      </c>
      <c r="X118" t="s">
        <v>128</v>
      </c>
      <c r="Y118" t="s">
        <v>129</v>
      </c>
      <c r="Z118" t="s">
        <v>58</v>
      </c>
      <c r="AA118" t="s">
        <v>59</v>
      </c>
      <c r="AB118" t="s">
        <v>60</v>
      </c>
      <c r="AC118" t="s">
        <v>61</v>
      </c>
      <c r="AD118" t="s">
        <v>49</v>
      </c>
      <c r="AE118" t="s">
        <v>49</v>
      </c>
      <c r="AF118" t="s">
        <v>49</v>
      </c>
      <c r="AG118" t="s">
        <v>49</v>
      </c>
      <c r="AH118" t="s">
        <v>48</v>
      </c>
      <c r="AI118" t="s">
        <v>48</v>
      </c>
      <c r="AJ118" t="s">
        <v>48</v>
      </c>
      <c r="AK118" t="s">
        <v>62</v>
      </c>
      <c r="AL118" t="s">
        <v>63</v>
      </c>
      <c r="AM118" t="s">
        <v>61</v>
      </c>
      <c r="AN118" t="s">
        <v>64</v>
      </c>
      <c r="AO118" t="s">
        <v>130</v>
      </c>
      <c r="AP118">
        <v>1</v>
      </c>
      <c r="AQ118" t="s">
        <v>66</v>
      </c>
      <c r="AR118" t="s">
        <v>131</v>
      </c>
      <c r="AS118">
        <v>2014</v>
      </c>
      <c r="AT118" t="s">
        <v>49</v>
      </c>
      <c r="AU118" t="s">
        <v>48</v>
      </c>
      <c r="AV118" t="s">
        <v>48</v>
      </c>
      <c r="AW118" t="s">
        <v>48</v>
      </c>
    </row>
    <row r="119" spans="1:49" x14ac:dyDescent="0.3">
      <c r="A119" t="s">
        <v>493</v>
      </c>
      <c r="B119" t="s">
        <v>48</v>
      </c>
      <c r="C119" t="s">
        <v>49</v>
      </c>
      <c r="D119">
        <v>384.83</v>
      </c>
      <c r="E119">
        <v>0</v>
      </c>
      <c r="F119">
        <v>3.31</v>
      </c>
      <c r="G119" t="s">
        <v>494</v>
      </c>
      <c r="H119" t="s">
        <v>495</v>
      </c>
      <c r="I119" t="s">
        <v>52</v>
      </c>
      <c r="J119" t="s">
        <v>53</v>
      </c>
      <c r="K119">
        <v>2960</v>
      </c>
      <c r="L119" t="s">
        <v>126</v>
      </c>
      <c r="M119">
        <f>DOWNLOAD_2kLRbPnDtawQopEJ_UKtt22ud9U57gk8mqebZIeugNk[[#This Row],[Standard Value]]</f>
        <v>2960</v>
      </c>
      <c r="N119">
        <f>-LOG(DOWNLOAD_2kLRbPnDtawQopEJ_UKtt22ud9U57gk8mqebZIeugNk[[#This Row],[IC50]]*POWER(10, -9), 10)</f>
        <v>5.5287082889410613</v>
      </c>
      <c r="O119">
        <v>5.53</v>
      </c>
      <c r="P119" t="s">
        <v>48</v>
      </c>
      <c r="R119" t="s">
        <v>127</v>
      </c>
      <c r="S119">
        <v>14.37</v>
      </c>
      <c r="T119">
        <v>0.28000000000000003</v>
      </c>
      <c r="U119">
        <v>2.2200000000000002</v>
      </c>
      <c r="V119">
        <v>5.48</v>
      </c>
      <c r="W119">
        <v>0</v>
      </c>
      <c r="X119" t="s">
        <v>128</v>
      </c>
      <c r="Y119" t="s">
        <v>129</v>
      </c>
      <c r="Z119" t="s">
        <v>58</v>
      </c>
      <c r="AA119" t="s">
        <v>59</v>
      </c>
      <c r="AB119" t="s">
        <v>60</v>
      </c>
      <c r="AC119" t="s">
        <v>61</v>
      </c>
      <c r="AD119" t="s">
        <v>49</v>
      </c>
      <c r="AE119" t="s">
        <v>49</v>
      </c>
      <c r="AF119" t="s">
        <v>49</v>
      </c>
      <c r="AG119" t="s">
        <v>49</v>
      </c>
      <c r="AH119" t="s">
        <v>48</v>
      </c>
      <c r="AI119" t="s">
        <v>48</v>
      </c>
      <c r="AJ119" t="s">
        <v>48</v>
      </c>
      <c r="AK119" t="s">
        <v>62</v>
      </c>
      <c r="AL119" t="s">
        <v>63</v>
      </c>
      <c r="AM119" t="s">
        <v>61</v>
      </c>
      <c r="AN119" t="s">
        <v>64</v>
      </c>
      <c r="AO119" t="s">
        <v>130</v>
      </c>
      <c r="AP119">
        <v>1</v>
      </c>
      <c r="AQ119" t="s">
        <v>66</v>
      </c>
      <c r="AR119" t="s">
        <v>131</v>
      </c>
      <c r="AS119">
        <v>2014</v>
      </c>
      <c r="AT119" t="s">
        <v>49</v>
      </c>
      <c r="AU119" t="s">
        <v>48</v>
      </c>
      <c r="AV119" t="s">
        <v>48</v>
      </c>
      <c r="AW119" t="s">
        <v>48</v>
      </c>
    </row>
    <row r="120" spans="1:49" x14ac:dyDescent="0.3">
      <c r="A120" t="s">
        <v>496</v>
      </c>
      <c r="B120" t="s">
        <v>48</v>
      </c>
      <c r="C120" t="s">
        <v>49</v>
      </c>
      <c r="D120">
        <v>244.2</v>
      </c>
      <c r="E120">
        <v>0</v>
      </c>
      <c r="F120">
        <v>1.72</v>
      </c>
      <c r="G120" t="s">
        <v>497</v>
      </c>
      <c r="H120" t="s">
        <v>498</v>
      </c>
      <c r="I120" t="s">
        <v>52</v>
      </c>
      <c r="J120" t="s">
        <v>53</v>
      </c>
      <c r="K120">
        <v>13</v>
      </c>
      <c r="L120" t="s">
        <v>54</v>
      </c>
      <c r="M120">
        <f>DOWNLOAD_2kLRbPnDtawQopEJ_UKtt22ud9U57gk8mqebZIeugNk[[#This Row],[Standard Value]]/DOWNLOAD_2kLRbPnDtawQopEJ_UKtt22ud9U57gk8mqebZIeugNk[[#This Row],[Molecular Weight]]*1000*1000</f>
        <v>53235.053235053238</v>
      </c>
      <c r="N120">
        <f>-LOG(DOWNLOAD_2kLRbPnDtawQopEJ_UKtt22ud9U57gk8mqebZIeugNk[[#This Row],[IC50]]*POWER(10, -9), 10)</f>
        <v>4.2738023073020264</v>
      </c>
      <c r="P120" t="s">
        <v>48</v>
      </c>
      <c r="R120" t="s">
        <v>55</v>
      </c>
      <c r="W120">
        <v>0</v>
      </c>
      <c r="X120" t="s">
        <v>73</v>
      </c>
      <c r="Y120" t="s">
        <v>74</v>
      </c>
      <c r="Z120" t="s">
        <v>58</v>
      </c>
      <c r="AA120" t="s">
        <v>59</v>
      </c>
      <c r="AB120" t="s">
        <v>60</v>
      </c>
      <c r="AC120" t="s">
        <v>61</v>
      </c>
      <c r="AD120" t="s">
        <v>49</v>
      </c>
      <c r="AE120" t="s">
        <v>49</v>
      </c>
      <c r="AF120" t="s">
        <v>49</v>
      </c>
      <c r="AG120" t="s">
        <v>49</v>
      </c>
      <c r="AH120" t="s">
        <v>48</v>
      </c>
      <c r="AI120" t="s">
        <v>48</v>
      </c>
      <c r="AJ120" t="s">
        <v>48</v>
      </c>
      <c r="AK120" t="s">
        <v>62</v>
      </c>
      <c r="AL120" t="s">
        <v>63</v>
      </c>
      <c r="AM120" t="s">
        <v>61</v>
      </c>
      <c r="AN120" t="s">
        <v>64</v>
      </c>
      <c r="AO120" t="s">
        <v>75</v>
      </c>
      <c r="AP120">
        <v>1</v>
      </c>
      <c r="AQ120" t="s">
        <v>66</v>
      </c>
      <c r="AR120" t="s">
        <v>76</v>
      </c>
      <c r="AS120">
        <v>1998</v>
      </c>
      <c r="AT120" t="s">
        <v>49</v>
      </c>
      <c r="AU120" t="s">
        <v>48</v>
      </c>
      <c r="AV120" t="s">
        <v>48</v>
      </c>
      <c r="AW120" t="s">
        <v>48</v>
      </c>
    </row>
    <row r="121" spans="1:49" x14ac:dyDescent="0.3">
      <c r="A121" t="s">
        <v>499</v>
      </c>
      <c r="B121" t="s">
        <v>48</v>
      </c>
      <c r="C121" t="s">
        <v>49</v>
      </c>
      <c r="D121">
        <v>403.49</v>
      </c>
      <c r="E121">
        <v>0</v>
      </c>
      <c r="F121">
        <v>4.84</v>
      </c>
      <c r="G121" t="s">
        <v>500</v>
      </c>
      <c r="H121" t="s">
        <v>501</v>
      </c>
      <c r="I121" t="s">
        <v>52</v>
      </c>
      <c r="J121" t="s">
        <v>53</v>
      </c>
      <c r="K121">
        <v>99</v>
      </c>
      <c r="L121" t="s">
        <v>126</v>
      </c>
      <c r="M121">
        <f>DOWNLOAD_2kLRbPnDtawQopEJ_UKtt22ud9U57gk8mqebZIeugNk[[#This Row],[Standard Value]]</f>
        <v>99</v>
      </c>
      <c r="N121">
        <f>-LOG(DOWNLOAD_2kLRbPnDtawQopEJ_UKtt22ud9U57gk8mqebZIeugNk[[#This Row],[IC50]]*POWER(10, -9), 10)</f>
        <v>7.0043648054024485</v>
      </c>
      <c r="O121">
        <v>7</v>
      </c>
      <c r="P121" t="s">
        <v>48</v>
      </c>
      <c r="R121" t="s">
        <v>127</v>
      </c>
      <c r="S121">
        <v>17.36</v>
      </c>
      <c r="T121">
        <v>0.32</v>
      </c>
      <c r="U121">
        <v>2.16</v>
      </c>
      <c r="V121">
        <v>7.36</v>
      </c>
      <c r="W121">
        <v>0</v>
      </c>
      <c r="X121" t="s">
        <v>128</v>
      </c>
      <c r="Y121" t="s">
        <v>129</v>
      </c>
      <c r="Z121" t="s">
        <v>58</v>
      </c>
      <c r="AA121" t="s">
        <v>59</v>
      </c>
      <c r="AB121" t="s">
        <v>60</v>
      </c>
      <c r="AC121" t="s">
        <v>61</v>
      </c>
      <c r="AD121" t="s">
        <v>49</v>
      </c>
      <c r="AE121" t="s">
        <v>49</v>
      </c>
      <c r="AF121" t="s">
        <v>49</v>
      </c>
      <c r="AG121" t="s">
        <v>49</v>
      </c>
      <c r="AH121" t="s">
        <v>48</v>
      </c>
      <c r="AI121" t="s">
        <v>48</v>
      </c>
      <c r="AJ121" t="s">
        <v>48</v>
      </c>
      <c r="AK121" t="s">
        <v>62</v>
      </c>
      <c r="AL121" t="s">
        <v>63</v>
      </c>
      <c r="AM121" t="s">
        <v>61</v>
      </c>
      <c r="AN121" t="s">
        <v>64</v>
      </c>
      <c r="AO121" t="s">
        <v>130</v>
      </c>
      <c r="AP121">
        <v>1</v>
      </c>
      <c r="AQ121" t="s">
        <v>66</v>
      </c>
      <c r="AR121" t="s">
        <v>131</v>
      </c>
      <c r="AS121">
        <v>2014</v>
      </c>
      <c r="AT121" t="s">
        <v>49</v>
      </c>
      <c r="AU121" t="s">
        <v>48</v>
      </c>
      <c r="AV121" t="s">
        <v>48</v>
      </c>
      <c r="AW121" t="s">
        <v>48</v>
      </c>
    </row>
    <row r="122" spans="1:49" x14ac:dyDescent="0.3">
      <c r="A122" t="s">
        <v>502</v>
      </c>
      <c r="B122" t="s">
        <v>48</v>
      </c>
      <c r="C122" t="s">
        <v>49</v>
      </c>
      <c r="D122">
        <v>482.88</v>
      </c>
      <c r="E122">
        <v>0</v>
      </c>
      <c r="F122">
        <v>1.83</v>
      </c>
      <c r="G122" t="s">
        <v>503</v>
      </c>
      <c r="H122" t="s">
        <v>504</v>
      </c>
      <c r="I122" t="s">
        <v>52</v>
      </c>
      <c r="J122" t="s">
        <v>53</v>
      </c>
      <c r="K122">
        <v>200</v>
      </c>
      <c r="L122" t="s">
        <v>126</v>
      </c>
      <c r="M122">
        <f>DOWNLOAD_2kLRbPnDtawQopEJ_UKtt22ud9U57gk8mqebZIeugNk[[#This Row],[Standard Value]]</f>
        <v>200</v>
      </c>
      <c r="N122">
        <f>-LOG(DOWNLOAD_2kLRbPnDtawQopEJ_UKtt22ud9U57gk8mqebZIeugNk[[#This Row],[IC50]]*POWER(10, -9), 10)</f>
        <v>6.6989700043360187</v>
      </c>
      <c r="O122">
        <v>6.7</v>
      </c>
      <c r="P122" t="s">
        <v>48</v>
      </c>
      <c r="Q122">
        <v>302892</v>
      </c>
      <c r="R122" t="s">
        <v>127</v>
      </c>
      <c r="S122">
        <v>13.87</v>
      </c>
      <c r="T122">
        <v>0.27</v>
      </c>
      <c r="U122">
        <v>4.87</v>
      </c>
      <c r="V122">
        <v>4.8</v>
      </c>
      <c r="W122">
        <v>0</v>
      </c>
      <c r="X122" t="s">
        <v>251</v>
      </c>
      <c r="Y122" t="s">
        <v>252</v>
      </c>
      <c r="Z122" t="s">
        <v>58</v>
      </c>
      <c r="AA122" t="s">
        <v>59</v>
      </c>
      <c r="AB122" t="s">
        <v>60</v>
      </c>
      <c r="AC122" t="s">
        <v>61</v>
      </c>
      <c r="AD122" t="s">
        <v>49</v>
      </c>
      <c r="AE122" t="s">
        <v>49</v>
      </c>
      <c r="AF122" t="s">
        <v>49</v>
      </c>
      <c r="AG122" t="s">
        <v>49</v>
      </c>
      <c r="AH122" t="s">
        <v>48</v>
      </c>
      <c r="AI122" t="s">
        <v>48</v>
      </c>
      <c r="AJ122" t="s">
        <v>48</v>
      </c>
      <c r="AK122" t="s">
        <v>62</v>
      </c>
      <c r="AL122" t="s">
        <v>63</v>
      </c>
      <c r="AM122" t="s">
        <v>61</v>
      </c>
      <c r="AN122" t="s">
        <v>64</v>
      </c>
      <c r="AO122" t="s">
        <v>253</v>
      </c>
      <c r="AP122">
        <v>37</v>
      </c>
      <c r="AQ122" t="s">
        <v>254</v>
      </c>
      <c r="AR122" t="s">
        <v>48</v>
      </c>
      <c r="AS122">
        <v>2015</v>
      </c>
      <c r="AT122" t="s">
        <v>49</v>
      </c>
      <c r="AU122" t="s">
        <v>48</v>
      </c>
      <c r="AV122" t="s">
        <v>48</v>
      </c>
      <c r="AW122" t="s">
        <v>48</v>
      </c>
    </row>
    <row r="123" spans="1:49" x14ac:dyDescent="0.3">
      <c r="A123" t="s">
        <v>505</v>
      </c>
      <c r="B123" t="s">
        <v>48</v>
      </c>
      <c r="C123" t="s">
        <v>49</v>
      </c>
      <c r="D123">
        <v>563.96</v>
      </c>
      <c r="E123">
        <v>1</v>
      </c>
      <c r="F123">
        <v>1.57</v>
      </c>
      <c r="G123" t="s">
        <v>506</v>
      </c>
      <c r="H123" t="s">
        <v>507</v>
      </c>
      <c r="I123" t="s">
        <v>52</v>
      </c>
      <c r="J123" t="s">
        <v>53</v>
      </c>
      <c r="K123">
        <v>7700</v>
      </c>
      <c r="L123" t="s">
        <v>126</v>
      </c>
      <c r="M123">
        <f>DOWNLOAD_2kLRbPnDtawQopEJ_UKtt22ud9U57gk8mqebZIeugNk[[#This Row],[Standard Value]]</f>
        <v>7700</v>
      </c>
      <c r="N123">
        <f>-LOG(DOWNLOAD_2kLRbPnDtawQopEJ_UKtt22ud9U57gk8mqebZIeugNk[[#This Row],[IC50]]*POWER(10, -9), 10)</f>
        <v>5.1135092748275177</v>
      </c>
      <c r="O123">
        <v>5.1100000000000003</v>
      </c>
      <c r="P123" t="s">
        <v>48</v>
      </c>
      <c r="Q123">
        <v>302904</v>
      </c>
      <c r="R123" t="s">
        <v>127</v>
      </c>
      <c r="S123">
        <v>9.07</v>
      </c>
      <c r="T123">
        <v>0.17</v>
      </c>
      <c r="U123">
        <v>3.54</v>
      </c>
      <c r="V123">
        <v>2.85</v>
      </c>
      <c r="W123">
        <v>0</v>
      </c>
      <c r="X123" t="s">
        <v>251</v>
      </c>
      <c r="Y123" t="s">
        <v>252</v>
      </c>
      <c r="Z123" t="s">
        <v>58</v>
      </c>
      <c r="AA123" t="s">
        <v>59</v>
      </c>
      <c r="AB123" t="s">
        <v>60</v>
      </c>
      <c r="AC123" t="s">
        <v>61</v>
      </c>
      <c r="AD123" t="s">
        <v>49</v>
      </c>
      <c r="AE123" t="s">
        <v>49</v>
      </c>
      <c r="AF123" t="s">
        <v>49</v>
      </c>
      <c r="AG123" t="s">
        <v>49</v>
      </c>
      <c r="AH123" t="s">
        <v>48</v>
      </c>
      <c r="AI123" t="s">
        <v>48</v>
      </c>
      <c r="AJ123" t="s">
        <v>48</v>
      </c>
      <c r="AK123" t="s">
        <v>62</v>
      </c>
      <c r="AL123" t="s">
        <v>63</v>
      </c>
      <c r="AM123" t="s">
        <v>61</v>
      </c>
      <c r="AN123" t="s">
        <v>64</v>
      </c>
      <c r="AO123" t="s">
        <v>253</v>
      </c>
      <c r="AP123">
        <v>37</v>
      </c>
      <c r="AQ123" t="s">
        <v>254</v>
      </c>
      <c r="AR123" t="s">
        <v>48</v>
      </c>
      <c r="AS123">
        <v>2015</v>
      </c>
      <c r="AT123" t="s">
        <v>49</v>
      </c>
      <c r="AU123" t="s">
        <v>48</v>
      </c>
      <c r="AV123" t="s">
        <v>48</v>
      </c>
      <c r="AW123" t="s">
        <v>48</v>
      </c>
    </row>
    <row r="124" spans="1:49" x14ac:dyDescent="0.3">
      <c r="A124" t="s">
        <v>508</v>
      </c>
      <c r="B124" t="s">
        <v>48</v>
      </c>
      <c r="C124" t="s">
        <v>49</v>
      </c>
      <c r="D124">
        <v>433.47</v>
      </c>
      <c r="E124">
        <v>0</v>
      </c>
      <c r="F124">
        <v>3.57</v>
      </c>
      <c r="G124" t="s">
        <v>509</v>
      </c>
      <c r="H124" t="s">
        <v>510</v>
      </c>
      <c r="I124" t="s">
        <v>52</v>
      </c>
      <c r="J124" t="s">
        <v>53</v>
      </c>
      <c r="K124">
        <v>39</v>
      </c>
      <c r="L124" t="s">
        <v>126</v>
      </c>
      <c r="M124">
        <f>DOWNLOAD_2kLRbPnDtawQopEJ_UKtt22ud9U57gk8mqebZIeugNk[[#This Row],[Standard Value]]</f>
        <v>39</v>
      </c>
      <c r="N124">
        <f>-LOG(DOWNLOAD_2kLRbPnDtawQopEJ_UKtt22ud9U57gk8mqebZIeugNk[[#This Row],[IC50]]*POWER(10, -9), 10)</f>
        <v>7.4089353929734996</v>
      </c>
      <c r="O124">
        <v>7.41</v>
      </c>
      <c r="P124" t="s">
        <v>48</v>
      </c>
      <c r="R124" t="s">
        <v>127</v>
      </c>
      <c r="S124">
        <v>17.09</v>
      </c>
      <c r="T124">
        <v>0.32</v>
      </c>
      <c r="U124">
        <v>3.84</v>
      </c>
      <c r="V124">
        <v>5.4</v>
      </c>
      <c r="W124">
        <v>0</v>
      </c>
      <c r="X124" t="s">
        <v>128</v>
      </c>
      <c r="Y124" t="s">
        <v>129</v>
      </c>
      <c r="Z124" t="s">
        <v>58</v>
      </c>
      <c r="AA124" t="s">
        <v>59</v>
      </c>
      <c r="AB124" t="s">
        <v>60</v>
      </c>
      <c r="AC124" t="s">
        <v>61</v>
      </c>
      <c r="AD124" t="s">
        <v>49</v>
      </c>
      <c r="AE124" t="s">
        <v>49</v>
      </c>
      <c r="AF124" t="s">
        <v>49</v>
      </c>
      <c r="AG124" t="s">
        <v>49</v>
      </c>
      <c r="AH124" t="s">
        <v>48</v>
      </c>
      <c r="AI124" t="s">
        <v>48</v>
      </c>
      <c r="AJ124" t="s">
        <v>48</v>
      </c>
      <c r="AK124" t="s">
        <v>62</v>
      </c>
      <c r="AL124" t="s">
        <v>63</v>
      </c>
      <c r="AM124" t="s">
        <v>61</v>
      </c>
      <c r="AN124" t="s">
        <v>64</v>
      </c>
      <c r="AO124" t="s">
        <v>130</v>
      </c>
      <c r="AP124">
        <v>1</v>
      </c>
      <c r="AQ124" t="s">
        <v>66</v>
      </c>
      <c r="AR124" t="s">
        <v>131</v>
      </c>
      <c r="AS124">
        <v>2014</v>
      </c>
      <c r="AT124" t="s">
        <v>49</v>
      </c>
      <c r="AU124" t="s">
        <v>48</v>
      </c>
      <c r="AV124" t="s">
        <v>48</v>
      </c>
      <c r="AW124" t="s">
        <v>48</v>
      </c>
    </row>
    <row r="125" spans="1:49" x14ac:dyDescent="0.3">
      <c r="A125" t="s">
        <v>511</v>
      </c>
      <c r="B125" t="s">
        <v>48</v>
      </c>
      <c r="C125" t="s">
        <v>49</v>
      </c>
      <c r="D125">
        <v>396.48</v>
      </c>
      <c r="E125">
        <v>0</v>
      </c>
      <c r="F125">
        <v>3.98</v>
      </c>
      <c r="G125" t="s">
        <v>217</v>
      </c>
      <c r="H125" t="s">
        <v>512</v>
      </c>
      <c r="I125" t="s">
        <v>52</v>
      </c>
      <c r="J125" t="s">
        <v>53</v>
      </c>
      <c r="K125">
        <v>98</v>
      </c>
      <c r="L125" t="s">
        <v>126</v>
      </c>
      <c r="M125">
        <f>DOWNLOAD_2kLRbPnDtawQopEJ_UKtt22ud9U57gk8mqebZIeugNk[[#This Row],[Standard Value]]</f>
        <v>98</v>
      </c>
      <c r="N125">
        <f>-LOG(DOWNLOAD_2kLRbPnDtawQopEJ_UKtt22ud9U57gk8mqebZIeugNk[[#This Row],[IC50]]*POWER(10, -9), 10)</f>
        <v>7.0087739243075049</v>
      </c>
      <c r="O125">
        <v>7.01</v>
      </c>
      <c r="P125" t="s">
        <v>48</v>
      </c>
      <c r="R125" t="s">
        <v>127</v>
      </c>
      <c r="S125">
        <v>17.68</v>
      </c>
      <c r="T125">
        <v>0.34</v>
      </c>
      <c r="U125">
        <v>3.03</v>
      </c>
      <c r="V125">
        <v>6.49</v>
      </c>
      <c r="W125">
        <v>0</v>
      </c>
      <c r="X125" t="s">
        <v>128</v>
      </c>
      <c r="Y125" t="s">
        <v>129</v>
      </c>
      <c r="Z125" t="s">
        <v>58</v>
      </c>
      <c r="AA125" t="s">
        <v>59</v>
      </c>
      <c r="AB125" t="s">
        <v>60</v>
      </c>
      <c r="AC125" t="s">
        <v>61</v>
      </c>
      <c r="AD125" t="s">
        <v>49</v>
      </c>
      <c r="AE125" t="s">
        <v>49</v>
      </c>
      <c r="AF125" t="s">
        <v>49</v>
      </c>
      <c r="AG125" t="s">
        <v>49</v>
      </c>
      <c r="AH125" t="s">
        <v>48</v>
      </c>
      <c r="AI125" t="s">
        <v>48</v>
      </c>
      <c r="AJ125" t="s">
        <v>48</v>
      </c>
      <c r="AK125" t="s">
        <v>62</v>
      </c>
      <c r="AL125" t="s">
        <v>63</v>
      </c>
      <c r="AM125" t="s">
        <v>61</v>
      </c>
      <c r="AN125" t="s">
        <v>64</v>
      </c>
      <c r="AO125" t="s">
        <v>130</v>
      </c>
      <c r="AP125">
        <v>1</v>
      </c>
      <c r="AQ125" t="s">
        <v>66</v>
      </c>
      <c r="AR125" t="s">
        <v>131</v>
      </c>
      <c r="AS125">
        <v>2014</v>
      </c>
      <c r="AT125" t="s">
        <v>49</v>
      </c>
      <c r="AU125" t="s">
        <v>48</v>
      </c>
      <c r="AV125" t="s">
        <v>48</v>
      </c>
      <c r="AW125" t="s">
        <v>48</v>
      </c>
    </row>
    <row r="126" spans="1:49" x14ac:dyDescent="0.3">
      <c r="A126" t="s">
        <v>513</v>
      </c>
      <c r="B126" t="s">
        <v>48</v>
      </c>
      <c r="C126" t="s">
        <v>49</v>
      </c>
      <c r="D126">
        <v>408.55</v>
      </c>
      <c r="E126">
        <v>0</v>
      </c>
      <c r="F126">
        <v>3.25</v>
      </c>
      <c r="G126" t="s">
        <v>514</v>
      </c>
      <c r="H126" t="s">
        <v>515</v>
      </c>
      <c r="I126" t="s">
        <v>52</v>
      </c>
      <c r="J126" t="s">
        <v>53</v>
      </c>
      <c r="K126">
        <v>64</v>
      </c>
      <c r="L126" t="s">
        <v>54</v>
      </c>
      <c r="M126">
        <f>DOWNLOAD_2kLRbPnDtawQopEJ_UKtt22ud9U57gk8mqebZIeugNk[[#This Row],[Standard Value]]/DOWNLOAD_2kLRbPnDtawQopEJ_UKtt22ud9U57gk8mqebZIeugNk[[#This Row],[Molecular Weight]]*1000*1000</f>
        <v>156651.57263492842</v>
      </c>
      <c r="N126">
        <f>-LOG(DOWNLOAD_2kLRbPnDtawQopEJ_UKtt22ud9U57gk8mqebZIeugNk[[#This Row],[IC50]]*POWER(10, -9), 10)</f>
        <v>3.8050652408509431</v>
      </c>
      <c r="P126" t="s">
        <v>72</v>
      </c>
      <c r="R126" t="s">
        <v>55</v>
      </c>
      <c r="W126">
        <v>0</v>
      </c>
      <c r="X126" t="s">
        <v>121</v>
      </c>
      <c r="Y126" t="s">
        <v>87</v>
      </c>
      <c r="Z126" t="s">
        <v>58</v>
      </c>
      <c r="AA126" t="s">
        <v>59</v>
      </c>
      <c r="AB126" t="s">
        <v>60</v>
      </c>
      <c r="AC126" t="s">
        <v>61</v>
      </c>
      <c r="AD126" t="s">
        <v>49</v>
      </c>
      <c r="AE126" t="s">
        <v>49</v>
      </c>
      <c r="AF126" t="s">
        <v>49</v>
      </c>
      <c r="AG126" t="s">
        <v>49</v>
      </c>
      <c r="AH126" t="s">
        <v>48</v>
      </c>
      <c r="AI126" t="s">
        <v>48</v>
      </c>
      <c r="AJ126" t="s">
        <v>48</v>
      </c>
      <c r="AK126" t="s">
        <v>62</v>
      </c>
      <c r="AL126" t="s">
        <v>63</v>
      </c>
      <c r="AM126" t="s">
        <v>61</v>
      </c>
      <c r="AN126" t="s">
        <v>64</v>
      </c>
      <c r="AO126" t="s">
        <v>122</v>
      </c>
      <c r="AP126">
        <v>1</v>
      </c>
      <c r="AQ126" t="s">
        <v>66</v>
      </c>
      <c r="AR126" t="s">
        <v>76</v>
      </c>
      <c r="AS126">
        <v>2004</v>
      </c>
      <c r="AT126" t="s">
        <v>49</v>
      </c>
      <c r="AU126" t="s">
        <v>48</v>
      </c>
      <c r="AV126" t="s">
        <v>48</v>
      </c>
      <c r="AW126" t="s">
        <v>48</v>
      </c>
    </row>
    <row r="127" spans="1:49" x14ac:dyDescent="0.3">
      <c r="A127" t="s">
        <v>516</v>
      </c>
      <c r="B127" t="s">
        <v>48</v>
      </c>
      <c r="C127" t="s">
        <v>49</v>
      </c>
      <c r="D127">
        <v>400.41</v>
      </c>
      <c r="E127">
        <v>0</v>
      </c>
      <c r="F127">
        <v>2.0299999999999998</v>
      </c>
      <c r="G127" t="s">
        <v>517</v>
      </c>
      <c r="H127" t="s">
        <v>518</v>
      </c>
      <c r="I127" t="s">
        <v>52</v>
      </c>
      <c r="J127" t="s">
        <v>53</v>
      </c>
      <c r="K127">
        <v>340</v>
      </c>
      <c r="L127" t="s">
        <v>126</v>
      </c>
      <c r="M127">
        <f>DOWNLOAD_2kLRbPnDtawQopEJ_UKtt22ud9U57gk8mqebZIeugNk[[#This Row],[Standard Value]]</f>
        <v>340</v>
      </c>
      <c r="N127">
        <f>-LOG(DOWNLOAD_2kLRbPnDtawQopEJ_UKtt22ud9U57gk8mqebZIeugNk[[#This Row],[IC50]]*POWER(10, -9), 10)</f>
        <v>6.4685210829577446</v>
      </c>
      <c r="O127">
        <v>6.47</v>
      </c>
      <c r="P127" t="s">
        <v>48</v>
      </c>
      <c r="R127" t="s">
        <v>127</v>
      </c>
      <c r="S127">
        <v>16.149999999999999</v>
      </c>
      <c r="T127">
        <v>0.3</v>
      </c>
      <c r="U127">
        <v>4.4400000000000004</v>
      </c>
      <c r="V127">
        <v>6.19</v>
      </c>
      <c r="W127">
        <v>0</v>
      </c>
      <c r="X127" t="s">
        <v>519</v>
      </c>
      <c r="Y127" t="s">
        <v>520</v>
      </c>
      <c r="Z127" t="s">
        <v>58</v>
      </c>
      <c r="AA127" t="s">
        <v>59</v>
      </c>
      <c r="AB127" t="s">
        <v>60</v>
      </c>
      <c r="AC127" t="s">
        <v>61</v>
      </c>
      <c r="AD127" t="s">
        <v>49</v>
      </c>
      <c r="AE127" t="s">
        <v>49</v>
      </c>
      <c r="AF127" t="s">
        <v>49</v>
      </c>
      <c r="AG127" t="s">
        <v>49</v>
      </c>
      <c r="AH127" t="s">
        <v>48</v>
      </c>
      <c r="AI127" t="s">
        <v>48</v>
      </c>
      <c r="AJ127" t="s">
        <v>48</v>
      </c>
      <c r="AK127" t="s">
        <v>62</v>
      </c>
      <c r="AL127" t="s">
        <v>63</v>
      </c>
      <c r="AM127" t="s">
        <v>61</v>
      </c>
      <c r="AN127" t="s">
        <v>64</v>
      </c>
      <c r="AO127" t="s">
        <v>521</v>
      </c>
      <c r="AP127">
        <v>1</v>
      </c>
      <c r="AQ127" t="s">
        <v>66</v>
      </c>
      <c r="AR127" t="s">
        <v>67</v>
      </c>
      <c r="AS127">
        <v>2014</v>
      </c>
      <c r="AT127" t="s">
        <v>49</v>
      </c>
      <c r="AU127" t="s">
        <v>48</v>
      </c>
      <c r="AV127" t="s">
        <v>48</v>
      </c>
      <c r="AW127" t="s">
        <v>48</v>
      </c>
    </row>
    <row r="128" spans="1:49" x14ac:dyDescent="0.3">
      <c r="A128" t="s">
        <v>522</v>
      </c>
      <c r="B128" t="s">
        <v>48</v>
      </c>
      <c r="C128" t="s">
        <v>49</v>
      </c>
      <c r="D128">
        <v>426.95</v>
      </c>
      <c r="E128">
        <v>0</v>
      </c>
      <c r="F128">
        <v>4.55</v>
      </c>
      <c r="G128" t="s">
        <v>523</v>
      </c>
      <c r="H128" t="s">
        <v>524</v>
      </c>
      <c r="I128" t="s">
        <v>52</v>
      </c>
      <c r="J128" t="s">
        <v>53</v>
      </c>
      <c r="K128">
        <v>1</v>
      </c>
      <c r="L128" t="s">
        <v>54</v>
      </c>
      <c r="M128">
        <f>DOWNLOAD_2kLRbPnDtawQopEJ_UKtt22ud9U57gk8mqebZIeugNk[[#This Row],[Standard Value]]/DOWNLOAD_2kLRbPnDtawQopEJ_UKtt22ud9U57gk8mqebZIeugNk[[#This Row],[Molecular Weight]]*1000*1000</f>
        <v>2342.1946363742827</v>
      </c>
      <c r="N128">
        <f>-LOG(DOWNLOAD_2kLRbPnDtawQopEJ_UKtt22ud9U57gk8mqebZIeugNk[[#This Row],[IC50]]*POWER(10, -9), 10)</f>
        <v>5.6303770178925916</v>
      </c>
      <c r="P128" t="s">
        <v>48</v>
      </c>
      <c r="R128" t="s">
        <v>55</v>
      </c>
      <c r="W128">
        <v>0</v>
      </c>
      <c r="X128" t="s">
        <v>121</v>
      </c>
      <c r="Y128" t="s">
        <v>87</v>
      </c>
      <c r="Z128" t="s">
        <v>58</v>
      </c>
      <c r="AA128" t="s">
        <v>59</v>
      </c>
      <c r="AB128" t="s">
        <v>60</v>
      </c>
      <c r="AC128" t="s">
        <v>61</v>
      </c>
      <c r="AD128" t="s">
        <v>49</v>
      </c>
      <c r="AE128" t="s">
        <v>49</v>
      </c>
      <c r="AF128" t="s">
        <v>49</v>
      </c>
      <c r="AG128" t="s">
        <v>49</v>
      </c>
      <c r="AH128" t="s">
        <v>48</v>
      </c>
      <c r="AI128" t="s">
        <v>48</v>
      </c>
      <c r="AJ128" t="s">
        <v>48</v>
      </c>
      <c r="AK128" t="s">
        <v>62</v>
      </c>
      <c r="AL128" t="s">
        <v>63</v>
      </c>
      <c r="AM128" t="s">
        <v>61</v>
      </c>
      <c r="AN128" t="s">
        <v>64</v>
      </c>
      <c r="AO128" t="s">
        <v>122</v>
      </c>
      <c r="AP128">
        <v>1</v>
      </c>
      <c r="AQ128" t="s">
        <v>66</v>
      </c>
      <c r="AR128" t="s">
        <v>76</v>
      </c>
      <c r="AS128">
        <v>2004</v>
      </c>
      <c r="AT128" t="s">
        <v>49</v>
      </c>
      <c r="AU128" t="s">
        <v>48</v>
      </c>
      <c r="AV128" t="s">
        <v>48</v>
      </c>
      <c r="AW128" t="s">
        <v>48</v>
      </c>
    </row>
    <row r="129" spans="1:49" x14ac:dyDescent="0.3">
      <c r="A129" t="s">
        <v>525</v>
      </c>
      <c r="B129" t="s">
        <v>48</v>
      </c>
      <c r="C129" t="s">
        <v>49</v>
      </c>
      <c r="D129">
        <v>533.55999999999995</v>
      </c>
      <c r="E129">
        <v>1</v>
      </c>
      <c r="F129">
        <v>3.28</v>
      </c>
      <c r="G129" t="s">
        <v>197</v>
      </c>
      <c r="H129" t="s">
        <v>526</v>
      </c>
      <c r="I129" t="s">
        <v>52</v>
      </c>
      <c r="J129" t="s">
        <v>53</v>
      </c>
      <c r="K129">
        <v>5770</v>
      </c>
      <c r="L129" t="s">
        <v>126</v>
      </c>
      <c r="M129">
        <f>DOWNLOAD_2kLRbPnDtawQopEJ_UKtt22ud9U57gk8mqebZIeugNk[[#This Row],[Standard Value]]</f>
        <v>5770</v>
      </c>
      <c r="N129">
        <f>-LOG(DOWNLOAD_2kLRbPnDtawQopEJ_UKtt22ud9U57gk8mqebZIeugNk[[#This Row],[IC50]]*POWER(10, -9), 10)</f>
        <v>5.2388241868442682</v>
      </c>
      <c r="O129">
        <v>5.24</v>
      </c>
      <c r="P129" t="s">
        <v>48</v>
      </c>
      <c r="R129" t="s">
        <v>127</v>
      </c>
      <c r="S129">
        <v>9.82</v>
      </c>
      <c r="T129">
        <v>0.18</v>
      </c>
      <c r="U129">
        <v>1.96</v>
      </c>
      <c r="V129">
        <v>5.17</v>
      </c>
      <c r="W129">
        <v>0</v>
      </c>
      <c r="X129" t="s">
        <v>527</v>
      </c>
      <c r="Y129" t="s">
        <v>528</v>
      </c>
      <c r="Z129" t="s">
        <v>58</v>
      </c>
      <c r="AA129" t="s">
        <v>59</v>
      </c>
      <c r="AB129" t="s">
        <v>60</v>
      </c>
      <c r="AC129" t="s">
        <v>61</v>
      </c>
      <c r="AD129" t="s">
        <v>49</v>
      </c>
      <c r="AE129" t="s">
        <v>49</v>
      </c>
      <c r="AF129" t="s">
        <v>49</v>
      </c>
      <c r="AG129" t="s">
        <v>49</v>
      </c>
      <c r="AH129" t="s">
        <v>48</v>
      </c>
      <c r="AI129" t="s">
        <v>48</v>
      </c>
      <c r="AJ129" t="s">
        <v>48</v>
      </c>
      <c r="AK129" t="s">
        <v>62</v>
      </c>
      <c r="AL129" t="s">
        <v>63</v>
      </c>
      <c r="AM129" t="s">
        <v>61</v>
      </c>
      <c r="AN129" t="s">
        <v>64</v>
      </c>
      <c r="AO129" t="s">
        <v>529</v>
      </c>
      <c r="AP129">
        <v>1</v>
      </c>
      <c r="AQ129" t="s">
        <v>66</v>
      </c>
      <c r="AR129" t="s">
        <v>267</v>
      </c>
      <c r="AS129">
        <v>2014</v>
      </c>
      <c r="AT129" t="s">
        <v>49</v>
      </c>
      <c r="AU129" t="s">
        <v>48</v>
      </c>
      <c r="AV129" t="s">
        <v>48</v>
      </c>
      <c r="AW129" t="s">
        <v>48</v>
      </c>
    </row>
    <row r="130" spans="1:49" x14ac:dyDescent="0.3">
      <c r="A130" t="s">
        <v>530</v>
      </c>
      <c r="B130" t="s">
        <v>48</v>
      </c>
      <c r="C130" t="s">
        <v>49</v>
      </c>
      <c r="D130">
        <v>318.76</v>
      </c>
      <c r="E130">
        <v>0</v>
      </c>
      <c r="F130">
        <v>3.13</v>
      </c>
      <c r="G130" t="s">
        <v>531</v>
      </c>
      <c r="H130" t="s">
        <v>532</v>
      </c>
      <c r="I130" t="s">
        <v>52</v>
      </c>
      <c r="J130" t="s">
        <v>53</v>
      </c>
      <c r="K130">
        <v>3300</v>
      </c>
      <c r="L130" t="s">
        <v>126</v>
      </c>
      <c r="M130">
        <f>DOWNLOAD_2kLRbPnDtawQopEJ_UKtt22ud9U57gk8mqebZIeugNk[[#This Row],[Standard Value]]</f>
        <v>3300</v>
      </c>
      <c r="N130">
        <f>-LOG(DOWNLOAD_2kLRbPnDtawQopEJ_UKtt22ud9U57gk8mqebZIeugNk[[#This Row],[IC50]]*POWER(10, -9), 10)</f>
        <v>5.481486060122112</v>
      </c>
      <c r="O130">
        <v>5.48</v>
      </c>
      <c r="P130" t="s">
        <v>48</v>
      </c>
      <c r="R130" t="s">
        <v>127</v>
      </c>
      <c r="S130">
        <v>17.2</v>
      </c>
      <c r="T130">
        <v>0.34</v>
      </c>
      <c r="U130">
        <v>2.35</v>
      </c>
      <c r="V130">
        <v>6.59</v>
      </c>
      <c r="W130">
        <v>0</v>
      </c>
      <c r="X130" t="s">
        <v>128</v>
      </c>
      <c r="Y130" t="s">
        <v>129</v>
      </c>
      <c r="Z130" t="s">
        <v>58</v>
      </c>
      <c r="AA130" t="s">
        <v>59</v>
      </c>
      <c r="AB130" t="s">
        <v>60</v>
      </c>
      <c r="AC130" t="s">
        <v>61</v>
      </c>
      <c r="AD130" t="s">
        <v>49</v>
      </c>
      <c r="AE130" t="s">
        <v>49</v>
      </c>
      <c r="AF130" t="s">
        <v>49</v>
      </c>
      <c r="AG130" t="s">
        <v>49</v>
      </c>
      <c r="AH130" t="s">
        <v>48</v>
      </c>
      <c r="AI130" t="s">
        <v>48</v>
      </c>
      <c r="AJ130" t="s">
        <v>48</v>
      </c>
      <c r="AK130" t="s">
        <v>62</v>
      </c>
      <c r="AL130" t="s">
        <v>63</v>
      </c>
      <c r="AM130" t="s">
        <v>61</v>
      </c>
      <c r="AN130" t="s">
        <v>64</v>
      </c>
      <c r="AO130" t="s">
        <v>130</v>
      </c>
      <c r="AP130">
        <v>1</v>
      </c>
      <c r="AQ130" t="s">
        <v>66</v>
      </c>
      <c r="AR130" t="s">
        <v>131</v>
      </c>
      <c r="AS130">
        <v>2014</v>
      </c>
      <c r="AT130" t="s">
        <v>49</v>
      </c>
      <c r="AU130" t="s">
        <v>48</v>
      </c>
      <c r="AV130" t="s">
        <v>48</v>
      </c>
      <c r="AW130" t="s">
        <v>48</v>
      </c>
    </row>
    <row r="131" spans="1:49" x14ac:dyDescent="0.3">
      <c r="A131" t="s">
        <v>533</v>
      </c>
      <c r="B131" t="s">
        <v>48</v>
      </c>
      <c r="C131" t="s">
        <v>49</v>
      </c>
      <c r="D131">
        <v>551.54</v>
      </c>
      <c r="E131">
        <v>2</v>
      </c>
      <c r="F131">
        <v>1.1499999999999999</v>
      </c>
      <c r="G131" t="s">
        <v>534</v>
      </c>
      <c r="H131" t="s">
        <v>535</v>
      </c>
      <c r="I131" t="s">
        <v>52</v>
      </c>
      <c r="J131" t="s">
        <v>53</v>
      </c>
      <c r="K131">
        <v>83000</v>
      </c>
      <c r="L131" t="s">
        <v>126</v>
      </c>
      <c r="M131">
        <f>DOWNLOAD_2kLRbPnDtawQopEJ_UKtt22ud9U57gk8mqebZIeugNk[[#This Row],[Standard Value]]</f>
        <v>83000</v>
      </c>
      <c r="N131">
        <f>-LOG(DOWNLOAD_2kLRbPnDtawQopEJ_UKtt22ud9U57gk8mqebZIeugNk[[#This Row],[IC50]]*POWER(10, -9), 10)</f>
        <v>4.0809219076239254</v>
      </c>
      <c r="O131">
        <v>4.08</v>
      </c>
      <c r="P131" t="s">
        <v>48</v>
      </c>
      <c r="Q131">
        <v>302945</v>
      </c>
      <c r="R131" t="s">
        <v>127</v>
      </c>
      <c r="S131">
        <v>7.4</v>
      </c>
      <c r="T131">
        <v>0.14000000000000001</v>
      </c>
      <c r="U131">
        <v>2.93</v>
      </c>
      <c r="V131">
        <v>2.68</v>
      </c>
      <c r="W131">
        <v>0</v>
      </c>
      <c r="X131" t="s">
        <v>251</v>
      </c>
      <c r="Y131" t="s">
        <v>252</v>
      </c>
      <c r="Z131" t="s">
        <v>58</v>
      </c>
      <c r="AA131" t="s">
        <v>59</v>
      </c>
      <c r="AB131" t="s">
        <v>60</v>
      </c>
      <c r="AC131" t="s">
        <v>61</v>
      </c>
      <c r="AD131" t="s">
        <v>49</v>
      </c>
      <c r="AE131" t="s">
        <v>49</v>
      </c>
      <c r="AF131" t="s">
        <v>49</v>
      </c>
      <c r="AG131" t="s">
        <v>49</v>
      </c>
      <c r="AH131" t="s">
        <v>48</v>
      </c>
      <c r="AI131" t="s">
        <v>48</v>
      </c>
      <c r="AJ131" t="s">
        <v>48</v>
      </c>
      <c r="AK131" t="s">
        <v>62</v>
      </c>
      <c r="AL131" t="s">
        <v>63</v>
      </c>
      <c r="AM131" t="s">
        <v>61</v>
      </c>
      <c r="AN131" t="s">
        <v>64</v>
      </c>
      <c r="AO131" t="s">
        <v>253</v>
      </c>
      <c r="AP131">
        <v>37</v>
      </c>
      <c r="AQ131" t="s">
        <v>254</v>
      </c>
      <c r="AR131" t="s">
        <v>48</v>
      </c>
      <c r="AS131">
        <v>2015</v>
      </c>
      <c r="AT131" t="s">
        <v>49</v>
      </c>
      <c r="AU131" t="s">
        <v>48</v>
      </c>
      <c r="AV131" t="s">
        <v>48</v>
      </c>
      <c r="AW131" t="s">
        <v>48</v>
      </c>
    </row>
    <row r="132" spans="1:49" x14ac:dyDescent="0.3">
      <c r="A132" t="s">
        <v>536</v>
      </c>
      <c r="B132" t="s">
        <v>48</v>
      </c>
      <c r="C132" t="s">
        <v>49</v>
      </c>
      <c r="D132">
        <v>496.46</v>
      </c>
      <c r="E132">
        <v>0</v>
      </c>
      <c r="F132">
        <v>1.32</v>
      </c>
      <c r="G132" t="s">
        <v>537</v>
      </c>
      <c r="H132" t="s">
        <v>538</v>
      </c>
      <c r="I132" t="s">
        <v>52</v>
      </c>
      <c r="J132" t="s">
        <v>53</v>
      </c>
      <c r="K132">
        <v>1100</v>
      </c>
      <c r="L132" t="s">
        <v>126</v>
      </c>
      <c r="M132">
        <f>DOWNLOAD_2kLRbPnDtawQopEJ_UKtt22ud9U57gk8mqebZIeugNk[[#This Row],[Standard Value]]</f>
        <v>1100</v>
      </c>
      <c r="N132">
        <f>-LOG(DOWNLOAD_2kLRbPnDtawQopEJ_UKtt22ud9U57gk8mqebZIeugNk[[#This Row],[IC50]]*POWER(10, -9), 10)</f>
        <v>5.9586073148417746</v>
      </c>
      <c r="O132">
        <v>5.96</v>
      </c>
      <c r="P132" t="s">
        <v>48</v>
      </c>
      <c r="Q132">
        <v>302947</v>
      </c>
      <c r="R132" t="s">
        <v>127</v>
      </c>
      <c r="S132">
        <v>12</v>
      </c>
      <c r="T132">
        <v>0.23</v>
      </c>
      <c r="U132">
        <v>4.6399999999999997</v>
      </c>
      <c r="V132">
        <v>4</v>
      </c>
      <c r="W132">
        <v>0</v>
      </c>
      <c r="X132" t="s">
        <v>251</v>
      </c>
      <c r="Y132" t="s">
        <v>252</v>
      </c>
      <c r="Z132" t="s">
        <v>58</v>
      </c>
      <c r="AA132" t="s">
        <v>59</v>
      </c>
      <c r="AB132" t="s">
        <v>60</v>
      </c>
      <c r="AC132" t="s">
        <v>61</v>
      </c>
      <c r="AD132" t="s">
        <v>49</v>
      </c>
      <c r="AE132" t="s">
        <v>49</v>
      </c>
      <c r="AF132" t="s">
        <v>49</v>
      </c>
      <c r="AG132" t="s">
        <v>49</v>
      </c>
      <c r="AH132" t="s">
        <v>48</v>
      </c>
      <c r="AI132" t="s">
        <v>48</v>
      </c>
      <c r="AJ132" t="s">
        <v>48</v>
      </c>
      <c r="AK132" t="s">
        <v>62</v>
      </c>
      <c r="AL132" t="s">
        <v>63</v>
      </c>
      <c r="AM132" t="s">
        <v>61</v>
      </c>
      <c r="AN132" t="s">
        <v>64</v>
      </c>
      <c r="AO132" t="s">
        <v>253</v>
      </c>
      <c r="AP132">
        <v>37</v>
      </c>
      <c r="AQ132" t="s">
        <v>254</v>
      </c>
      <c r="AR132" t="s">
        <v>48</v>
      </c>
      <c r="AS132">
        <v>2015</v>
      </c>
      <c r="AT132" t="s">
        <v>49</v>
      </c>
      <c r="AU132" t="s">
        <v>48</v>
      </c>
      <c r="AV132" t="s">
        <v>48</v>
      </c>
      <c r="AW132" t="s">
        <v>48</v>
      </c>
    </row>
    <row r="133" spans="1:49" x14ac:dyDescent="0.3">
      <c r="A133" t="s">
        <v>539</v>
      </c>
      <c r="B133" t="s">
        <v>48</v>
      </c>
      <c r="C133" t="s">
        <v>49</v>
      </c>
      <c r="D133">
        <v>426.95</v>
      </c>
      <c r="E133">
        <v>0</v>
      </c>
      <c r="F133">
        <v>4.55</v>
      </c>
      <c r="G133" t="s">
        <v>540</v>
      </c>
      <c r="H133" t="s">
        <v>541</v>
      </c>
      <c r="I133" t="s">
        <v>52</v>
      </c>
      <c r="J133" t="s">
        <v>53</v>
      </c>
      <c r="K133">
        <v>0.5</v>
      </c>
      <c r="L133" t="s">
        <v>54</v>
      </c>
      <c r="M133">
        <f>DOWNLOAD_2kLRbPnDtawQopEJ_UKtt22ud9U57gk8mqebZIeugNk[[#This Row],[Standard Value]]/DOWNLOAD_2kLRbPnDtawQopEJ_UKtt22ud9U57gk8mqebZIeugNk[[#This Row],[Molecular Weight]]*1000*1000</f>
        <v>1171.0973181871414</v>
      </c>
      <c r="N133">
        <f>-LOG(DOWNLOAD_2kLRbPnDtawQopEJ_UKtt22ud9U57gk8mqebZIeugNk[[#This Row],[IC50]]*POWER(10, -9), 10)</f>
        <v>5.9314070135565728</v>
      </c>
      <c r="P133" t="s">
        <v>48</v>
      </c>
      <c r="R133" t="s">
        <v>55</v>
      </c>
      <c r="W133">
        <v>0</v>
      </c>
      <c r="X133" t="s">
        <v>121</v>
      </c>
      <c r="Y133" t="s">
        <v>87</v>
      </c>
      <c r="Z133" t="s">
        <v>58</v>
      </c>
      <c r="AA133" t="s">
        <v>59</v>
      </c>
      <c r="AB133" t="s">
        <v>60</v>
      </c>
      <c r="AC133" t="s">
        <v>61</v>
      </c>
      <c r="AD133" t="s">
        <v>49</v>
      </c>
      <c r="AE133" t="s">
        <v>49</v>
      </c>
      <c r="AF133" t="s">
        <v>49</v>
      </c>
      <c r="AG133" t="s">
        <v>49</v>
      </c>
      <c r="AH133" t="s">
        <v>48</v>
      </c>
      <c r="AI133" t="s">
        <v>48</v>
      </c>
      <c r="AJ133" t="s">
        <v>48</v>
      </c>
      <c r="AK133" t="s">
        <v>62</v>
      </c>
      <c r="AL133" t="s">
        <v>63</v>
      </c>
      <c r="AM133" t="s">
        <v>61</v>
      </c>
      <c r="AN133" t="s">
        <v>64</v>
      </c>
      <c r="AO133" t="s">
        <v>122</v>
      </c>
      <c r="AP133">
        <v>1</v>
      </c>
      <c r="AQ133" t="s">
        <v>66</v>
      </c>
      <c r="AR133" t="s">
        <v>76</v>
      </c>
      <c r="AS133">
        <v>2004</v>
      </c>
      <c r="AT133" t="s">
        <v>49</v>
      </c>
      <c r="AU133" t="s">
        <v>48</v>
      </c>
      <c r="AV133" t="s">
        <v>48</v>
      </c>
      <c r="AW133" t="s">
        <v>48</v>
      </c>
    </row>
    <row r="134" spans="1:49" x14ac:dyDescent="0.3">
      <c r="A134" t="s">
        <v>542</v>
      </c>
      <c r="B134" t="s">
        <v>543</v>
      </c>
      <c r="C134" t="s">
        <v>112</v>
      </c>
      <c r="D134">
        <v>319.33999999999997</v>
      </c>
      <c r="E134">
        <v>0</v>
      </c>
      <c r="F134">
        <v>1.27</v>
      </c>
      <c r="G134" t="s">
        <v>544</v>
      </c>
      <c r="H134" t="s">
        <v>545</v>
      </c>
      <c r="I134" t="s">
        <v>52</v>
      </c>
      <c r="J134" t="s">
        <v>53</v>
      </c>
      <c r="K134">
        <v>5.5</v>
      </c>
      <c r="L134" t="s">
        <v>54</v>
      </c>
      <c r="M134">
        <f>DOWNLOAD_2kLRbPnDtawQopEJ_UKtt22ud9U57gk8mqebZIeugNk[[#This Row],[Standard Value]]/DOWNLOAD_2kLRbPnDtawQopEJ_UKtt22ud9U57gk8mqebZIeugNk[[#This Row],[Molecular Weight]]*1000*1000</f>
        <v>17223.022483872988</v>
      </c>
      <c r="N134">
        <f>-LOG(DOWNLOAD_2kLRbPnDtawQopEJ_UKtt22ud9U57gk8mqebZIeugNk[[#This Row],[IC50]]*POWER(10, -9), 10)</f>
        <v>4.763890631460642</v>
      </c>
      <c r="P134" t="s">
        <v>48</v>
      </c>
      <c r="R134" t="s">
        <v>55</v>
      </c>
      <c r="W134">
        <v>0</v>
      </c>
      <c r="X134" t="s">
        <v>115</v>
      </c>
      <c r="Y134" t="s">
        <v>116</v>
      </c>
      <c r="Z134" t="s">
        <v>58</v>
      </c>
      <c r="AA134" t="s">
        <v>59</v>
      </c>
      <c r="AB134" t="s">
        <v>60</v>
      </c>
      <c r="AC134" t="s">
        <v>61</v>
      </c>
      <c r="AD134" t="s">
        <v>49</v>
      </c>
      <c r="AE134" t="s">
        <v>49</v>
      </c>
      <c r="AF134" t="s">
        <v>49</v>
      </c>
      <c r="AG134" t="s">
        <v>49</v>
      </c>
      <c r="AH134" t="s">
        <v>48</v>
      </c>
      <c r="AI134" t="s">
        <v>48</v>
      </c>
      <c r="AJ134" t="s">
        <v>48</v>
      </c>
      <c r="AK134" t="s">
        <v>62</v>
      </c>
      <c r="AL134" t="s">
        <v>63</v>
      </c>
      <c r="AM134" t="s">
        <v>61</v>
      </c>
      <c r="AN134" t="s">
        <v>64</v>
      </c>
      <c r="AO134" t="s">
        <v>117</v>
      </c>
      <c r="AP134">
        <v>1</v>
      </c>
      <c r="AQ134" t="s">
        <v>66</v>
      </c>
      <c r="AR134" t="s">
        <v>67</v>
      </c>
      <c r="AS134">
        <v>1986</v>
      </c>
      <c r="AT134" t="s">
        <v>49</v>
      </c>
      <c r="AU134" t="s">
        <v>48</v>
      </c>
      <c r="AV134" t="s">
        <v>48</v>
      </c>
      <c r="AW134" t="s">
        <v>48</v>
      </c>
    </row>
    <row r="135" spans="1:49" x14ac:dyDescent="0.3">
      <c r="A135" t="s">
        <v>546</v>
      </c>
      <c r="B135" t="s">
        <v>48</v>
      </c>
      <c r="C135" t="s">
        <v>49</v>
      </c>
      <c r="D135">
        <v>507.52</v>
      </c>
      <c r="E135">
        <v>1</v>
      </c>
      <c r="F135">
        <v>2.4900000000000002</v>
      </c>
      <c r="G135" t="s">
        <v>547</v>
      </c>
      <c r="H135" t="s">
        <v>548</v>
      </c>
      <c r="I135" t="s">
        <v>52</v>
      </c>
      <c r="J135" t="s">
        <v>53</v>
      </c>
      <c r="K135">
        <v>600</v>
      </c>
      <c r="L135" t="s">
        <v>126</v>
      </c>
      <c r="M135">
        <f>DOWNLOAD_2kLRbPnDtawQopEJ_UKtt22ud9U57gk8mqebZIeugNk[[#This Row],[Standard Value]]</f>
        <v>600</v>
      </c>
      <c r="N135">
        <f>-LOG(DOWNLOAD_2kLRbPnDtawQopEJ_UKtt22ud9U57gk8mqebZIeugNk[[#This Row],[IC50]]*POWER(10, -9), 10)</f>
        <v>6.2218487496163553</v>
      </c>
      <c r="O135">
        <v>6.22</v>
      </c>
      <c r="P135" t="s">
        <v>48</v>
      </c>
      <c r="Q135">
        <v>302798</v>
      </c>
      <c r="R135" t="s">
        <v>127</v>
      </c>
      <c r="S135">
        <v>12.26</v>
      </c>
      <c r="T135">
        <v>0.23</v>
      </c>
      <c r="U135">
        <v>3.73</v>
      </c>
      <c r="V135">
        <v>5.32</v>
      </c>
      <c r="W135">
        <v>0</v>
      </c>
      <c r="X135" t="s">
        <v>251</v>
      </c>
      <c r="Y135" t="s">
        <v>252</v>
      </c>
      <c r="Z135" t="s">
        <v>58</v>
      </c>
      <c r="AA135" t="s">
        <v>59</v>
      </c>
      <c r="AB135" t="s">
        <v>60</v>
      </c>
      <c r="AC135" t="s">
        <v>61</v>
      </c>
      <c r="AD135" t="s">
        <v>49</v>
      </c>
      <c r="AE135" t="s">
        <v>49</v>
      </c>
      <c r="AF135" t="s">
        <v>49</v>
      </c>
      <c r="AG135" t="s">
        <v>49</v>
      </c>
      <c r="AH135" t="s">
        <v>48</v>
      </c>
      <c r="AI135" t="s">
        <v>48</v>
      </c>
      <c r="AJ135" t="s">
        <v>48</v>
      </c>
      <c r="AK135" t="s">
        <v>62</v>
      </c>
      <c r="AL135" t="s">
        <v>63</v>
      </c>
      <c r="AM135" t="s">
        <v>61</v>
      </c>
      <c r="AN135" t="s">
        <v>64</v>
      </c>
      <c r="AO135" t="s">
        <v>253</v>
      </c>
      <c r="AP135">
        <v>37</v>
      </c>
      <c r="AQ135" t="s">
        <v>254</v>
      </c>
      <c r="AR135" t="s">
        <v>48</v>
      </c>
      <c r="AS135">
        <v>2015</v>
      </c>
      <c r="AT135" t="s">
        <v>49</v>
      </c>
      <c r="AU135" t="s">
        <v>48</v>
      </c>
      <c r="AV135" t="s">
        <v>48</v>
      </c>
      <c r="AW135" t="s">
        <v>48</v>
      </c>
    </row>
    <row r="136" spans="1:49" x14ac:dyDescent="0.3">
      <c r="A136" t="s">
        <v>549</v>
      </c>
      <c r="B136" t="s">
        <v>48</v>
      </c>
      <c r="C136" t="s">
        <v>49</v>
      </c>
      <c r="D136">
        <v>448.86</v>
      </c>
      <c r="E136">
        <v>0</v>
      </c>
      <c r="F136">
        <v>1.52</v>
      </c>
      <c r="G136" t="s">
        <v>550</v>
      </c>
      <c r="H136" t="s">
        <v>551</v>
      </c>
      <c r="I136" t="s">
        <v>52</v>
      </c>
      <c r="J136" t="s">
        <v>53</v>
      </c>
      <c r="K136">
        <v>1700</v>
      </c>
      <c r="L136" t="s">
        <v>126</v>
      </c>
      <c r="M136">
        <f>DOWNLOAD_2kLRbPnDtawQopEJ_UKtt22ud9U57gk8mqebZIeugNk[[#This Row],[Standard Value]]</f>
        <v>1700</v>
      </c>
      <c r="N136">
        <f>-LOG(DOWNLOAD_2kLRbPnDtawQopEJ_UKtt22ud9U57gk8mqebZIeugNk[[#This Row],[IC50]]*POWER(10, -9), 10)</f>
        <v>5.769551078621725</v>
      </c>
      <c r="O136">
        <v>5.77</v>
      </c>
      <c r="P136" t="s">
        <v>48</v>
      </c>
      <c r="Q136">
        <v>302815</v>
      </c>
      <c r="R136" t="s">
        <v>127</v>
      </c>
      <c r="S136">
        <v>12.85</v>
      </c>
      <c r="T136">
        <v>0.25</v>
      </c>
      <c r="U136">
        <v>4.25</v>
      </c>
      <c r="V136">
        <v>4.6900000000000004</v>
      </c>
      <c r="W136">
        <v>0</v>
      </c>
      <c r="X136" t="s">
        <v>251</v>
      </c>
      <c r="Y136" t="s">
        <v>252</v>
      </c>
      <c r="Z136" t="s">
        <v>58</v>
      </c>
      <c r="AA136" t="s">
        <v>59</v>
      </c>
      <c r="AB136" t="s">
        <v>60</v>
      </c>
      <c r="AC136" t="s">
        <v>61</v>
      </c>
      <c r="AD136" t="s">
        <v>49</v>
      </c>
      <c r="AE136" t="s">
        <v>49</v>
      </c>
      <c r="AF136" t="s">
        <v>49</v>
      </c>
      <c r="AG136" t="s">
        <v>49</v>
      </c>
      <c r="AH136" t="s">
        <v>48</v>
      </c>
      <c r="AI136" t="s">
        <v>48</v>
      </c>
      <c r="AJ136" t="s">
        <v>48</v>
      </c>
      <c r="AK136" t="s">
        <v>62</v>
      </c>
      <c r="AL136" t="s">
        <v>63</v>
      </c>
      <c r="AM136" t="s">
        <v>61</v>
      </c>
      <c r="AN136" t="s">
        <v>64</v>
      </c>
      <c r="AO136" t="s">
        <v>253</v>
      </c>
      <c r="AP136">
        <v>37</v>
      </c>
      <c r="AQ136" t="s">
        <v>254</v>
      </c>
      <c r="AR136" t="s">
        <v>48</v>
      </c>
      <c r="AS136">
        <v>2015</v>
      </c>
      <c r="AT136" t="s">
        <v>49</v>
      </c>
      <c r="AU136" t="s">
        <v>48</v>
      </c>
      <c r="AV136" t="s">
        <v>48</v>
      </c>
      <c r="AW136" t="s">
        <v>48</v>
      </c>
    </row>
    <row r="137" spans="1:49" x14ac:dyDescent="0.3">
      <c r="A137" t="s">
        <v>552</v>
      </c>
      <c r="B137" t="s">
        <v>48</v>
      </c>
      <c r="C137" t="s">
        <v>49</v>
      </c>
      <c r="D137">
        <v>494.48</v>
      </c>
      <c r="E137">
        <v>0</v>
      </c>
      <c r="F137">
        <v>2.44</v>
      </c>
      <c r="G137" t="s">
        <v>553</v>
      </c>
      <c r="H137" t="s">
        <v>554</v>
      </c>
      <c r="I137" t="s">
        <v>52</v>
      </c>
      <c r="J137" t="s">
        <v>53</v>
      </c>
      <c r="K137">
        <v>2400</v>
      </c>
      <c r="L137" t="s">
        <v>126</v>
      </c>
      <c r="M137">
        <f>DOWNLOAD_2kLRbPnDtawQopEJ_UKtt22ud9U57gk8mqebZIeugNk[[#This Row],[Standard Value]]</f>
        <v>2400</v>
      </c>
      <c r="N137">
        <f>-LOG(DOWNLOAD_2kLRbPnDtawQopEJ_UKtt22ud9U57gk8mqebZIeugNk[[#This Row],[IC50]]*POWER(10, -9), 10)</f>
        <v>5.6197887582883927</v>
      </c>
      <c r="O137">
        <v>5.62</v>
      </c>
      <c r="P137" t="s">
        <v>48</v>
      </c>
      <c r="Q137">
        <v>302818</v>
      </c>
      <c r="R137" t="s">
        <v>127</v>
      </c>
      <c r="S137">
        <v>11.37</v>
      </c>
      <c r="T137">
        <v>0.21</v>
      </c>
      <c r="U137">
        <v>3.18</v>
      </c>
      <c r="V137">
        <v>4.57</v>
      </c>
      <c r="W137">
        <v>0</v>
      </c>
      <c r="X137" t="s">
        <v>251</v>
      </c>
      <c r="Y137" t="s">
        <v>252</v>
      </c>
      <c r="Z137" t="s">
        <v>58</v>
      </c>
      <c r="AA137" t="s">
        <v>59</v>
      </c>
      <c r="AB137" t="s">
        <v>60</v>
      </c>
      <c r="AC137" t="s">
        <v>61</v>
      </c>
      <c r="AD137" t="s">
        <v>49</v>
      </c>
      <c r="AE137" t="s">
        <v>49</v>
      </c>
      <c r="AF137" t="s">
        <v>49</v>
      </c>
      <c r="AG137" t="s">
        <v>49</v>
      </c>
      <c r="AH137" t="s">
        <v>48</v>
      </c>
      <c r="AI137" t="s">
        <v>48</v>
      </c>
      <c r="AJ137" t="s">
        <v>48</v>
      </c>
      <c r="AK137" t="s">
        <v>62</v>
      </c>
      <c r="AL137" t="s">
        <v>63</v>
      </c>
      <c r="AM137" t="s">
        <v>61</v>
      </c>
      <c r="AN137" t="s">
        <v>64</v>
      </c>
      <c r="AO137" t="s">
        <v>253</v>
      </c>
      <c r="AP137">
        <v>37</v>
      </c>
      <c r="AQ137" t="s">
        <v>254</v>
      </c>
      <c r="AR137" t="s">
        <v>48</v>
      </c>
      <c r="AS137">
        <v>2015</v>
      </c>
      <c r="AT137" t="s">
        <v>49</v>
      </c>
      <c r="AU137" t="s">
        <v>48</v>
      </c>
      <c r="AV137" t="s">
        <v>48</v>
      </c>
      <c r="AW137" t="s">
        <v>48</v>
      </c>
    </row>
    <row r="138" spans="1:49" x14ac:dyDescent="0.3">
      <c r="A138" t="s">
        <v>555</v>
      </c>
      <c r="B138" t="s">
        <v>48</v>
      </c>
      <c r="C138" t="s">
        <v>49</v>
      </c>
      <c r="D138">
        <v>565.99</v>
      </c>
      <c r="E138">
        <v>1</v>
      </c>
      <c r="F138">
        <v>3.08</v>
      </c>
      <c r="G138" t="s">
        <v>50</v>
      </c>
      <c r="H138" t="s">
        <v>556</v>
      </c>
      <c r="I138" t="s">
        <v>52</v>
      </c>
      <c r="J138" t="s">
        <v>53</v>
      </c>
      <c r="K138">
        <v>6020</v>
      </c>
      <c r="L138" t="s">
        <v>126</v>
      </c>
      <c r="M138">
        <f>DOWNLOAD_2kLRbPnDtawQopEJ_UKtt22ud9U57gk8mqebZIeugNk[[#This Row],[Standard Value]]</f>
        <v>6020</v>
      </c>
      <c r="N138">
        <f>-LOG(DOWNLOAD_2kLRbPnDtawQopEJ_UKtt22ud9U57gk8mqebZIeugNk[[#This Row],[IC50]]*POWER(10, -9), 10)</f>
        <v>5.2204035087421747</v>
      </c>
      <c r="O138">
        <v>5.22</v>
      </c>
      <c r="P138" t="s">
        <v>48</v>
      </c>
      <c r="R138" t="s">
        <v>127</v>
      </c>
      <c r="S138">
        <v>9.84</v>
      </c>
      <c r="T138">
        <v>0.18</v>
      </c>
      <c r="U138">
        <v>2.14</v>
      </c>
      <c r="V138">
        <v>4.5199999999999996</v>
      </c>
      <c r="W138">
        <v>0</v>
      </c>
      <c r="X138" t="s">
        <v>557</v>
      </c>
      <c r="Y138" t="s">
        <v>558</v>
      </c>
      <c r="Z138" t="s">
        <v>58</v>
      </c>
      <c r="AA138" t="s">
        <v>59</v>
      </c>
      <c r="AB138" t="s">
        <v>60</v>
      </c>
      <c r="AC138" t="s">
        <v>61</v>
      </c>
      <c r="AD138" t="s">
        <v>49</v>
      </c>
      <c r="AE138" t="s">
        <v>49</v>
      </c>
      <c r="AF138" t="s">
        <v>49</v>
      </c>
      <c r="AG138" t="s">
        <v>49</v>
      </c>
      <c r="AH138" t="s">
        <v>48</v>
      </c>
      <c r="AI138" t="s">
        <v>48</v>
      </c>
      <c r="AJ138" t="s">
        <v>48</v>
      </c>
      <c r="AK138" t="s">
        <v>62</v>
      </c>
      <c r="AL138" t="s">
        <v>63</v>
      </c>
      <c r="AM138" t="s">
        <v>61</v>
      </c>
      <c r="AN138" t="s">
        <v>64</v>
      </c>
      <c r="AO138" t="s">
        <v>559</v>
      </c>
      <c r="AP138">
        <v>1</v>
      </c>
      <c r="AQ138" t="s">
        <v>66</v>
      </c>
      <c r="AR138" t="s">
        <v>131</v>
      </c>
      <c r="AS138">
        <v>2019</v>
      </c>
      <c r="AT138" t="s">
        <v>49</v>
      </c>
      <c r="AU138" t="s">
        <v>48</v>
      </c>
      <c r="AV138" t="s">
        <v>48</v>
      </c>
      <c r="AW138" t="s">
        <v>48</v>
      </c>
    </row>
    <row r="139" spans="1:49" x14ac:dyDescent="0.3">
      <c r="A139" t="s">
        <v>560</v>
      </c>
      <c r="B139" t="s">
        <v>48</v>
      </c>
      <c r="C139" t="s">
        <v>49</v>
      </c>
      <c r="D139">
        <v>406.87</v>
      </c>
      <c r="E139">
        <v>0</v>
      </c>
      <c r="F139">
        <v>4.75</v>
      </c>
      <c r="G139" t="s">
        <v>561</v>
      </c>
      <c r="H139" t="s">
        <v>562</v>
      </c>
      <c r="I139" t="s">
        <v>52</v>
      </c>
      <c r="J139" t="s">
        <v>53</v>
      </c>
      <c r="K139">
        <v>160</v>
      </c>
      <c r="L139" t="s">
        <v>126</v>
      </c>
      <c r="M139">
        <f>DOWNLOAD_2kLRbPnDtawQopEJ_UKtt22ud9U57gk8mqebZIeugNk[[#This Row],[Standard Value]]</f>
        <v>160</v>
      </c>
      <c r="N139">
        <f>-LOG(DOWNLOAD_2kLRbPnDtawQopEJ_UKtt22ud9U57gk8mqebZIeugNk[[#This Row],[IC50]]*POWER(10, -9), 10)</f>
        <v>6.7958800173440741</v>
      </c>
      <c r="O139">
        <v>6.8</v>
      </c>
      <c r="P139" t="s">
        <v>48</v>
      </c>
      <c r="R139" t="s">
        <v>127</v>
      </c>
      <c r="S139">
        <v>16.7</v>
      </c>
      <c r="T139">
        <v>0.32</v>
      </c>
      <c r="U139">
        <v>2.0499999999999998</v>
      </c>
      <c r="V139">
        <v>6.99</v>
      </c>
      <c r="W139">
        <v>0</v>
      </c>
      <c r="X139" t="s">
        <v>563</v>
      </c>
      <c r="Y139" t="s">
        <v>564</v>
      </c>
      <c r="Z139" t="s">
        <v>58</v>
      </c>
      <c r="AA139" t="s">
        <v>59</v>
      </c>
      <c r="AB139" t="s">
        <v>60</v>
      </c>
      <c r="AC139" t="s">
        <v>61</v>
      </c>
      <c r="AD139" t="s">
        <v>49</v>
      </c>
      <c r="AE139" t="s">
        <v>49</v>
      </c>
      <c r="AF139" t="s">
        <v>49</v>
      </c>
      <c r="AG139" t="s">
        <v>49</v>
      </c>
      <c r="AH139" t="s">
        <v>48</v>
      </c>
      <c r="AI139" t="s">
        <v>48</v>
      </c>
      <c r="AJ139" t="s">
        <v>48</v>
      </c>
      <c r="AK139" t="s">
        <v>62</v>
      </c>
      <c r="AL139" t="s">
        <v>63</v>
      </c>
      <c r="AM139" t="s">
        <v>61</v>
      </c>
      <c r="AN139" t="s">
        <v>64</v>
      </c>
      <c r="AO139" t="s">
        <v>565</v>
      </c>
      <c r="AP139">
        <v>1</v>
      </c>
      <c r="AQ139" t="s">
        <v>66</v>
      </c>
      <c r="AR139" t="s">
        <v>76</v>
      </c>
      <c r="AS139">
        <v>2019</v>
      </c>
      <c r="AT139" t="s">
        <v>49</v>
      </c>
      <c r="AU139" t="s">
        <v>48</v>
      </c>
      <c r="AV139" t="s">
        <v>48</v>
      </c>
      <c r="AW139" t="s">
        <v>48</v>
      </c>
    </row>
    <row r="140" spans="1:49" x14ac:dyDescent="0.3">
      <c r="A140" t="s">
        <v>566</v>
      </c>
      <c r="B140" t="s">
        <v>48</v>
      </c>
      <c r="C140" t="s">
        <v>49</v>
      </c>
      <c r="D140">
        <v>467.51</v>
      </c>
      <c r="E140">
        <v>0</v>
      </c>
      <c r="F140">
        <v>1.33</v>
      </c>
      <c r="G140" t="s">
        <v>567</v>
      </c>
      <c r="H140" t="s">
        <v>568</v>
      </c>
      <c r="I140" t="s">
        <v>52</v>
      </c>
      <c r="J140" t="s">
        <v>53</v>
      </c>
      <c r="K140">
        <v>20</v>
      </c>
      <c r="L140" t="s">
        <v>126</v>
      </c>
      <c r="M140">
        <f>DOWNLOAD_2kLRbPnDtawQopEJ_UKtt22ud9U57gk8mqebZIeugNk[[#This Row],[Standard Value]]</f>
        <v>20</v>
      </c>
      <c r="N140">
        <f>-LOG(DOWNLOAD_2kLRbPnDtawQopEJ_UKtt22ud9U57gk8mqebZIeugNk[[#This Row],[IC50]]*POWER(10, -9), 10)</f>
        <v>7.6989700043360179</v>
      </c>
      <c r="O140">
        <v>7.7</v>
      </c>
      <c r="P140" t="s">
        <v>48</v>
      </c>
      <c r="R140" t="s">
        <v>127</v>
      </c>
      <c r="S140">
        <v>16.47</v>
      </c>
      <c r="T140">
        <v>0.31</v>
      </c>
      <c r="U140">
        <v>6.37</v>
      </c>
      <c r="V140">
        <v>5.62</v>
      </c>
      <c r="W140">
        <v>0</v>
      </c>
      <c r="X140" t="s">
        <v>569</v>
      </c>
      <c r="Y140" t="s">
        <v>570</v>
      </c>
      <c r="Z140" t="s">
        <v>58</v>
      </c>
      <c r="AA140" t="s">
        <v>59</v>
      </c>
      <c r="AB140" t="s">
        <v>60</v>
      </c>
      <c r="AC140" t="s">
        <v>61</v>
      </c>
      <c r="AD140" t="s">
        <v>49</v>
      </c>
      <c r="AE140" t="s">
        <v>49</v>
      </c>
      <c r="AF140" t="s">
        <v>49</v>
      </c>
      <c r="AG140" t="s">
        <v>49</v>
      </c>
      <c r="AH140" t="s">
        <v>48</v>
      </c>
      <c r="AI140" t="s">
        <v>48</v>
      </c>
      <c r="AJ140" t="s">
        <v>48</v>
      </c>
      <c r="AK140" t="s">
        <v>62</v>
      </c>
      <c r="AL140" t="s">
        <v>63</v>
      </c>
      <c r="AM140" t="s">
        <v>61</v>
      </c>
      <c r="AN140" t="s">
        <v>64</v>
      </c>
      <c r="AO140" t="s">
        <v>571</v>
      </c>
      <c r="AP140">
        <v>1</v>
      </c>
      <c r="AQ140" t="s">
        <v>66</v>
      </c>
      <c r="AR140" t="s">
        <v>67</v>
      </c>
      <c r="AS140">
        <v>2019</v>
      </c>
      <c r="AT140" t="s">
        <v>49</v>
      </c>
      <c r="AU140" t="s">
        <v>48</v>
      </c>
      <c r="AV140" t="s">
        <v>48</v>
      </c>
      <c r="AW140" t="s">
        <v>48</v>
      </c>
    </row>
    <row r="141" spans="1:49" x14ac:dyDescent="0.3">
      <c r="A141" t="s">
        <v>572</v>
      </c>
      <c r="B141" t="s">
        <v>48</v>
      </c>
      <c r="C141" t="s">
        <v>49</v>
      </c>
      <c r="D141">
        <v>449.34</v>
      </c>
      <c r="E141">
        <v>0</v>
      </c>
      <c r="F141">
        <v>4.99</v>
      </c>
      <c r="G141" t="s">
        <v>573</v>
      </c>
      <c r="H141" t="s">
        <v>574</v>
      </c>
      <c r="I141" t="s">
        <v>52</v>
      </c>
      <c r="J141" t="s">
        <v>53</v>
      </c>
      <c r="K141">
        <v>64</v>
      </c>
      <c r="L141" t="s">
        <v>54</v>
      </c>
      <c r="M141">
        <f>DOWNLOAD_2kLRbPnDtawQopEJ_UKtt22ud9U57gk8mqebZIeugNk[[#This Row],[Standard Value]]/DOWNLOAD_2kLRbPnDtawQopEJ_UKtt22ud9U57gk8mqebZIeugNk[[#This Row],[Molecular Weight]]*1000*1000</f>
        <v>142431.12119998218</v>
      </c>
      <c r="N141">
        <f>-LOG(DOWNLOAD_2kLRbPnDtawQopEJ_UKtt22ud9U57gk8mqebZIeugNk[[#This Row],[IC50]]*POWER(10, -9), 10)</f>
        <v>3.8463951069862583</v>
      </c>
      <c r="P141" t="s">
        <v>72</v>
      </c>
      <c r="R141" t="s">
        <v>55</v>
      </c>
      <c r="W141">
        <v>0</v>
      </c>
      <c r="X141" t="s">
        <v>121</v>
      </c>
      <c r="Y141" t="s">
        <v>87</v>
      </c>
      <c r="Z141" t="s">
        <v>58</v>
      </c>
      <c r="AA141" t="s">
        <v>59</v>
      </c>
      <c r="AB141" t="s">
        <v>60</v>
      </c>
      <c r="AC141" t="s">
        <v>61</v>
      </c>
      <c r="AD141" t="s">
        <v>49</v>
      </c>
      <c r="AE141" t="s">
        <v>49</v>
      </c>
      <c r="AF141" t="s">
        <v>49</v>
      </c>
      <c r="AG141" t="s">
        <v>49</v>
      </c>
      <c r="AH141" t="s">
        <v>48</v>
      </c>
      <c r="AI141" t="s">
        <v>48</v>
      </c>
      <c r="AJ141" t="s">
        <v>48</v>
      </c>
      <c r="AK141" t="s">
        <v>62</v>
      </c>
      <c r="AL141" t="s">
        <v>63</v>
      </c>
      <c r="AM141" t="s">
        <v>61</v>
      </c>
      <c r="AN141" t="s">
        <v>64</v>
      </c>
      <c r="AO141" t="s">
        <v>122</v>
      </c>
      <c r="AP141">
        <v>1</v>
      </c>
      <c r="AQ141" t="s">
        <v>66</v>
      </c>
      <c r="AR141" t="s">
        <v>76</v>
      </c>
      <c r="AS141">
        <v>2004</v>
      </c>
      <c r="AT141" t="s">
        <v>49</v>
      </c>
      <c r="AU141" t="s">
        <v>48</v>
      </c>
      <c r="AV141" t="s">
        <v>48</v>
      </c>
      <c r="AW141" t="s">
        <v>48</v>
      </c>
    </row>
    <row r="142" spans="1:49" x14ac:dyDescent="0.3">
      <c r="A142" t="s">
        <v>575</v>
      </c>
      <c r="B142" t="s">
        <v>48</v>
      </c>
      <c r="C142" t="s">
        <v>49</v>
      </c>
      <c r="D142">
        <v>381.48</v>
      </c>
      <c r="E142">
        <v>0</v>
      </c>
      <c r="F142">
        <v>4.72</v>
      </c>
      <c r="G142" t="s">
        <v>271</v>
      </c>
      <c r="H142" t="s">
        <v>576</v>
      </c>
      <c r="I142" t="s">
        <v>52</v>
      </c>
      <c r="J142" t="s">
        <v>53</v>
      </c>
      <c r="K142">
        <v>32</v>
      </c>
      <c r="L142" t="s">
        <v>54</v>
      </c>
      <c r="M142">
        <f>DOWNLOAD_2kLRbPnDtawQopEJ_UKtt22ud9U57gk8mqebZIeugNk[[#This Row],[Standard Value]]/DOWNLOAD_2kLRbPnDtawQopEJ_UKtt22ud9U57gk8mqebZIeugNk[[#This Row],[Molecular Weight]]*1000*1000</f>
        <v>83883.820908042369</v>
      </c>
      <c r="N142">
        <f>-LOG(DOWNLOAD_2kLRbPnDtawQopEJ_UKtt22ud9U57gk8mqebZIeugNk[[#This Row],[IC50]]*POWER(10, -9), 10)</f>
        <v>4.0763217956424915</v>
      </c>
      <c r="P142" t="s">
        <v>48</v>
      </c>
      <c r="R142" t="s">
        <v>55</v>
      </c>
      <c r="W142">
        <v>0</v>
      </c>
      <c r="X142" t="s">
        <v>121</v>
      </c>
      <c r="Y142" t="s">
        <v>87</v>
      </c>
      <c r="Z142" t="s">
        <v>58</v>
      </c>
      <c r="AA142" t="s">
        <v>59</v>
      </c>
      <c r="AB142" t="s">
        <v>60</v>
      </c>
      <c r="AC142" t="s">
        <v>61</v>
      </c>
      <c r="AD142" t="s">
        <v>49</v>
      </c>
      <c r="AE142" t="s">
        <v>49</v>
      </c>
      <c r="AF142" t="s">
        <v>49</v>
      </c>
      <c r="AG142" t="s">
        <v>49</v>
      </c>
      <c r="AH142" t="s">
        <v>48</v>
      </c>
      <c r="AI142" t="s">
        <v>48</v>
      </c>
      <c r="AJ142" t="s">
        <v>48</v>
      </c>
      <c r="AK142" t="s">
        <v>62</v>
      </c>
      <c r="AL142" t="s">
        <v>63</v>
      </c>
      <c r="AM142" t="s">
        <v>61</v>
      </c>
      <c r="AN142" t="s">
        <v>64</v>
      </c>
      <c r="AO142" t="s">
        <v>122</v>
      </c>
      <c r="AP142">
        <v>1</v>
      </c>
      <c r="AQ142" t="s">
        <v>66</v>
      </c>
      <c r="AR142" t="s">
        <v>76</v>
      </c>
      <c r="AS142">
        <v>2004</v>
      </c>
      <c r="AT142" t="s">
        <v>49</v>
      </c>
      <c r="AU142" t="s">
        <v>48</v>
      </c>
      <c r="AV142" t="s">
        <v>48</v>
      </c>
      <c r="AW142" t="s">
        <v>48</v>
      </c>
    </row>
    <row r="143" spans="1:49" x14ac:dyDescent="0.3">
      <c r="A143" t="s">
        <v>577</v>
      </c>
      <c r="B143" t="s">
        <v>48</v>
      </c>
      <c r="C143" t="s">
        <v>49</v>
      </c>
      <c r="D143">
        <v>522.49</v>
      </c>
      <c r="E143">
        <v>1</v>
      </c>
      <c r="F143">
        <v>1.18</v>
      </c>
      <c r="G143" t="s">
        <v>578</v>
      </c>
      <c r="H143" t="s">
        <v>579</v>
      </c>
      <c r="I143" t="s">
        <v>52</v>
      </c>
      <c r="J143" t="s">
        <v>53</v>
      </c>
      <c r="K143">
        <v>1200</v>
      </c>
      <c r="L143" t="s">
        <v>126</v>
      </c>
      <c r="M143">
        <f>DOWNLOAD_2kLRbPnDtawQopEJ_UKtt22ud9U57gk8mqebZIeugNk[[#This Row],[Standard Value]]</f>
        <v>1200</v>
      </c>
      <c r="N143">
        <f>-LOG(DOWNLOAD_2kLRbPnDtawQopEJ_UKtt22ud9U57gk8mqebZIeugNk[[#This Row],[IC50]]*POWER(10, -9), 10)</f>
        <v>5.920818753952374</v>
      </c>
      <c r="O143">
        <v>5.92</v>
      </c>
      <c r="P143" t="s">
        <v>48</v>
      </c>
      <c r="Q143">
        <v>302932</v>
      </c>
      <c r="R143" t="s">
        <v>127</v>
      </c>
      <c r="S143">
        <v>11.33</v>
      </c>
      <c r="T143">
        <v>0.21</v>
      </c>
      <c r="U143">
        <v>4.74</v>
      </c>
      <c r="V143">
        <v>3.8</v>
      </c>
      <c r="W143">
        <v>0</v>
      </c>
      <c r="X143" t="s">
        <v>251</v>
      </c>
      <c r="Y143" t="s">
        <v>252</v>
      </c>
      <c r="Z143" t="s">
        <v>58</v>
      </c>
      <c r="AA143" t="s">
        <v>59</v>
      </c>
      <c r="AB143" t="s">
        <v>60</v>
      </c>
      <c r="AC143" t="s">
        <v>61</v>
      </c>
      <c r="AD143" t="s">
        <v>49</v>
      </c>
      <c r="AE143" t="s">
        <v>49</v>
      </c>
      <c r="AF143" t="s">
        <v>49</v>
      </c>
      <c r="AG143" t="s">
        <v>49</v>
      </c>
      <c r="AH143" t="s">
        <v>48</v>
      </c>
      <c r="AI143" t="s">
        <v>48</v>
      </c>
      <c r="AJ143" t="s">
        <v>48</v>
      </c>
      <c r="AK143" t="s">
        <v>62</v>
      </c>
      <c r="AL143" t="s">
        <v>63</v>
      </c>
      <c r="AM143" t="s">
        <v>61</v>
      </c>
      <c r="AN143" t="s">
        <v>64</v>
      </c>
      <c r="AO143" t="s">
        <v>253</v>
      </c>
      <c r="AP143">
        <v>37</v>
      </c>
      <c r="AQ143" t="s">
        <v>254</v>
      </c>
      <c r="AR143" t="s">
        <v>48</v>
      </c>
      <c r="AS143">
        <v>2015</v>
      </c>
      <c r="AT143" t="s">
        <v>49</v>
      </c>
      <c r="AU143" t="s">
        <v>48</v>
      </c>
      <c r="AV143" t="s">
        <v>48</v>
      </c>
      <c r="AW143" t="s">
        <v>48</v>
      </c>
    </row>
    <row r="144" spans="1:49" x14ac:dyDescent="0.3">
      <c r="A144" t="s">
        <v>580</v>
      </c>
      <c r="B144" t="s">
        <v>48</v>
      </c>
      <c r="C144" t="s">
        <v>49</v>
      </c>
      <c r="D144">
        <v>527.54999999999995</v>
      </c>
      <c r="E144">
        <v>1</v>
      </c>
      <c r="F144">
        <v>2.17</v>
      </c>
      <c r="G144" t="s">
        <v>581</v>
      </c>
      <c r="H144" t="s">
        <v>582</v>
      </c>
      <c r="I144" t="s">
        <v>52</v>
      </c>
      <c r="J144" t="s">
        <v>53</v>
      </c>
      <c r="K144">
        <v>1500</v>
      </c>
      <c r="L144" t="s">
        <v>126</v>
      </c>
      <c r="M144">
        <f>DOWNLOAD_2kLRbPnDtawQopEJ_UKtt22ud9U57gk8mqebZIeugNk[[#This Row],[Standard Value]]</f>
        <v>1500</v>
      </c>
      <c r="N144">
        <f>-LOG(DOWNLOAD_2kLRbPnDtawQopEJ_UKtt22ud9U57gk8mqebZIeugNk[[#This Row],[IC50]]*POWER(10, -9), 10)</f>
        <v>5.8239087409443187</v>
      </c>
      <c r="O144">
        <v>5.82</v>
      </c>
      <c r="P144" t="s">
        <v>48</v>
      </c>
      <c r="Q144">
        <v>302933</v>
      </c>
      <c r="R144" t="s">
        <v>127</v>
      </c>
      <c r="S144">
        <v>11.04</v>
      </c>
      <c r="T144">
        <v>0.21</v>
      </c>
      <c r="U144">
        <v>3.65</v>
      </c>
      <c r="V144">
        <v>4.08</v>
      </c>
      <c r="W144">
        <v>0</v>
      </c>
      <c r="X144" t="s">
        <v>251</v>
      </c>
      <c r="Y144" t="s">
        <v>252</v>
      </c>
      <c r="Z144" t="s">
        <v>58</v>
      </c>
      <c r="AA144" t="s">
        <v>59</v>
      </c>
      <c r="AB144" t="s">
        <v>60</v>
      </c>
      <c r="AC144" t="s">
        <v>61</v>
      </c>
      <c r="AD144" t="s">
        <v>49</v>
      </c>
      <c r="AE144" t="s">
        <v>49</v>
      </c>
      <c r="AF144" t="s">
        <v>49</v>
      </c>
      <c r="AG144" t="s">
        <v>49</v>
      </c>
      <c r="AH144" t="s">
        <v>48</v>
      </c>
      <c r="AI144" t="s">
        <v>48</v>
      </c>
      <c r="AJ144" t="s">
        <v>48</v>
      </c>
      <c r="AK144" t="s">
        <v>62</v>
      </c>
      <c r="AL144" t="s">
        <v>63</v>
      </c>
      <c r="AM144" t="s">
        <v>61</v>
      </c>
      <c r="AN144" t="s">
        <v>64</v>
      </c>
      <c r="AO144" t="s">
        <v>253</v>
      </c>
      <c r="AP144">
        <v>37</v>
      </c>
      <c r="AQ144" t="s">
        <v>254</v>
      </c>
      <c r="AR144" t="s">
        <v>48</v>
      </c>
      <c r="AS144">
        <v>2015</v>
      </c>
      <c r="AT144" t="s">
        <v>49</v>
      </c>
      <c r="AU144" t="s">
        <v>48</v>
      </c>
      <c r="AV144" t="s">
        <v>48</v>
      </c>
      <c r="AW144" t="s">
        <v>48</v>
      </c>
    </row>
    <row r="145" spans="1:49" x14ac:dyDescent="0.3">
      <c r="A145" t="s">
        <v>522</v>
      </c>
      <c r="B145" t="s">
        <v>48</v>
      </c>
      <c r="C145" t="s">
        <v>49</v>
      </c>
      <c r="D145">
        <v>426.95</v>
      </c>
      <c r="E145">
        <v>0</v>
      </c>
      <c r="F145">
        <v>4.55</v>
      </c>
      <c r="G145" t="s">
        <v>583</v>
      </c>
      <c r="H145" t="s">
        <v>524</v>
      </c>
      <c r="I145" t="s">
        <v>52</v>
      </c>
      <c r="J145" t="s">
        <v>53</v>
      </c>
      <c r="K145">
        <v>1</v>
      </c>
      <c r="L145" t="s">
        <v>54</v>
      </c>
      <c r="M145">
        <f>DOWNLOAD_2kLRbPnDtawQopEJ_UKtt22ud9U57gk8mqebZIeugNk[[#This Row],[Standard Value]]/DOWNLOAD_2kLRbPnDtawQopEJ_UKtt22ud9U57gk8mqebZIeugNk[[#This Row],[Molecular Weight]]*1000*1000</f>
        <v>2342.1946363742827</v>
      </c>
      <c r="N145">
        <f>-LOG(DOWNLOAD_2kLRbPnDtawQopEJ_UKtt22ud9U57gk8mqebZIeugNk[[#This Row],[IC50]]*POWER(10, -9), 10)</f>
        <v>5.6303770178925916</v>
      </c>
      <c r="P145" t="s">
        <v>48</v>
      </c>
      <c r="R145" t="s">
        <v>55</v>
      </c>
      <c r="W145">
        <v>0</v>
      </c>
      <c r="X145" t="s">
        <v>121</v>
      </c>
      <c r="Y145" t="s">
        <v>87</v>
      </c>
      <c r="Z145" t="s">
        <v>58</v>
      </c>
      <c r="AA145" t="s">
        <v>59</v>
      </c>
      <c r="AB145" t="s">
        <v>60</v>
      </c>
      <c r="AC145" t="s">
        <v>61</v>
      </c>
      <c r="AD145" t="s">
        <v>49</v>
      </c>
      <c r="AE145" t="s">
        <v>49</v>
      </c>
      <c r="AF145" t="s">
        <v>49</v>
      </c>
      <c r="AG145" t="s">
        <v>49</v>
      </c>
      <c r="AH145" t="s">
        <v>48</v>
      </c>
      <c r="AI145" t="s">
        <v>48</v>
      </c>
      <c r="AJ145" t="s">
        <v>48</v>
      </c>
      <c r="AK145" t="s">
        <v>62</v>
      </c>
      <c r="AL145" t="s">
        <v>63</v>
      </c>
      <c r="AM145" t="s">
        <v>61</v>
      </c>
      <c r="AN145" t="s">
        <v>64</v>
      </c>
      <c r="AO145" t="s">
        <v>122</v>
      </c>
      <c r="AP145">
        <v>1</v>
      </c>
      <c r="AQ145" t="s">
        <v>66</v>
      </c>
      <c r="AR145" t="s">
        <v>76</v>
      </c>
      <c r="AS145">
        <v>2004</v>
      </c>
      <c r="AT145" t="s">
        <v>49</v>
      </c>
      <c r="AU145" t="s">
        <v>48</v>
      </c>
      <c r="AV145" t="s">
        <v>48</v>
      </c>
      <c r="AW145" t="s">
        <v>48</v>
      </c>
    </row>
    <row r="146" spans="1:49" x14ac:dyDescent="0.3">
      <c r="A146" t="s">
        <v>281</v>
      </c>
      <c r="B146" t="s">
        <v>282</v>
      </c>
      <c r="C146" t="s">
        <v>112</v>
      </c>
      <c r="D146">
        <v>331.35</v>
      </c>
      <c r="E146">
        <v>0</v>
      </c>
      <c r="F146">
        <v>1.58</v>
      </c>
      <c r="G146" t="s">
        <v>584</v>
      </c>
      <c r="H146" t="s">
        <v>284</v>
      </c>
      <c r="I146" t="s">
        <v>52</v>
      </c>
      <c r="J146" t="s">
        <v>53</v>
      </c>
      <c r="K146">
        <v>150</v>
      </c>
      <c r="L146" t="s">
        <v>126</v>
      </c>
      <c r="M146">
        <f>DOWNLOAD_2kLRbPnDtawQopEJ_UKtt22ud9U57gk8mqebZIeugNk[[#This Row],[Standard Value]]</f>
        <v>150</v>
      </c>
      <c r="N146">
        <f>-LOG(DOWNLOAD_2kLRbPnDtawQopEJ_UKtt22ud9U57gk8mqebZIeugNk[[#This Row],[IC50]]*POWER(10, -9), 10)</f>
        <v>6.8239087409443178</v>
      </c>
      <c r="O146">
        <v>6.82</v>
      </c>
      <c r="P146" t="s">
        <v>48</v>
      </c>
      <c r="R146" t="s">
        <v>127</v>
      </c>
      <c r="S146">
        <v>20.59</v>
      </c>
      <c r="T146">
        <v>0.39</v>
      </c>
      <c r="U146">
        <v>5.24</v>
      </c>
      <c r="V146">
        <v>9.15</v>
      </c>
      <c r="W146">
        <v>0</v>
      </c>
      <c r="X146" t="s">
        <v>585</v>
      </c>
      <c r="Y146" t="s">
        <v>586</v>
      </c>
      <c r="Z146" t="s">
        <v>58</v>
      </c>
      <c r="AA146" t="s">
        <v>59</v>
      </c>
      <c r="AB146" t="s">
        <v>60</v>
      </c>
      <c r="AC146" t="s">
        <v>61</v>
      </c>
      <c r="AD146" t="s">
        <v>49</v>
      </c>
      <c r="AE146" t="s">
        <v>49</v>
      </c>
      <c r="AF146" t="s">
        <v>49</v>
      </c>
      <c r="AG146" t="s">
        <v>49</v>
      </c>
      <c r="AH146" t="s">
        <v>48</v>
      </c>
      <c r="AI146" t="s">
        <v>48</v>
      </c>
      <c r="AJ146" t="s">
        <v>48</v>
      </c>
      <c r="AK146" t="s">
        <v>62</v>
      </c>
      <c r="AL146" t="s">
        <v>63</v>
      </c>
      <c r="AM146" t="s">
        <v>61</v>
      </c>
      <c r="AN146" t="s">
        <v>64</v>
      </c>
      <c r="AO146" t="s">
        <v>587</v>
      </c>
      <c r="AP146">
        <v>1</v>
      </c>
      <c r="AQ146" t="s">
        <v>66</v>
      </c>
      <c r="AR146" t="s">
        <v>131</v>
      </c>
      <c r="AS146">
        <v>2015</v>
      </c>
      <c r="AT146" t="s">
        <v>49</v>
      </c>
      <c r="AU146" t="s">
        <v>48</v>
      </c>
      <c r="AV146" t="s">
        <v>48</v>
      </c>
      <c r="AW146" t="s">
        <v>48</v>
      </c>
    </row>
    <row r="147" spans="1:49" x14ac:dyDescent="0.3">
      <c r="A147" t="s">
        <v>588</v>
      </c>
      <c r="B147" t="s">
        <v>48</v>
      </c>
      <c r="C147" t="s">
        <v>49</v>
      </c>
      <c r="D147">
        <v>340.42</v>
      </c>
      <c r="E147">
        <v>1</v>
      </c>
      <c r="F147">
        <v>5.0599999999999996</v>
      </c>
      <c r="G147" t="s">
        <v>186</v>
      </c>
      <c r="H147" t="s">
        <v>589</v>
      </c>
      <c r="I147" t="s">
        <v>52</v>
      </c>
      <c r="J147" t="s">
        <v>71</v>
      </c>
      <c r="K147">
        <v>1000000</v>
      </c>
      <c r="L147" t="s">
        <v>126</v>
      </c>
      <c r="M147">
        <f>DOWNLOAD_2kLRbPnDtawQopEJ_UKtt22ud9U57gk8mqebZIeugNk[[#This Row],[Standard Value]]</f>
        <v>1000000</v>
      </c>
      <c r="N147">
        <f>-LOG(DOWNLOAD_2kLRbPnDtawQopEJ_UKtt22ud9U57gk8mqebZIeugNk[[#This Row],[IC50]]*POWER(10, -9), 10)</f>
        <v>2.9999999999999996</v>
      </c>
      <c r="P147" t="s">
        <v>72</v>
      </c>
      <c r="R147" t="s">
        <v>127</v>
      </c>
      <c r="W147">
        <v>0</v>
      </c>
      <c r="X147" t="s">
        <v>590</v>
      </c>
      <c r="Y147" t="s">
        <v>591</v>
      </c>
      <c r="Z147" t="s">
        <v>58</v>
      </c>
      <c r="AA147" t="s">
        <v>59</v>
      </c>
      <c r="AB147" t="s">
        <v>60</v>
      </c>
      <c r="AC147" t="s">
        <v>61</v>
      </c>
      <c r="AD147" t="s">
        <v>49</v>
      </c>
      <c r="AE147" t="s">
        <v>49</v>
      </c>
      <c r="AF147" t="s">
        <v>49</v>
      </c>
      <c r="AG147" t="s">
        <v>49</v>
      </c>
      <c r="AH147" t="s">
        <v>48</v>
      </c>
      <c r="AI147" t="s">
        <v>48</v>
      </c>
      <c r="AJ147" t="s">
        <v>48</v>
      </c>
      <c r="AK147" t="s">
        <v>62</v>
      </c>
      <c r="AL147" t="s">
        <v>63</v>
      </c>
      <c r="AM147" t="s">
        <v>61</v>
      </c>
      <c r="AN147" t="s">
        <v>64</v>
      </c>
      <c r="AO147" t="s">
        <v>592</v>
      </c>
      <c r="AP147">
        <v>1</v>
      </c>
      <c r="AQ147" t="s">
        <v>66</v>
      </c>
      <c r="AR147" t="s">
        <v>67</v>
      </c>
      <c r="AS147">
        <v>2014</v>
      </c>
      <c r="AT147" t="s">
        <v>49</v>
      </c>
      <c r="AU147" t="s">
        <v>48</v>
      </c>
      <c r="AV147" t="s">
        <v>48</v>
      </c>
      <c r="AW147" t="s">
        <v>48</v>
      </c>
    </row>
    <row r="148" spans="1:49" x14ac:dyDescent="0.3">
      <c r="A148" t="s">
        <v>415</v>
      </c>
      <c r="B148" t="s">
        <v>48</v>
      </c>
      <c r="C148" t="s">
        <v>49</v>
      </c>
      <c r="D148">
        <v>455.41</v>
      </c>
      <c r="E148">
        <v>0</v>
      </c>
      <c r="F148">
        <v>0.44</v>
      </c>
      <c r="G148" t="s">
        <v>416</v>
      </c>
      <c r="H148" t="s">
        <v>417</v>
      </c>
      <c r="I148" t="s">
        <v>52</v>
      </c>
      <c r="J148" t="s">
        <v>53</v>
      </c>
      <c r="K148">
        <v>2800</v>
      </c>
      <c r="L148" t="s">
        <v>126</v>
      </c>
      <c r="M148">
        <f>DOWNLOAD_2kLRbPnDtawQopEJ_UKtt22ud9U57gk8mqebZIeugNk[[#This Row],[Standard Value]]</f>
        <v>2800</v>
      </c>
      <c r="N148">
        <f>-LOG(DOWNLOAD_2kLRbPnDtawQopEJ_UKtt22ud9U57gk8mqebZIeugNk[[#This Row],[IC50]]*POWER(10, -9), 10)</f>
        <v>5.5528419686577806</v>
      </c>
      <c r="O148">
        <v>5.55</v>
      </c>
      <c r="P148" t="s">
        <v>48</v>
      </c>
      <c r="Q148">
        <v>302819</v>
      </c>
      <c r="R148" t="s">
        <v>127</v>
      </c>
      <c r="S148">
        <v>12.19</v>
      </c>
      <c r="T148">
        <v>0.23</v>
      </c>
      <c r="U148">
        <v>5.1100000000000003</v>
      </c>
      <c r="V148">
        <v>3.84</v>
      </c>
      <c r="W148">
        <v>0</v>
      </c>
      <c r="X148" t="s">
        <v>251</v>
      </c>
      <c r="Y148" t="s">
        <v>252</v>
      </c>
      <c r="Z148" t="s">
        <v>58</v>
      </c>
      <c r="AA148" t="s">
        <v>59</v>
      </c>
      <c r="AB148" t="s">
        <v>60</v>
      </c>
      <c r="AC148" t="s">
        <v>61</v>
      </c>
      <c r="AD148" t="s">
        <v>49</v>
      </c>
      <c r="AE148" t="s">
        <v>49</v>
      </c>
      <c r="AF148" t="s">
        <v>49</v>
      </c>
      <c r="AG148" t="s">
        <v>49</v>
      </c>
      <c r="AH148" t="s">
        <v>48</v>
      </c>
      <c r="AI148" t="s">
        <v>48</v>
      </c>
      <c r="AJ148" t="s">
        <v>48</v>
      </c>
      <c r="AK148" t="s">
        <v>62</v>
      </c>
      <c r="AL148" t="s">
        <v>63</v>
      </c>
      <c r="AM148" t="s">
        <v>61</v>
      </c>
      <c r="AN148" t="s">
        <v>64</v>
      </c>
      <c r="AO148" t="s">
        <v>253</v>
      </c>
      <c r="AP148">
        <v>37</v>
      </c>
      <c r="AQ148" t="s">
        <v>254</v>
      </c>
      <c r="AR148" t="s">
        <v>48</v>
      </c>
      <c r="AS148">
        <v>2015</v>
      </c>
      <c r="AT148" t="s">
        <v>49</v>
      </c>
      <c r="AU148" t="s">
        <v>48</v>
      </c>
      <c r="AV148" t="s">
        <v>48</v>
      </c>
      <c r="AW148" t="s">
        <v>48</v>
      </c>
    </row>
    <row r="149" spans="1:49" x14ac:dyDescent="0.3">
      <c r="A149" t="s">
        <v>593</v>
      </c>
      <c r="B149" t="s">
        <v>48</v>
      </c>
      <c r="C149" t="s">
        <v>49</v>
      </c>
      <c r="D149">
        <v>485.5</v>
      </c>
      <c r="E149">
        <v>0</v>
      </c>
      <c r="F149">
        <v>2.29</v>
      </c>
      <c r="G149" t="s">
        <v>594</v>
      </c>
      <c r="H149" t="s">
        <v>595</v>
      </c>
      <c r="I149" t="s">
        <v>52</v>
      </c>
      <c r="J149" t="s">
        <v>53</v>
      </c>
      <c r="K149">
        <v>900</v>
      </c>
      <c r="L149" t="s">
        <v>126</v>
      </c>
      <c r="M149">
        <f>DOWNLOAD_2kLRbPnDtawQopEJ_UKtt22ud9U57gk8mqebZIeugNk[[#This Row],[Standard Value]]</f>
        <v>900</v>
      </c>
      <c r="N149">
        <f>-LOG(DOWNLOAD_2kLRbPnDtawQopEJ_UKtt22ud9U57gk8mqebZIeugNk[[#This Row],[IC50]]*POWER(10, -9), 10)</f>
        <v>6.0457574905606748</v>
      </c>
      <c r="O149">
        <v>6.05</v>
      </c>
      <c r="P149" t="s">
        <v>48</v>
      </c>
      <c r="Q149">
        <v>302839</v>
      </c>
      <c r="R149" t="s">
        <v>127</v>
      </c>
      <c r="S149">
        <v>12.45</v>
      </c>
      <c r="T149">
        <v>0.24</v>
      </c>
      <c r="U149">
        <v>3.76</v>
      </c>
      <c r="V149">
        <v>4.7699999999999996</v>
      </c>
      <c r="W149">
        <v>0</v>
      </c>
      <c r="X149" t="s">
        <v>251</v>
      </c>
      <c r="Y149" t="s">
        <v>252</v>
      </c>
      <c r="Z149" t="s">
        <v>58</v>
      </c>
      <c r="AA149" t="s">
        <v>59</v>
      </c>
      <c r="AB149" t="s">
        <v>60</v>
      </c>
      <c r="AC149" t="s">
        <v>61</v>
      </c>
      <c r="AD149" t="s">
        <v>49</v>
      </c>
      <c r="AE149" t="s">
        <v>49</v>
      </c>
      <c r="AF149" t="s">
        <v>49</v>
      </c>
      <c r="AG149" t="s">
        <v>49</v>
      </c>
      <c r="AH149" t="s">
        <v>48</v>
      </c>
      <c r="AI149" t="s">
        <v>48</v>
      </c>
      <c r="AJ149" t="s">
        <v>48</v>
      </c>
      <c r="AK149" t="s">
        <v>62</v>
      </c>
      <c r="AL149" t="s">
        <v>63</v>
      </c>
      <c r="AM149" t="s">
        <v>61</v>
      </c>
      <c r="AN149" t="s">
        <v>64</v>
      </c>
      <c r="AO149" t="s">
        <v>253</v>
      </c>
      <c r="AP149">
        <v>37</v>
      </c>
      <c r="AQ149" t="s">
        <v>254</v>
      </c>
      <c r="AR149" t="s">
        <v>48</v>
      </c>
      <c r="AS149">
        <v>2015</v>
      </c>
      <c r="AT149" t="s">
        <v>49</v>
      </c>
      <c r="AU149" t="s">
        <v>48</v>
      </c>
      <c r="AV149" t="s">
        <v>48</v>
      </c>
      <c r="AW149" t="s">
        <v>48</v>
      </c>
    </row>
    <row r="150" spans="1:49" x14ac:dyDescent="0.3">
      <c r="A150" t="s">
        <v>596</v>
      </c>
      <c r="B150" t="s">
        <v>48</v>
      </c>
      <c r="C150" t="s">
        <v>49</v>
      </c>
      <c r="D150">
        <v>507.43</v>
      </c>
      <c r="E150">
        <v>1</v>
      </c>
      <c r="F150">
        <v>0.95</v>
      </c>
      <c r="G150" t="s">
        <v>597</v>
      </c>
      <c r="H150" t="s">
        <v>598</v>
      </c>
      <c r="I150" t="s">
        <v>52</v>
      </c>
      <c r="J150" t="s">
        <v>53</v>
      </c>
      <c r="K150">
        <v>300</v>
      </c>
      <c r="L150" t="s">
        <v>126</v>
      </c>
      <c r="M150">
        <f>DOWNLOAD_2kLRbPnDtawQopEJ_UKtt22ud9U57gk8mqebZIeugNk[[#This Row],[Standard Value]]</f>
        <v>300</v>
      </c>
      <c r="N150">
        <f>-LOG(DOWNLOAD_2kLRbPnDtawQopEJ_UKtt22ud9U57gk8mqebZIeugNk[[#This Row],[IC50]]*POWER(10, -9), 10)</f>
        <v>6.5228787452803365</v>
      </c>
      <c r="O150">
        <v>6.52</v>
      </c>
      <c r="P150" t="s">
        <v>48</v>
      </c>
      <c r="Q150">
        <v>302866</v>
      </c>
      <c r="R150" t="s">
        <v>127</v>
      </c>
      <c r="S150">
        <v>12.85</v>
      </c>
      <c r="T150">
        <v>0.25</v>
      </c>
      <c r="U150">
        <v>5.57</v>
      </c>
      <c r="V150">
        <v>4.8600000000000003</v>
      </c>
      <c r="W150">
        <v>0</v>
      </c>
      <c r="X150" t="s">
        <v>251</v>
      </c>
      <c r="Y150" t="s">
        <v>252</v>
      </c>
      <c r="Z150" t="s">
        <v>58</v>
      </c>
      <c r="AA150" t="s">
        <v>59</v>
      </c>
      <c r="AB150" t="s">
        <v>60</v>
      </c>
      <c r="AC150" t="s">
        <v>61</v>
      </c>
      <c r="AD150" t="s">
        <v>49</v>
      </c>
      <c r="AE150" t="s">
        <v>49</v>
      </c>
      <c r="AF150" t="s">
        <v>49</v>
      </c>
      <c r="AG150" t="s">
        <v>49</v>
      </c>
      <c r="AH150" t="s">
        <v>48</v>
      </c>
      <c r="AI150" t="s">
        <v>48</v>
      </c>
      <c r="AJ150" t="s">
        <v>48</v>
      </c>
      <c r="AK150" t="s">
        <v>62</v>
      </c>
      <c r="AL150" t="s">
        <v>63</v>
      </c>
      <c r="AM150" t="s">
        <v>61</v>
      </c>
      <c r="AN150" t="s">
        <v>64</v>
      </c>
      <c r="AO150" t="s">
        <v>253</v>
      </c>
      <c r="AP150">
        <v>37</v>
      </c>
      <c r="AQ150" t="s">
        <v>254</v>
      </c>
      <c r="AR150" t="s">
        <v>48</v>
      </c>
      <c r="AS150">
        <v>2015</v>
      </c>
      <c r="AT150" t="s">
        <v>49</v>
      </c>
      <c r="AU150" t="s">
        <v>48</v>
      </c>
      <c r="AV150" t="s">
        <v>48</v>
      </c>
      <c r="AW150" t="s">
        <v>48</v>
      </c>
    </row>
    <row r="151" spans="1:49" x14ac:dyDescent="0.3">
      <c r="A151" t="s">
        <v>599</v>
      </c>
      <c r="B151" t="s">
        <v>48</v>
      </c>
      <c r="C151" t="s">
        <v>49</v>
      </c>
      <c r="D151">
        <v>416.41</v>
      </c>
      <c r="E151">
        <v>0</v>
      </c>
      <c r="F151">
        <v>1.56</v>
      </c>
      <c r="G151" t="s">
        <v>600</v>
      </c>
      <c r="H151" t="s">
        <v>601</v>
      </c>
      <c r="I151" t="s">
        <v>52</v>
      </c>
      <c r="J151" t="s">
        <v>53</v>
      </c>
      <c r="K151">
        <v>200</v>
      </c>
      <c r="L151" t="s">
        <v>126</v>
      </c>
      <c r="M151">
        <f>DOWNLOAD_2kLRbPnDtawQopEJ_UKtt22ud9U57gk8mqebZIeugNk[[#This Row],[Standard Value]]</f>
        <v>200</v>
      </c>
      <c r="N151">
        <f>-LOG(DOWNLOAD_2kLRbPnDtawQopEJ_UKtt22ud9U57gk8mqebZIeugNk[[#This Row],[IC50]]*POWER(10, -9), 10)</f>
        <v>6.6989700043360187</v>
      </c>
      <c r="O151">
        <v>6.7</v>
      </c>
      <c r="P151" t="s">
        <v>48</v>
      </c>
      <c r="Q151">
        <v>302875</v>
      </c>
      <c r="R151" t="s">
        <v>127</v>
      </c>
      <c r="S151">
        <v>16.09</v>
      </c>
      <c r="T151">
        <v>0.3</v>
      </c>
      <c r="U151">
        <v>5.14</v>
      </c>
      <c r="V151">
        <v>5.89</v>
      </c>
      <c r="W151">
        <v>0</v>
      </c>
      <c r="X151" t="s">
        <v>251</v>
      </c>
      <c r="Y151" t="s">
        <v>252</v>
      </c>
      <c r="Z151" t="s">
        <v>58</v>
      </c>
      <c r="AA151" t="s">
        <v>59</v>
      </c>
      <c r="AB151" t="s">
        <v>60</v>
      </c>
      <c r="AC151" t="s">
        <v>61</v>
      </c>
      <c r="AD151" t="s">
        <v>49</v>
      </c>
      <c r="AE151" t="s">
        <v>49</v>
      </c>
      <c r="AF151" t="s">
        <v>49</v>
      </c>
      <c r="AG151" t="s">
        <v>49</v>
      </c>
      <c r="AH151" t="s">
        <v>48</v>
      </c>
      <c r="AI151" t="s">
        <v>48</v>
      </c>
      <c r="AJ151" t="s">
        <v>48</v>
      </c>
      <c r="AK151" t="s">
        <v>62</v>
      </c>
      <c r="AL151" t="s">
        <v>63</v>
      </c>
      <c r="AM151" t="s">
        <v>61</v>
      </c>
      <c r="AN151" t="s">
        <v>64</v>
      </c>
      <c r="AO151" t="s">
        <v>253</v>
      </c>
      <c r="AP151">
        <v>37</v>
      </c>
      <c r="AQ151" t="s">
        <v>254</v>
      </c>
      <c r="AR151" t="s">
        <v>48</v>
      </c>
      <c r="AS151">
        <v>2015</v>
      </c>
      <c r="AT151" t="s">
        <v>49</v>
      </c>
      <c r="AU151" t="s">
        <v>48</v>
      </c>
      <c r="AV151" t="s">
        <v>48</v>
      </c>
      <c r="AW151" t="s">
        <v>48</v>
      </c>
    </row>
    <row r="152" spans="1:49" x14ac:dyDescent="0.3">
      <c r="A152" t="s">
        <v>602</v>
      </c>
      <c r="B152" t="s">
        <v>48</v>
      </c>
      <c r="C152" t="s">
        <v>49</v>
      </c>
      <c r="D152">
        <v>514.51</v>
      </c>
      <c r="E152">
        <v>1</v>
      </c>
      <c r="F152">
        <v>0.53</v>
      </c>
      <c r="G152" t="s">
        <v>603</v>
      </c>
      <c r="H152" t="s">
        <v>604</v>
      </c>
      <c r="I152" t="s">
        <v>52</v>
      </c>
      <c r="J152" t="s">
        <v>53</v>
      </c>
      <c r="K152">
        <v>8300</v>
      </c>
      <c r="L152" t="s">
        <v>126</v>
      </c>
      <c r="M152">
        <f>DOWNLOAD_2kLRbPnDtawQopEJ_UKtt22ud9U57gk8mqebZIeugNk[[#This Row],[Standard Value]]</f>
        <v>8300</v>
      </c>
      <c r="N152">
        <f>-LOG(DOWNLOAD_2kLRbPnDtawQopEJ_UKtt22ud9U57gk8mqebZIeugNk[[#This Row],[IC50]]*POWER(10, -9), 10)</f>
        <v>5.0809219076239254</v>
      </c>
      <c r="O152">
        <v>5.08</v>
      </c>
      <c r="P152" t="s">
        <v>48</v>
      </c>
      <c r="Q152">
        <v>302775</v>
      </c>
      <c r="R152" t="s">
        <v>127</v>
      </c>
      <c r="S152">
        <v>9.8800000000000008</v>
      </c>
      <c r="T152">
        <v>0.19</v>
      </c>
      <c r="U152">
        <v>4.55</v>
      </c>
      <c r="V152">
        <v>3.7</v>
      </c>
      <c r="W152">
        <v>0</v>
      </c>
      <c r="X152" t="s">
        <v>251</v>
      </c>
      <c r="Y152" t="s">
        <v>252</v>
      </c>
      <c r="Z152" t="s">
        <v>58</v>
      </c>
      <c r="AA152" t="s">
        <v>59</v>
      </c>
      <c r="AB152" t="s">
        <v>60</v>
      </c>
      <c r="AC152" t="s">
        <v>61</v>
      </c>
      <c r="AD152" t="s">
        <v>49</v>
      </c>
      <c r="AE152" t="s">
        <v>49</v>
      </c>
      <c r="AF152" t="s">
        <v>49</v>
      </c>
      <c r="AG152" t="s">
        <v>49</v>
      </c>
      <c r="AH152" t="s">
        <v>48</v>
      </c>
      <c r="AI152" t="s">
        <v>48</v>
      </c>
      <c r="AJ152" t="s">
        <v>48</v>
      </c>
      <c r="AK152" t="s">
        <v>62</v>
      </c>
      <c r="AL152" t="s">
        <v>63</v>
      </c>
      <c r="AM152" t="s">
        <v>61</v>
      </c>
      <c r="AN152" t="s">
        <v>64</v>
      </c>
      <c r="AO152" t="s">
        <v>253</v>
      </c>
      <c r="AP152">
        <v>37</v>
      </c>
      <c r="AQ152" t="s">
        <v>254</v>
      </c>
      <c r="AR152" t="s">
        <v>48</v>
      </c>
      <c r="AS152">
        <v>2015</v>
      </c>
      <c r="AT152" t="s">
        <v>49</v>
      </c>
      <c r="AU152" t="s">
        <v>48</v>
      </c>
      <c r="AV152" t="s">
        <v>48</v>
      </c>
      <c r="AW152" t="s">
        <v>48</v>
      </c>
    </row>
    <row r="153" spans="1:49" x14ac:dyDescent="0.3">
      <c r="A153" t="s">
        <v>310</v>
      </c>
      <c r="B153" t="s">
        <v>311</v>
      </c>
      <c r="C153" t="s">
        <v>305</v>
      </c>
      <c r="D153">
        <v>302.19</v>
      </c>
      <c r="E153">
        <v>0</v>
      </c>
      <c r="F153">
        <v>1.31</v>
      </c>
      <c r="G153" t="s">
        <v>605</v>
      </c>
      <c r="H153" t="s">
        <v>313</v>
      </c>
      <c r="I153" t="s">
        <v>52</v>
      </c>
      <c r="J153" t="s">
        <v>53</v>
      </c>
      <c r="K153">
        <v>47</v>
      </c>
      <c r="L153" t="s">
        <v>54</v>
      </c>
      <c r="M153">
        <f>DOWNLOAD_2kLRbPnDtawQopEJ_UKtt22ud9U57gk8mqebZIeugNk[[#This Row],[Standard Value]]/DOWNLOAD_2kLRbPnDtawQopEJ_UKtt22ud9U57gk8mqebZIeugNk[[#This Row],[Molecular Weight]]*1000*1000</f>
        <v>155531.2882623515</v>
      </c>
      <c r="N153">
        <f>-LOG(DOWNLOAD_2kLRbPnDtawQopEJ_UKtt22ud9U57gk8mqebZIeugNk[[#This Row],[IC50]]*POWER(10, -9), 10)</f>
        <v>3.8081822307348068</v>
      </c>
      <c r="P153" t="s">
        <v>48</v>
      </c>
      <c r="R153" t="s">
        <v>55</v>
      </c>
      <c r="W153">
        <v>0</v>
      </c>
      <c r="X153" t="s">
        <v>73</v>
      </c>
      <c r="Y153" t="s">
        <v>74</v>
      </c>
      <c r="Z153" t="s">
        <v>58</v>
      </c>
      <c r="AA153" t="s">
        <v>59</v>
      </c>
      <c r="AB153" t="s">
        <v>60</v>
      </c>
      <c r="AC153" t="s">
        <v>61</v>
      </c>
      <c r="AD153" t="s">
        <v>49</v>
      </c>
      <c r="AE153" t="s">
        <v>49</v>
      </c>
      <c r="AF153" t="s">
        <v>49</v>
      </c>
      <c r="AG153" t="s">
        <v>49</v>
      </c>
      <c r="AH153" t="s">
        <v>48</v>
      </c>
      <c r="AI153" t="s">
        <v>48</v>
      </c>
      <c r="AJ153" t="s">
        <v>48</v>
      </c>
      <c r="AK153" t="s">
        <v>62</v>
      </c>
      <c r="AL153" t="s">
        <v>63</v>
      </c>
      <c r="AM153" t="s">
        <v>61</v>
      </c>
      <c r="AN153" t="s">
        <v>64</v>
      </c>
      <c r="AO153" t="s">
        <v>75</v>
      </c>
      <c r="AP153">
        <v>1</v>
      </c>
      <c r="AQ153" t="s">
        <v>66</v>
      </c>
      <c r="AR153" t="s">
        <v>76</v>
      </c>
      <c r="AS153">
        <v>1998</v>
      </c>
      <c r="AT153" t="s">
        <v>49</v>
      </c>
      <c r="AU153" t="s">
        <v>48</v>
      </c>
      <c r="AV153" t="s">
        <v>48</v>
      </c>
      <c r="AW153" t="s">
        <v>48</v>
      </c>
    </row>
    <row r="154" spans="1:49" x14ac:dyDescent="0.3">
      <c r="A154" t="s">
        <v>606</v>
      </c>
      <c r="B154" t="s">
        <v>48</v>
      </c>
      <c r="C154" t="s">
        <v>49</v>
      </c>
      <c r="D154">
        <v>364.35</v>
      </c>
      <c r="E154">
        <v>0</v>
      </c>
      <c r="F154">
        <v>1.43</v>
      </c>
      <c r="G154" t="s">
        <v>607</v>
      </c>
      <c r="H154" t="s">
        <v>608</v>
      </c>
      <c r="I154" t="s">
        <v>52</v>
      </c>
      <c r="J154" t="s">
        <v>53</v>
      </c>
      <c r="K154">
        <v>2.6</v>
      </c>
      <c r="L154" t="s">
        <v>54</v>
      </c>
      <c r="M154">
        <f>DOWNLOAD_2kLRbPnDtawQopEJ_UKtt22ud9U57gk8mqebZIeugNk[[#This Row],[Standard Value]]/DOWNLOAD_2kLRbPnDtawQopEJ_UKtt22ud9U57gk8mqebZIeugNk[[#This Row],[Molecular Weight]]*1000*1000</f>
        <v>7135.9956086180873</v>
      </c>
      <c r="N154">
        <f>-LOG(DOWNLOAD_2kLRbPnDtawQopEJ_UKtt22ud9U57gk8mqebZIeugNk[[#This Row],[IC50]]*POWER(10, -9), 10)</f>
        <v>5.1465454258899932</v>
      </c>
      <c r="P154" t="s">
        <v>48</v>
      </c>
      <c r="R154" t="s">
        <v>55</v>
      </c>
      <c r="W154">
        <v>0</v>
      </c>
      <c r="X154" t="s">
        <v>56</v>
      </c>
      <c r="Y154" t="s">
        <v>57</v>
      </c>
      <c r="Z154" t="s">
        <v>58</v>
      </c>
      <c r="AA154" t="s">
        <v>59</v>
      </c>
      <c r="AB154" t="s">
        <v>60</v>
      </c>
      <c r="AC154" t="s">
        <v>61</v>
      </c>
      <c r="AD154" t="s">
        <v>49</v>
      </c>
      <c r="AE154" t="s">
        <v>49</v>
      </c>
      <c r="AF154" t="s">
        <v>49</v>
      </c>
      <c r="AG154" t="s">
        <v>49</v>
      </c>
      <c r="AH154" t="s">
        <v>48</v>
      </c>
      <c r="AI154" t="s">
        <v>48</v>
      </c>
      <c r="AJ154" t="s">
        <v>48</v>
      </c>
      <c r="AK154" t="s">
        <v>62</v>
      </c>
      <c r="AL154" t="s">
        <v>63</v>
      </c>
      <c r="AM154" t="s">
        <v>61</v>
      </c>
      <c r="AN154" t="s">
        <v>64</v>
      </c>
      <c r="AO154" t="s">
        <v>65</v>
      </c>
      <c r="AP154">
        <v>1</v>
      </c>
      <c r="AQ154" t="s">
        <v>66</v>
      </c>
      <c r="AR154" t="s">
        <v>67</v>
      </c>
      <c r="AS154">
        <v>1988</v>
      </c>
      <c r="AT154" t="s">
        <v>49</v>
      </c>
      <c r="AU154" t="s">
        <v>48</v>
      </c>
      <c r="AV154" t="s">
        <v>48</v>
      </c>
      <c r="AW154" t="s">
        <v>48</v>
      </c>
    </row>
    <row r="155" spans="1:49" x14ac:dyDescent="0.3">
      <c r="A155" t="s">
        <v>609</v>
      </c>
      <c r="B155" t="s">
        <v>48</v>
      </c>
      <c r="C155" t="s">
        <v>49</v>
      </c>
      <c r="D155">
        <v>408.86</v>
      </c>
      <c r="E155">
        <v>0</v>
      </c>
      <c r="F155">
        <v>1.9</v>
      </c>
      <c r="G155" t="s">
        <v>211</v>
      </c>
      <c r="H155" t="s">
        <v>610</v>
      </c>
      <c r="I155" t="s">
        <v>52</v>
      </c>
      <c r="J155" t="s">
        <v>53</v>
      </c>
      <c r="K155">
        <v>3</v>
      </c>
      <c r="L155" t="s">
        <v>54</v>
      </c>
      <c r="M155">
        <f>DOWNLOAD_2kLRbPnDtawQopEJ_UKtt22ud9U57gk8mqebZIeugNk[[#This Row],[Standard Value]]/DOWNLOAD_2kLRbPnDtawQopEJ_UKtt22ud9U57gk8mqebZIeugNk[[#This Row],[Molecular Weight]]*1000*1000</f>
        <v>7337.4749302939881</v>
      </c>
      <c r="N155">
        <f>-LOG(DOWNLOAD_2kLRbPnDtawQopEJ_UKtt22ud9U57gk8mqebZIeugNk[[#This Row],[IC50]]*POWER(10, -9), 10)</f>
        <v>5.1344533695812737</v>
      </c>
      <c r="P155" t="s">
        <v>48</v>
      </c>
      <c r="R155" t="s">
        <v>55</v>
      </c>
      <c r="W155">
        <v>0</v>
      </c>
      <c r="X155" t="s">
        <v>98</v>
      </c>
      <c r="Y155" t="s">
        <v>99</v>
      </c>
      <c r="Z155" t="s">
        <v>58</v>
      </c>
      <c r="AA155" t="s">
        <v>59</v>
      </c>
      <c r="AB155" t="s">
        <v>60</v>
      </c>
      <c r="AC155" t="s">
        <v>49</v>
      </c>
      <c r="AD155" t="s">
        <v>49</v>
      </c>
      <c r="AE155" t="s">
        <v>49</v>
      </c>
      <c r="AF155" t="s">
        <v>49</v>
      </c>
      <c r="AG155" t="s">
        <v>49</v>
      </c>
      <c r="AH155" t="s">
        <v>48</v>
      </c>
      <c r="AI155" t="s">
        <v>48</v>
      </c>
      <c r="AJ155" t="s">
        <v>48</v>
      </c>
      <c r="AK155" t="s">
        <v>62</v>
      </c>
      <c r="AL155" t="s">
        <v>63</v>
      </c>
      <c r="AM155" t="s">
        <v>61</v>
      </c>
      <c r="AN155" t="s">
        <v>64</v>
      </c>
      <c r="AO155" t="s">
        <v>100</v>
      </c>
      <c r="AP155">
        <v>1</v>
      </c>
      <c r="AQ155" t="s">
        <v>66</v>
      </c>
      <c r="AR155" t="s">
        <v>67</v>
      </c>
      <c r="AS155">
        <v>1991</v>
      </c>
      <c r="AT155" t="s">
        <v>49</v>
      </c>
      <c r="AU155" t="s">
        <v>48</v>
      </c>
      <c r="AV155" t="s">
        <v>48</v>
      </c>
      <c r="AW155" t="s">
        <v>48</v>
      </c>
    </row>
    <row r="156" spans="1:49" x14ac:dyDescent="0.3">
      <c r="A156" t="s">
        <v>611</v>
      </c>
      <c r="B156" t="s">
        <v>48</v>
      </c>
      <c r="C156" t="s">
        <v>49</v>
      </c>
      <c r="D156">
        <v>391.42</v>
      </c>
      <c r="E156">
        <v>0</v>
      </c>
      <c r="F156">
        <v>2.88</v>
      </c>
      <c r="G156" t="s">
        <v>612</v>
      </c>
      <c r="H156" t="s">
        <v>613</v>
      </c>
      <c r="I156" t="s">
        <v>52</v>
      </c>
      <c r="J156" t="s">
        <v>53</v>
      </c>
      <c r="K156">
        <v>0.2</v>
      </c>
      <c r="L156" t="s">
        <v>54</v>
      </c>
      <c r="M156">
        <f>DOWNLOAD_2kLRbPnDtawQopEJ_UKtt22ud9U57gk8mqebZIeugNk[[#This Row],[Standard Value]]/DOWNLOAD_2kLRbPnDtawQopEJ_UKtt22ud9U57gk8mqebZIeugNk[[#This Row],[Molecular Weight]]*1000*1000</f>
        <v>510.96009401665731</v>
      </c>
      <c r="N156">
        <f>-LOG(DOWNLOAD_2kLRbPnDtawQopEJ_UKtt22ud9U57gk8mqebZIeugNk[[#This Row],[IC50]]*POWER(10, -9), 10)</f>
        <v>6.2916130169398787</v>
      </c>
      <c r="P156" t="s">
        <v>48</v>
      </c>
      <c r="R156" t="s">
        <v>55</v>
      </c>
      <c r="W156">
        <v>0</v>
      </c>
      <c r="X156" t="s">
        <v>372</v>
      </c>
      <c r="Y156" t="s">
        <v>373</v>
      </c>
      <c r="Z156" t="s">
        <v>58</v>
      </c>
      <c r="AA156" t="s">
        <v>59</v>
      </c>
      <c r="AB156" t="s">
        <v>60</v>
      </c>
      <c r="AC156" t="s">
        <v>61</v>
      </c>
      <c r="AD156" t="s">
        <v>49</v>
      </c>
      <c r="AE156" t="s">
        <v>49</v>
      </c>
      <c r="AF156" t="s">
        <v>49</v>
      </c>
      <c r="AG156" t="s">
        <v>49</v>
      </c>
      <c r="AH156" t="s">
        <v>48</v>
      </c>
      <c r="AI156" t="s">
        <v>48</v>
      </c>
      <c r="AJ156" t="s">
        <v>48</v>
      </c>
      <c r="AK156" t="s">
        <v>62</v>
      </c>
      <c r="AL156" t="s">
        <v>63</v>
      </c>
      <c r="AM156" t="s">
        <v>61</v>
      </c>
      <c r="AN156" t="s">
        <v>64</v>
      </c>
      <c r="AO156" t="s">
        <v>94</v>
      </c>
      <c r="AP156">
        <v>1</v>
      </c>
      <c r="AQ156" t="s">
        <v>66</v>
      </c>
      <c r="AR156" t="s">
        <v>67</v>
      </c>
      <c r="AS156">
        <v>2003</v>
      </c>
      <c r="AT156" t="s">
        <v>49</v>
      </c>
      <c r="AU156" t="s">
        <v>48</v>
      </c>
      <c r="AV156" t="s">
        <v>48</v>
      </c>
      <c r="AW156" t="s">
        <v>48</v>
      </c>
    </row>
    <row r="157" spans="1:49" x14ac:dyDescent="0.3">
      <c r="A157" t="s">
        <v>614</v>
      </c>
      <c r="B157" t="s">
        <v>48</v>
      </c>
      <c r="C157" t="s">
        <v>49</v>
      </c>
      <c r="D157">
        <v>360.39</v>
      </c>
      <c r="E157">
        <v>0</v>
      </c>
      <c r="F157">
        <v>1.74</v>
      </c>
      <c r="G157" t="s">
        <v>615</v>
      </c>
      <c r="H157" t="s">
        <v>616</v>
      </c>
      <c r="I157" t="s">
        <v>52</v>
      </c>
      <c r="J157" t="s">
        <v>53</v>
      </c>
      <c r="K157">
        <v>0.75</v>
      </c>
      <c r="L157" t="s">
        <v>54</v>
      </c>
      <c r="M157">
        <f>DOWNLOAD_2kLRbPnDtawQopEJ_UKtt22ud9U57gk8mqebZIeugNk[[#This Row],[Standard Value]]/DOWNLOAD_2kLRbPnDtawQopEJ_UKtt22ud9U57gk8mqebZIeugNk[[#This Row],[Molecular Weight]]*1000*1000</f>
        <v>2081.0788312661284</v>
      </c>
      <c r="N157">
        <f>-LOG(DOWNLOAD_2kLRbPnDtawQopEJ_UKtt22ud9U57gk8mqebZIeugNk[[#This Row],[IC50]]*POWER(10, -9), 10)</f>
        <v>5.6817114684018071</v>
      </c>
      <c r="P157" t="s">
        <v>48</v>
      </c>
      <c r="R157" t="s">
        <v>55</v>
      </c>
      <c r="W157">
        <v>0</v>
      </c>
      <c r="X157" t="s">
        <v>80</v>
      </c>
      <c r="Y157" t="s">
        <v>81</v>
      </c>
      <c r="Z157" t="s">
        <v>58</v>
      </c>
      <c r="AA157" t="s">
        <v>59</v>
      </c>
      <c r="AB157" t="s">
        <v>60</v>
      </c>
      <c r="AC157" t="s">
        <v>61</v>
      </c>
      <c r="AD157" t="s">
        <v>49</v>
      </c>
      <c r="AE157" t="s">
        <v>49</v>
      </c>
      <c r="AF157" t="s">
        <v>49</v>
      </c>
      <c r="AG157" t="s">
        <v>49</v>
      </c>
      <c r="AH157" t="s">
        <v>48</v>
      </c>
      <c r="AI157" t="s">
        <v>48</v>
      </c>
      <c r="AJ157" t="s">
        <v>48</v>
      </c>
      <c r="AK157" t="s">
        <v>62</v>
      </c>
      <c r="AL157" t="s">
        <v>63</v>
      </c>
      <c r="AM157" t="s">
        <v>61</v>
      </c>
      <c r="AN157" t="s">
        <v>64</v>
      </c>
      <c r="AO157" t="s">
        <v>82</v>
      </c>
      <c r="AP157">
        <v>1</v>
      </c>
      <c r="AQ157" t="s">
        <v>66</v>
      </c>
      <c r="AR157" t="s">
        <v>67</v>
      </c>
      <c r="AS157">
        <v>1993</v>
      </c>
      <c r="AT157" t="s">
        <v>49</v>
      </c>
      <c r="AU157" t="s">
        <v>48</v>
      </c>
      <c r="AV157" t="s">
        <v>48</v>
      </c>
      <c r="AW157" t="s">
        <v>48</v>
      </c>
    </row>
    <row r="158" spans="1:49" x14ac:dyDescent="0.3">
      <c r="A158" t="s">
        <v>617</v>
      </c>
      <c r="B158" t="s">
        <v>618</v>
      </c>
      <c r="C158" t="s">
        <v>305</v>
      </c>
      <c r="D158">
        <v>334.35</v>
      </c>
      <c r="E158">
        <v>0</v>
      </c>
      <c r="F158">
        <v>0.76</v>
      </c>
      <c r="G158" t="s">
        <v>619</v>
      </c>
      <c r="H158" t="s">
        <v>620</v>
      </c>
      <c r="I158" t="s">
        <v>52</v>
      </c>
      <c r="J158" t="s">
        <v>53</v>
      </c>
      <c r="K158">
        <v>6.3</v>
      </c>
      <c r="L158" t="s">
        <v>54</v>
      </c>
      <c r="M158">
        <f>DOWNLOAD_2kLRbPnDtawQopEJ_UKtt22ud9U57gk8mqebZIeugNk[[#This Row],[Standard Value]]/DOWNLOAD_2kLRbPnDtawQopEJ_UKtt22ud9U57gk8mqebZIeugNk[[#This Row],[Molecular Weight]]*1000*1000</f>
        <v>18842.530282637952</v>
      </c>
      <c r="N158">
        <f>-LOG(DOWNLOAD_2kLRbPnDtawQopEJ_UKtt22ud9U57gk8mqebZIeugNk[[#This Row],[IC50]]*POWER(10, -9), 10)</f>
        <v>4.7248607780823368</v>
      </c>
      <c r="P158" t="s">
        <v>48</v>
      </c>
      <c r="R158" t="s">
        <v>55</v>
      </c>
      <c r="W158">
        <v>0</v>
      </c>
      <c r="X158" t="s">
        <v>115</v>
      </c>
      <c r="Y158" t="s">
        <v>116</v>
      </c>
      <c r="Z158" t="s">
        <v>58</v>
      </c>
      <c r="AA158" t="s">
        <v>59</v>
      </c>
      <c r="AB158" t="s">
        <v>60</v>
      </c>
      <c r="AC158" t="s">
        <v>61</v>
      </c>
      <c r="AD158" t="s">
        <v>49</v>
      </c>
      <c r="AE158" t="s">
        <v>49</v>
      </c>
      <c r="AF158" t="s">
        <v>49</v>
      </c>
      <c r="AG158" t="s">
        <v>49</v>
      </c>
      <c r="AH158" t="s">
        <v>48</v>
      </c>
      <c r="AI158" t="s">
        <v>48</v>
      </c>
      <c r="AJ158" t="s">
        <v>48</v>
      </c>
      <c r="AK158" t="s">
        <v>62</v>
      </c>
      <c r="AL158" t="s">
        <v>63</v>
      </c>
      <c r="AM158" t="s">
        <v>61</v>
      </c>
      <c r="AN158" t="s">
        <v>64</v>
      </c>
      <c r="AO158" t="s">
        <v>117</v>
      </c>
      <c r="AP158">
        <v>1</v>
      </c>
      <c r="AQ158" t="s">
        <v>66</v>
      </c>
      <c r="AR158" t="s">
        <v>67</v>
      </c>
      <c r="AS158">
        <v>1986</v>
      </c>
      <c r="AT158" t="s">
        <v>49</v>
      </c>
      <c r="AU158" t="s">
        <v>48</v>
      </c>
      <c r="AV158" t="s">
        <v>48</v>
      </c>
      <c r="AW158" t="s">
        <v>48</v>
      </c>
    </row>
    <row r="159" spans="1:49" x14ac:dyDescent="0.3">
      <c r="A159" t="s">
        <v>621</v>
      </c>
      <c r="B159" t="s">
        <v>48</v>
      </c>
      <c r="C159" t="s">
        <v>49</v>
      </c>
      <c r="D159">
        <v>368.39</v>
      </c>
      <c r="E159">
        <v>0</v>
      </c>
      <c r="F159">
        <v>3.75</v>
      </c>
      <c r="G159" t="s">
        <v>271</v>
      </c>
      <c r="H159" t="s">
        <v>622</v>
      </c>
      <c r="I159" t="s">
        <v>52</v>
      </c>
      <c r="J159" t="s">
        <v>53</v>
      </c>
      <c r="K159">
        <v>800</v>
      </c>
      <c r="L159" t="s">
        <v>126</v>
      </c>
      <c r="M159">
        <f>DOWNLOAD_2kLRbPnDtawQopEJ_UKtt22ud9U57gk8mqebZIeugNk[[#This Row],[Standard Value]]</f>
        <v>800</v>
      </c>
      <c r="N159">
        <f>-LOG(DOWNLOAD_2kLRbPnDtawQopEJ_UKtt22ud9U57gk8mqebZIeugNk[[#This Row],[IC50]]*POWER(10, -9), 10)</f>
        <v>6.0969100130080562</v>
      </c>
      <c r="O159">
        <v>6.1</v>
      </c>
      <c r="P159" t="s">
        <v>48</v>
      </c>
      <c r="R159" t="s">
        <v>127</v>
      </c>
      <c r="S159">
        <v>16.55</v>
      </c>
      <c r="T159">
        <v>0.32</v>
      </c>
      <c r="U159">
        <v>2.35</v>
      </c>
      <c r="V159">
        <v>8.1199999999999992</v>
      </c>
      <c r="W159">
        <v>0</v>
      </c>
      <c r="X159" t="s">
        <v>334</v>
      </c>
      <c r="Y159" t="s">
        <v>335</v>
      </c>
      <c r="Z159" t="s">
        <v>58</v>
      </c>
      <c r="AA159" t="s">
        <v>59</v>
      </c>
      <c r="AB159" t="s">
        <v>60</v>
      </c>
      <c r="AC159" t="s">
        <v>61</v>
      </c>
      <c r="AD159" t="s">
        <v>49</v>
      </c>
      <c r="AE159" t="s">
        <v>49</v>
      </c>
      <c r="AF159" t="s">
        <v>49</v>
      </c>
      <c r="AG159" t="s">
        <v>49</v>
      </c>
      <c r="AH159" t="s">
        <v>48</v>
      </c>
      <c r="AI159" t="s">
        <v>48</v>
      </c>
      <c r="AJ159" t="s">
        <v>48</v>
      </c>
      <c r="AK159" t="s">
        <v>62</v>
      </c>
      <c r="AL159" t="s">
        <v>63</v>
      </c>
      <c r="AM159" t="s">
        <v>61</v>
      </c>
      <c r="AN159" t="s">
        <v>64</v>
      </c>
      <c r="AO159" t="s">
        <v>336</v>
      </c>
      <c r="AP159">
        <v>1</v>
      </c>
      <c r="AQ159" t="s">
        <v>66</v>
      </c>
      <c r="AR159" t="s">
        <v>76</v>
      </c>
      <c r="AS159">
        <v>2006</v>
      </c>
      <c r="AT159" t="s">
        <v>49</v>
      </c>
      <c r="AU159" t="s">
        <v>48</v>
      </c>
      <c r="AV159" t="s">
        <v>48</v>
      </c>
      <c r="AW159" t="s">
        <v>48</v>
      </c>
    </row>
    <row r="160" spans="1:49" x14ac:dyDescent="0.3">
      <c r="A160" t="s">
        <v>623</v>
      </c>
      <c r="B160" t="s">
        <v>48</v>
      </c>
      <c r="C160" t="s">
        <v>49</v>
      </c>
      <c r="D160">
        <v>452.49</v>
      </c>
      <c r="E160">
        <v>0</v>
      </c>
      <c r="F160">
        <v>3.65</v>
      </c>
      <c r="G160" t="s">
        <v>203</v>
      </c>
      <c r="H160" t="s">
        <v>624</v>
      </c>
      <c r="I160" t="s">
        <v>52</v>
      </c>
      <c r="J160" t="s">
        <v>53</v>
      </c>
      <c r="K160">
        <v>0.31</v>
      </c>
      <c r="L160" t="s">
        <v>126</v>
      </c>
      <c r="M160">
        <f>DOWNLOAD_2kLRbPnDtawQopEJ_UKtt22ud9U57gk8mqebZIeugNk[[#This Row],[Standard Value]]</f>
        <v>0.31</v>
      </c>
      <c r="N160">
        <f>-LOG(DOWNLOAD_2kLRbPnDtawQopEJ_UKtt22ud9U57gk8mqebZIeugNk[[#This Row],[IC50]]*POWER(10, -9), 10)</f>
        <v>9.5086383061657251</v>
      </c>
      <c r="O160">
        <v>9.51</v>
      </c>
      <c r="P160" t="s">
        <v>48</v>
      </c>
      <c r="R160" t="s">
        <v>127</v>
      </c>
      <c r="S160">
        <v>21.01</v>
      </c>
      <c r="T160">
        <v>0.39</v>
      </c>
      <c r="U160">
        <v>5.86</v>
      </c>
      <c r="V160">
        <v>8.3000000000000007</v>
      </c>
      <c r="W160">
        <v>0</v>
      </c>
      <c r="X160" t="s">
        <v>264</v>
      </c>
      <c r="Y160" t="s">
        <v>265</v>
      </c>
      <c r="Z160" t="s">
        <v>58</v>
      </c>
      <c r="AA160" t="s">
        <v>59</v>
      </c>
      <c r="AB160" t="s">
        <v>60</v>
      </c>
      <c r="AC160" t="s">
        <v>61</v>
      </c>
      <c r="AD160" t="s">
        <v>49</v>
      </c>
      <c r="AE160" t="s">
        <v>49</v>
      </c>
      <c r="AF160" t="s">
        <v>49</v>
      </c>
      <c r="AG160" t="s">
        <v>49</v>
      </c>
      <c r="AH160" t="s">
        <v>48</v>
      </c>
      <c r="AI160" t="s">
        <v>48</v>
      </c>
      <c r="AJ160" t="s">
        <v>48</v>
      </c>
      <c r="AK160" t="s">
        <v>62</v>
      </c>
      <c r="AL160" t="s">
        <v>63</v>
      </c>
      <c r="AM160" t="s">
        <v>61</v>
      </c>
      <c r="AN160" t="s">
        <v>64</v>
      </c>
      <c r="AO160" t="s">
        <v>266</v>
      </c>
      <c r="AP160">
        <v>1</v>
      </c>
      <c r="AQ160" t="s">
        <v>66</v>
      </c>
      <c r="AR160" t="s">
        <v>267</v>
      </c>
      <c r="AS160">
        <v>2020</v>
      </c>
      <c r="AT160" t="s">
        <v>49</v>
      </c>
      <c r="AU160" t="s">
        <v>268</v>
      </c>
      <c r="AV160" t="s">
        <v>269</v>
      </c>
      <c r="AW160" t="s">
        <v>48</v>
      </c>
    </row>
    <row r="161" spans="1:49" x14ac:dyDescent="0.3">
      <c r="A161" t="s">
        <v>625</v>
      </c>
      <c r="B161" t="s">
        <v>48</v>
      </c>
      <c r="C161" t="s">
        <v>49</v>
      </c>
      <c r="D161">
        <v>525.5</v>
      </c>
      <c r="E161">
        <v>2</v>
      </c>
      <c r="F161">
        <v>0.72</v>
      </c>
      <c r="G161" t="s">
        <v>626</v>
      </c>
      <c r="H161" t="s">
        <v>627</v>
      </c>
      <c r="I161" t="s">
        <v>52</v>
      </c>
      <c r="J161" t="s">
        <v>53</v>
      </c>
      <c r="K161">
        <v>300</v>
      </c>
      <c r="L161" t="s">
        <v>126</v>
      </c>
      <c r="M161">
        <f>DOWNLOAD_2kLRbPnDtawQopEJ_UKtt22ud9U57gk8mqebZIeugNk[[#This Row],[Standard Value]]</f>
        <v>300</v>
      </c>
      <c r="N161">
        <f>-LOG(DOWNLOAD_2kLRbPnDtawQopEJ_UKtt22ud9U57gk8mqebZIeugNk[[#This Row],[IC50]]*POWER(10, -9), 10)</f>
        <v>6.5228787452803365</v>
      </c>
      <c r="O161">
        <v>6.52</v>
      </c>
      <c r="P161" t="s">
        <v>48</v>
      </c>
      <c r="Q161">
        <v>302950</v>
      </c>
      <c r="R161" t="s">
        <v>127</v>
      </c>
      <c r="S161">
        <v>12.41</v>
      </c>
      <c r="T161">
        <v>0.23</v>
      </c>
      <c r="U161">
        <v>5.8</v>
      </c>
      <c r="V161">
        <v>3.8</v>
      </c>
      <c r="W161">
        <v>0</v>
      </c>
      <c r="X161" t="s">
        <v>251</v>
      </c>
      <c r="Y161" t="s">
        <v>252</v>
      </c>
      <c r="Z161" t="s">
        <v>58</v>
      </c>
      <c r="AA161" t="s">
        <v>59</v>
      </c>
      <c r="AB161" t="s">
        <v>60</v>
      </c>
      <c r="AC161" t="s">
        <v>61</v>
      </c>
      <c r="AD161" t="s">
        <v>49</v>
      </c>
      <c r="AE161" t="s">
        <v>49</v>
      </c>
      <c r="AF161" t="s">
        <v>49</v>
      </c>
      <c r="AG161" t="s">
        <v>49</v>
      </c>
      <c r="AH161" t="s">
        <v>48</v>
      </c>
      <c r="AI161" t="s">
        <v>48</v>
      </c>
      <c r="AJ161" t="s">
        <v>48</v>
      </c>
      <c r="AK161" t="s">
        <v>62</v>
      </c>
      <c r="AL161" t="s">
        <v>63</v>
      </c>
      <c r="AM161" t="s">
        <v>61</v>
      </c>
      <c r="AN161" t="s">
        <v>64</v>
      </c>
      <c r="AO161" t="s">
        <v>253</v>
      </c>
      <c r="AP161">
        <v>37</v>
      </c>
      <c r="AQ161" t="s">
        <v>254</v>
      </c>
      <c r="AR161" t="s">
        <v>48</v>
      </c>
      <c r="AS161">
        <v>2015</v>
      </c>
      <c r="AT161" t="s">
        <v>49</v>
      </c>
      <c r="AU161" t="s">
        <v>48</v>
      </c>
      <c r="AV161" t="s">
        <v>48</v>
      </c>
      <c r="AW161" t="s">
        <v>48</v>
      </c>
    </row>
    <row r="162" spans="1:49" x14ac:dyDescent="0.3">
      <c r="A162" t="s">
        <v>628</v>
      </c>
      <c r="B162" t="s">
        <v>48</v>
      </c>
      <c r="C162" t="s">
        <v>49</v>
      </c>
      <c r="D162">
        <v>551.54</v>
      </c>
      <c r="E162">
        <v>2</v>
      </c>
      <c r="F162">
        <v>1.1499999999999999</v>
      </c>
      <c r="G162" t="s">
        <v>629</v>
      </c>
      <c r="H162" t="s">
        <v>630</v>
      </c>
      <c r="I162" t="s">
        <v>52</v>
      </c>
      <c r="J162" t="s">
        <v>53</v>
      </c>
      <c r="K162">
        <v>6900</v>
      </c>
      <c r="L162" t="s">
        <v>126</v>
      </c>
      <c r="M162">
        <f>DOWNLOAD_2kLRbPnDtawQopEJ_UKtt22ud9U57gk8mqebZIeugNk[[#This Row],[Standard Value]]</f>
        <v>6900</v>
      </c>
      <c r="N162">
        <f>-LOG(DOWNLOAD_2kLRbPnDtawQopEJ_UKtt22ud9U57gk8mqebZIeugNk[[#This Row],[IC50]]*POWER(10, -9), 10)</f>
        <v>5.1611509092627443</v>
      </c>
      <c r="O162">
        <v>5.16</v>
      </c>
      <c r="P162" t="s">
        <v>48</v>
      </c>
      <c r="Q162">
        <v>302946</v>
      </c>
      <c r="R162" t="s">
        <v>127</v>
      </c>
      <c r="S162">
        <v>9.36</v>
      </c>
      <c r="T162">
        <v>0.18</v>
      </c>
      <c r="U162">
        <v>4.01</v>
      </c>
      <c r="V162">
        <v>3.4</v>
      </c>
      <c r="W162">
        <v>0</v>
      </c>
      <c r="X162" t="s">
        <v>251</v>
      </c>
      <c r="Y162" t="s">
        <v>252</v>
      </c>
      <c r="Z162" t="s">
        <v>58</v>
      </c>
      <c r="AA162" t="s">
        <v>59</v>
      </c>
      <c r="AB162" t="s">
        <v>60</v>
      </c>
      <c r="AC162" t="s">
        <v>61</v>
      </c>
      <c r="AD162" t="s">
        <v>49</v>
      </c>
      <c r="AE162" t="s">
        <v>49</v>
      </c>
      <c r="AF162" t="s">
        <v>49</v>
      </c>
      <c r="AG162" t="s">
        <v>49</v>
      </c>
      <c r="AH162" t="s">
        <v>48</v>
      </c>
      <c r="AI162" t="s">
        <v>48</v>
      </c>
      <c r="AJ162" t="s">
        <v>48</v>
      </c>
      <c r="AK162" t="s">
        <v>62</v>
      </c>
      <c r="AL162" t="s">
        <v>63</v>
      </c>
      <c r="AM162" t="s">
        <v>61</v>
      </c>
      <c r="AN162" t="s">
        <v>64</v>
      </c>
      <c r="AO162" t="s">
        <v>253</v>
      </c>
      <c r="AP162">
        <v>37</v>
      </c>
      <c r="AQ162" t="s">
        <v>254</v>
      </c>
      <c r="AR162" t="s">
        <v>48</v>
      </c>
      <c r="AS162">
        <v>2015</v>
      </c>
      <c r="AT162" t="s">
        <v>49</v>
      </c>
      <c r="AU162" t="s">
        <v>48</v>
      </c>
      <c r="AV162" t="s">
        <v>48</v>
      </c>
      <c r="AW162" t="s">
        <v>48</v>
      </c>
    </row>
    <row r="163" spans="1:49" x14ac:dyDescent="0.3">
      <c r="A163" t="s">
        <v>631</v>
      </c>
      <c r="B163" t="s">
        <v>48</v>
      </c>
      <c r="C163" t="s">
        <v>49</v>
      </c>
      <c r="D163">
        <v>431.42</v>
      </c>
      <c r="E163">
        <v>0</v>
      </c>
      <c r="F163">
        <v>0.92</v>
      </c>
      <c r="G163" t="s">
        <v>632</v>
      </c>
      <c r="H163" t="s">
        <v>633</v>
      </c>
      <c r="I163" t="s">
        <v>52</v>
      </c>
      <c r="J163" t="s">
        <v>53</v>
      </c>
      <c r="K163">
        <v>300</v>
      </c>
      <c r="L163" t="s">
        <v>126</v>
      </c>
      <c r="M163">
        <f>DOWNLOAD_2kLRbPnDtawQopEJ_UKtt22ud9U57gk8mqebZIeugNk[[#This Row],[Standard Value]]</f>
        <v>300</v>
      </c>
      <c r="N163">
        <f>-LOG(DOWNLOAD_2kLRbPnDtawQopEJ_UKtt22ud9U57gk8mqebZIeugNk[[#This Row],[IC50]]*POWER(10, -9), 10)</f>
        <v>6.5228787452803365</v>
      </c>
      <c r="O163">
        <v>6.52</v>
      </c>
      <c r="P163" t="s">
        <v>48</v>
      </c>
      <c r="Q163">
        <v>302791</v>
      </c>
      <c r="R163" t="s">
        <v>127</v>
      </c>
      <c r="S163">
        <v>15.12</v>
      </c>
      <c r="T163">
        <v>0.28999999999999998</v>
      </c>
      <c r="U163">
        <v>5.6</v>
      </c>
      <c r="V163">
        <v>5.57</v>
      </c>
      <c r="W163">
        <v>0</v>
      </c>
      <c r="X163" t="s">
        <v>251</v>
      </c>
      <c r="Y163" t="s">
        <v>252</v>
      </c>
      <c r="Z163" t="s">
        <v>58</v>
      </c>
      <c r="AA163" t="s">
        <v>59</v>
      </c>
      <c r="AB163" t="s">
        <v>60</v>
      </c>
      <c r="AC163" t="s">
        <v>61</v>
      </c>
      <c r="AD163" t="s">
        <v>49</v>
      </c>
      <c r="AE163" t="s">
        <v>49</v>
      </c>
      <c r="AF163" t="s">
        <v>49</v>
      </c>
      <c r="AG163" t="s">
        <v>49</v>
      </c>
      <c r="AH163" t="s">
        <v>48</v>
      </c>
      <c r="AI163" t="s">
        <v>48</v>
      </c>
      <c r="AJ163" t="s">
        <v>48</v>
      </c>
      <c r="AK163" t="s">
        <v>62</v>
      </c>
      <c r="AL163" t="s">
        <v>63</v>
      </c>
      <c r="AM163" t="s">
        <v>61</v>
      </c>
      <c r="AN163" t="s">
        <v>64</v>
      </c>
      <c r="AO163" t="s">
        <v>253</v>
      </c>
      <c r="AP163">
        <v>37</v>
      </c>
      <c r="AQ163" t="s">
        <v>254</v>
      </c>
      <c r="AR163" t="s">
        <v>48</v>
      </c>
      <c r="AS163">
        <v>2015</v>
      </c>
      <c r="AT163" t="s">
        <v>49</v>
      </c>
      <c r="AU163" t="s">
        <v>48</v>
      </c>
      <c r="AV163" t="s">
        <v>48</v>
      </c>
      <c r="AW163" t="s">
        <v>48</v>
      </c>
    </row>
    <row r="164" spans="1:49" x14ac:dyDescent="0.3">
      <c r="A164" t="s">
        <v>634</v>
      </c>
      <c r="B164" t="s">
        <v>48</v>
      </c>
      <c r="C164" t="s">
        <v>49</v>
      </c>
      <c r="D164">
        <v>524.87</v>
      </c>
      <c r="E164">
        <v>1</v>
      </c>
      <c r="F164">
        <v>0.86</v>
      </c>
      <c r="G164" t="s">
        <v>635</v>
      </c>
      <c r="H164" t="s">
        <v>636</v>
      </c>
      <c r="I164" t="s">
        <v>52</v>
      </c>
      <c r="J164" t="s">
        <v>53</v>
      </c>
      <c r="K164">
        <v>30000</v>
      </c>
      <c r="L164" t="s">
        <v>126</v>
      </c>
      <c r="M164">
        <f>DOWNLOAD_2kLRbPnDtawQopEJ_UKtt22ud9U57gk8mqebZIeugNk[[#This Row],[Standard Value]]</f>
        <v>30000</v>
      </c>
      <c r="N164">
        <f>-LOG(DOWNLOAD_2kLRbPnDtawQopEJ_UKtt22ud9U57gk8mqebZIeugNk[[#This Row],[IC50]]*POWER(10, -9), 10)</f>
        <v>4.5228787452803374</v>
      </c>
      <c r="O164">
        <v>4.5199999999999996</v>
      </c>
      <c r="P164" t="s">
        <v>48</v>
      </c>
      <c r="Q164">
        <v>302902</v>
      </c>
      <c r="R164" t="s">
        <v>127</v>
      </c>
      <c r="S164">
        <v>8.6199999999999992</v>
      </c>
      <c r="T164">
        <v>0.17</v>
      </c>
      <c r="U164">
        <v>3.66</v>
      </c>
      <c r="V164">
        <v>3.08</v>
      </c>
      <c r="W164">
        <v>0</v>
      </c>
      <c r="X164" t="s">
        <v>251</v>
      </c>
      <c r="Y164" t="s">
        <v>252</v>
      </c>
      <c r="Z164" t="s">
        <v>58</v>
      </c>
      <c r="AA164" t="s">
        <v>59</v>
      </c>
      <c r="AB164" t="s">
        <v>60</v>
      </c>
      <c r="AC164" t="s">
        <v>61</v>
      </c>
      <c r="AD164" t="s">
        <v>49</v>
      </c>
      <c r="AE164" t="s">
        <v>49</v>
      </c>
      <c r="AF164" t="s">
        <v>49</v>
      </c>
      <c r="AG164" t="s">
        <v>49</v>
      </c>
      <c r="AH164" t="s">
        <v>48</v>
      </c>
      <c r="AI164" t="s">
        <v>48</v>
      </c>
      <c r="AJ164" t="s">
        <v>48</v>
      </c>
      <c r="AK164" t="s">
        <v>62</v>
      </c>
      <c r="AL164" t="s">
        <v>63</v>
      </c>
      <c r="AM164" t="s">
        <v>61</v>
      </c>
      <c r="AN164" t="s">
        <v>64</v>
      </c>
      <c r="AO164" t="s">
        <v>253</v>
      </c>
      <c r="AP164">
        <v>37</v>
      </c>
      <c r="AQ164" t="s">
        <v>254</v>
      </c>
      <c r="AR164" t="s">
        <v>48</v>
      </c>
      <c r="AS164">
        <v>2015</v>
      </c>
      <c r="AT164" t="s">
        <v>49</v>
      </c>
      <c r="AU164" t="s">
        <v>48</v>
      </c>
      <c r="AV164" t="s">
        <v>48</v>
      </c>
      <c r="AW164" t="s">
        <v>48</v>
      </c>
    </row>
    <row r="165" spans="1:49" x14ac:dyDescent="0.3">
      <c r="A165" t="s">
        <v>637</v>
      </c>
      <c r="B165" t="s">
        <v>48</v>
      </c>
      <c r="C165" t="s">
        <v>49</v>
      </c>
      <c r="D165">
        <v>490.9</v>
      </c>
      <c r="E165">
        <v>0</v>
      </c>
      <c r="F165">
        <v>0.91</v>
      </c>
      <c r="G165" t="s">
        <v>638</v>
      </c>
      <c r="H165" t="s">
        <v>639</v>
      </c>
      <c r="I165" t="s">
        <v>52</v>
      </c>
      <c r="J165" t="s">
        <v>53</v>
      </c>
      <c r="K165">
        <v>19000</v>
      </c>
      <c r="L165" t="s">
        <v>126</v>
      </c>
      <c r="M165">
        <f>DOWNLOAD_2kLRbPnDtawQopEJ_UKtt22ud9U57gk8mqebZIeugNk[[#This Row],[Standard Value]]</f>
        <v>19000</v>
      </c>
      <c r="N165">
        <f>-LOG(DOWNLOAD_2kLRbPnDtawQopEJ_UKtt22ud9U57gk8mqebZIeugNk[[#This Row],[IC50]]*POWER(10, -9), 10)</f>
        <v>4.7212463990471703</v>
      </c>
      <c r="O165">
        <v>4.72</v>
      </c>
      <c r="P165" t="s">
        <v>48</v>
      </c>
      <c r="Q165">
        <v>302899</v>
      </c>
      <c r="R165" t="s">
        <v>127</v>
      </c>
      <c r="S165">
        <v>9.6199999999999992</v>
      </c>
      <c r="T165">
        <v>0.19</v>
      </c>
      <c r="U165">
        <v>3.81</v>
      </c>
      <c r="V165">
        <v>3.03</v>
      </c>
      <c r="W165">
        <v>0</v>
      </c>
      <c r="X165" t="s">
        <v>251</v>
      </c>
      <c r="Y165" t="s">
        <v>252</v>
      </c>
      <c r="Z165" t="s">
        <v>58</v>
      </c>
      <c r="AA165" t="s">
        <v>59</v>
      </c>
      <c r="AB165" t="s">
        <v>60</v>
      </c>
      <c r="AC165" t="s">
        <v>61</v>
      </c>
      <c r="AD165" t="s">
        <v>49</v>
      </c>
      <c r="AE165" t="s">
        <v>49</v>
      </c>
      <c r="AF165" t="s">
        <v>49</v>
      </c>
      <c r="AG165" t="s">
        <v>49</v>
      </c>
      <c r="AH165" t="s">
        <v>48</v>
      </c>
      <c r="AI165" t="s">
        <v>48</v>
      </c>
      <c r="AJ165" t="s">
        <v>48</v>
      </c>
      <c r="AK165" t="s">
        <v>62</v>
      </c>
      <c r="AL165" t="s">
        <v>63</v>
      </c>
      <c r="AM165" t="s">
        <v>61</v>
      </c>
      <c r="AN165" t="s">
        <v>64</v>
      </c>
      <c r="AO165" t="s">
        <v>253</v>
      </c>
      <c r="AP165">
        <v>37</v>
      </c>
      <c r="AQ165" t="s">
        <v>254</v>
      </c>
      <c r="AR165" t="s">
        <v>48</v>
      </c>
      <c r="AS165">
        <v>2015</v>
      </c>
      <c r="AT165" t="s">
        <v>49</v>
      </c>
      <c r="AU165" t="s">
        <v>48</v>
      </c>
      <c r="AV165" t="s">
        <v>48</v>
      </c>
      <c r="AW165" t="s">
        <v>48</v>
      </c>
    </row>
    <row r="166" spans="1:49" x14ac:dyDescent="0.3">
      <c r="A166" t="s">
        <v>640</v>
      </c>
      <c r="B166" t="s">
        <v>48</v>
      </c>
      <c r="C166" t="s">
        <v>49</v>
      </c>
      <c r="D166">
        <v>582.55999999999995</v>
      </c>
      <c r="E166">
        <v>1</v>
      </c>
      <c r="F166">
        <v>2.5</v>
      </c>
      <c r="G166" t="s">
        <v>306</v>
      </c>
      <c r="H166" t="s">
        <v>641</v>
      </c>
      <c r="I166" t="s">
        <v>52</v>
      </c>
      <c r="J166" t="s">
        <v>53</v>
      </c>
      <c r="K166">
        <v>50000</v>
      </c>
      <c r="L166" t="s">
        <v>126</v>
      </c>
      <c r="M166">
        <f>DOWNLOAD_2kLRbPnDtawQopEJ_UKtt22ud9U57gk8mqebZIeugNk[[#This Row],[Standard Value]]</f>
        <v>50000</v>
      </c>
      <c r="N166">
        <f>-LOG(DOWNLOAD_2kLRbPnDtawQopEJ_UKtt22ud9U57gk8mqebZIeugNk[[#This Row],[IC50]]*POWER(10, -9), 10)</f>
        <v>4.3010299956639804</v>
      </c>
      <c r="O166">
        <v>4.3</v>
      </c>
      <c r="P166" t="s">
        <v>48</v>
      </c>
      <c r="R166" t="s">
        <v>127</v>
      </c>
      <c r="S166">
        <v>7.38</v>
      </c>
      <c r="T166">
        <v>0.14000000000000001</v>
      </c>
      <c r="U166">
        <v>1.8</v>
      </c>
      <c r="V166">
        <v>3.13</v>
      </c>
      <c r="W166">
        <v>0</v>
      </c>
      <c r="X166" t="s">
        <v>193</v>
      </c>
      <c r="Y166" t="s">
        <v>194</v>
      </c>
      <c r="Z166" t="s">
        <v>58</v>
      </c>
      <c r="AA166" t="s">
        <v>59</v>
      </c>
      <c r="AB166" t="s">
        <v>60</v>
      </c>
      <c r="AC166" t="s">
        <v>61</v>
      </c>
      <c r="AD166" t="s">
        <v>49</v>
      </c>
      <c r="AE166" t="s">
        <v>49</v>
      </c>
      <c r="AF166" t="s">
        <v>49</v>
      </c>
      <c r="AG166" t="s">
        <v>49</v>
      </c>
      <c r="AH166" t="s">
        <v>48</v>
      </c>
      <c r="AI166" t="s">
        <v>48</v>
      </c>
      <c r="AJ166" t="s">
        <v>48</v>
      </c>
      <c r="AK166" t="s">
        <v>62</v>
      </c>
      <c r="AL166" t="s">
        <v>63</v>
      </c>
      <c r="AM166" t="s">
        <v>61</v>
      </c>
      <c r="AN166" t="s">
        <v>64</v>
      </c>
      <c r="AO166" t="s">
        <v>195</v>
      </c>
      <c r="AP166">
        <v>1</v>
      </c>
      <c r="AQ166" t="s">
        <v>66</v>
      </c>
      <c r="AR166" t="s">
        <v>76</v>
      </c>
      <c r="AS166">
        <v>2003</v>
      </c>
      <c r="AT166" t="s">
        <v>49</v>
      </c>
      <c r="AU166" t="s">
        <v>48</v>
      </c>
      <c r="AV166" t="s">
        <v>48</v>
      </c>
      <c r="AW166" t="s">
        <v>48</v>
      </c>
    </row>
    <row r="167" spans="1:49" x14ac:dyDescent="0.3">
      <c r="A167" t="s">
        <v>642</v>
      </c>
      <c r="B167" t="s">
        <v>48</v>
      </c>
      <c r="C167" t="s">
        <v>49</v>
      </c>
      <c r="D167">
        <v>658.73</v>
      </c>
      <c r="E167">
        <v>2</v>
      </c>
      <c r="F167">
        <v>5.69</v>
      </c>
      <c r="G167" t="s">
        <v>643</v>
      </c>
      <c r="H167" t="s">
        <v>644</v>
      </c>
      <c r="I167" t="s">
        <v>52</v>
      </c>
      <c r="J167" t="s">
        <v>53</v>
      </c>
      <c r="K167">
        <v>3000</v>
      </c>
      <c r="L167" t="s">
        <v>126</v>
      </c>
      <c r="M167">
        <f>DOWNLOAD_2kLRbPnDtawQopEJ_UKtt22ud9U57gk8mqebZIeugNk[[#This Row],[Standard Value]]</f>
        <v>3000</v>
      </c>
      <c r="N167">
        <f>-LOG(DOWNLOAD_2kLRbPnDtawQopEJ_UKtt22ud9U57gk8mqebZIeugNk[[#This Row],[IC50]]*POWER(10, -9), 10)</f>
        <v>5.5228787452803374</v>
      </c>
      <c r="O167">
        <v>5.52</v>
      </c>
      <c r="P167" t="s">
        <v>48</v>
      </c>
      <c r="R167" t="s">
        <v>127</v>
      </c>
      <c r="S167">
        <v>8.3800000000000008</v>
      </c>
      <c r="T167">
        <v>0.16</v>
      </c>
      <c r="U167">
        <v>-0.17</v>
      </c>
      <c r="V167">
        <v>3.88</v>
      </c>
      <c r="W167">
        <v>0</v>
      </c>
      <c r="X167" t="s">
        <v>645</v>
      </c>
      <c r="Y167" t="s">
        <v>646</v>
      </c>
      <c r="Z167" t="s">
        <v>58</v>
      </c>
      <c r="AA167" t="s">
        <v>59</v>
      </c>
      <c r="AB167" t="s">
        <v>60</v>
      </c>
      <c r="AC167" t="s">
        <v>61</v>
      </c>
      <c r="AD167" t="s">
        <v>49</v>
      </c>
      <c r="AE167" t="s">
        <v>49</v>
      </c>
      <c r="AF167" t="s">
        <v>49</v>
      </c>
      <c r="AG167" t="s">
        <v>49</v>
      </c>
      <c r="AH167" t="s">
        <v>48</v>
      </c>
      <c r="AI167" t="s">
        <v>48</v>
      </c>
      <c r="AJ167" t="s">
        <v>647</v>
      </c>
      <c r="AK167" t="s">
        <v>62</v>
      </c>
      <c r="AL167" t="s">
        <v>63</v>
      </c>
      <c r="AM167" t="s">
        <v>61</v>
      </c>
      <c r="AN167" t="s">
        <v>64</v>
      </c>
      <c r="AO167" t="s">
        <v>648</v>
      </c>
      <c r="AP167">
        <v>1</v>
      </c>
      <c r="AQ167" t="s">
        <v>66</v>
      </c>
      <c r="AR167" t="s">
        <v>329</v>
      </c>
      <c r="AS167">
        <v>2016</v>
      </c>
      <c r="AT167" t="s">
        <v>49</v>
      </c>
      <c r="AU167" t="s">
        <v>48</v>
      </c>
      <c r="AV167" t="s">
        <v>48</v>
      </c>
      <c r="AW167" t="s">
        <v>48</v>
      </c>
    </row>
    <row r="168" spans="1:49" x14ac:dyDescent="0.3">
      <c r="A168" t="s">
        <v>649</v>
      </c>
      <c r="B168" t="s">
        <v>48</v>
      </c>
      <c r="C168" t="s">
        <v>49</v>
      </c>
      <c r="D168">
        <v>401.44</v>
      </c>
      <c r="E168">
        <v>0</v>
      </c>
      <c r="F168">
        <v>1.77</v>
      </c>
      <c r="G168" t="s">
        <v>650</v>
      </c>
      <c r="H168" t="s">
        <v>651</v>
      </c>
      <c r="I168" t="s">
        <v>52</v>
      </c>
      <c r="J168" t="s">
        <v>53</v>
      </c>
      <c r="K168">
        <v>3500</v>
      </c>
      <c r="L168" t="s">
        <v>126</v>
      </c>
      <c r="M168">
        <f>DOWNLOAD_2kLRbPnDtawQopEJ_UKtt22ud9U57gk8mqebZIeugNk[[#This Row],[Standard Value]]</f>
        <v>3500</v>
      </c>
      <c r="N168">
        <f>-LOG(DOWNLOAD_2kLRbPnDtawQopEJ_UKtt22ud9U57gk8mqebZIeugNk[[#This Row],[IC50]]*POWER(10, -9), 10)</f>
        <v>5.4559319556497234</v>
      </c>
      <c r="O168">
        <v>5.46</v>
      </c>
      <c r="P168" t="s">
        <v>48</v>
      </c>
      <c r="R168" t="s">
        <v>127</v>
      </c>
      <c r="S168">
        <v>13.59</v>
      </c>
      <c r="T168">
        <v>0.26</v>
      </c>
      <c r="U168">
        <v>3.69</v>
      </c>
      <c r="V168">
        <v>5.75</v>
      </c>
      <c r="W168">
        <v>0</v>
      </c>
      <c r="X168" t="s">
        <v>652</v>
      </c>
      <c r="Y168" t="s">
        <v>653</v>
      </c>
      <c r="Z168" t="s">
        <v>58</v>
      </c>
      <c r="AA168" t="s">
        <v>59</v>
      </c>
      <c r="AB168" t="s">
        <v>60</v>
      </c>
      <c r="AC168" t="s">
        <v>61</v>
      </c>
      <c r="AD168" t="s">
        <v>49</v>
      </c>
      <c r="AE168" t="s">
        <v>49</v>
      </c>
      <c r="AF168" t="s">
        <v>49</v>
      </c>
      <c r="AG168" t="s">
        <v>49</v>
      </c>
      <c r="AH168" t="s">
        <v>48</v>
      </c>
      <c r="AI168" t="s">
        <v>48</v>
      </c>
      <c r="AJ168" t="s">
        <v>48</v>
      </c>
      <c r="AK168" t="s">
        <v>62</v>
      </c>
      <c r="AL168" t="s">
        <v>63</v>
      </c>
      <c r="AM168" t="s">
        <v>61</v>
      </c>
      <c r="AN168" t="s">
        <v>64</v>
      </c>
      <c r="AO168" t="s">
        <v>654</v>
      </c>
      <c r="AP168">
        <v>1</v>
      </c>
      <c r="AQ168" t="s">
        <v>66</v>
      </c>
      <c r="AR168" t="s">
        <v>267</v>
      </c>
      <c r="AS168">
        <v>2020</v>
      </c>
      <c r="AT168" t="s">
        <v>49</v>
      </c>
      <c r="AU168" t="s">
        <v>48</v>
      </c>
      <c r="AV168" t="s">
        <v>48</v>
      </c>
      <c r="AW168" t="s">
        <v>48</v>
      </c>
    </row>
    <row r="169" spans="1:49" x14ac:dyDescent="0.3">
      <c r="A169" t="s">
        <v>655</v>
      </c>
      <c r="B169" t="s">
        <v>656</v>
      </c>
      <c r="C169" t="s">
        <v>112</v>
      </c>
      <c r="D169">
        <v>137.13999999999999</v>
      </c>
      <c r="E169">
        <v>0</v>
      </c>
      <c r="F169">
        <v>-0.31</v>
      </c>
      <c r="G169" t="s">
        <v>656</v>
      </c>
      <c r="H169" t="s">
        <v>657</v>
      </c>
      <c r="I169" t="s">
        <v>52</v>
      </c>
      <c r="J169" t="s">
        <v>71</v>
      </c>
      <c r="K169">
        <v>1000000</v>
      </c>
      <c r="L169" t="s">
        <v>126</v>
      </c>
      <c r="M169">
        <f>DOWNLOAD_2kLRbPnDtawQopEJ_UKtt22ud9U57gk8mqebZIeugNk[[#This Row],[Standard Value]]</f>
        <v>1000000</v>
      </c>
      <c r="N169">
        <f>-LOG(DOWNLOAD_2kLRbPnDtawQopEJ_UKtt22ud9U57gk8mqebZIeugNk[[#This Row],[IC50]]*POWER(10, -9), 10)</f>
        <v>2.9999999999999996</v>
      </c>
      <c r="P169" t="s">
        <v>72</v>
      </c>
      <c r="R169" t="s">
        <v>127</v>
      </c>
      <c r="W169">
        <v>0</v>
      </c>
      <c r="X169" t="s">
        <v>458</v>
      </c>
      <c r="Y169" t="s">
        <v>459</v>
      </c>
      <c r="Z169" t="s">
        <v>58</v>
      </c>
      <c r="AA169" t="s">
        <v>59</v>
      </c>
      <c r="AB169" t="s">
        <v>60</v>
      </c>
      <c r="AC169" t="s">
        <v>61</v>
      </c>
      <c r="AD169" t="s">
        <v>49</v>
      </c>
      <c r="AE169" t="s">
        <v>49</v>
      </c>
      <c r="AF169" t="s">
        <v>49</v>
      </c>
      <c r="AG169" t="s">
        <v>49</v>
      </c>
      <c r="AH169" t="s">
        <v>48</v>
      </c>
      <c r="AI169" t="s">
        <v>48</v>
      </c>
      <c r="AJ169" t="s">
        <v>48</v>
      </c>
      <c r="AK169" t="s">
        <v>62</v>
      </c>
      <c r="AL169" t="s">
        <v>63</v>
      </c>
      <c r="AM169" t="s">
        <v>61</v>
      </c>
      <c r="AN169" t="s">
        <v>64</v>
      </c>
      <c r="AO169" t="s">
        <v>460</v>
      </c>
      <c r="AP169">
        <v>1</v>
      </c>
      <c r="AQ169" t="s">
        <v>66</v>
      </c>
      <c r="AR169" t="s">
        <v>267</v>
      </c>
      <c r="AS169">
        <v>2019</v>
      </c>
      <c r="AT169" t="s">
        <v>49</v>
      </c>
      <c r="AU169" t="s">
        <v>48</v>
      </c>
      <c r="AV169" t="s">
        <v>48</v>
      </c>
      <c r="AW169" t="s">
        <v>48</v>
      </c>
    </row>
    <row r="170" spans="1:49" x14ac:dyDescent="0.3">
      <c r="A170" t="s">
        <v>658</v>
      </c>
      <c r="B170" t="s">
        <v>48</v>
      </c>
      <c r="C170" t="s">
        <v>49</v>
      </c>
      <c r="D170">
        <v>605.57000000000005</v>
      </c>
      <c r="E170">
        <v>1</v>
      </c>
      <c r="F170">
        <v>4.21</v>
      </c>
      <c r="G170" t="s">
        <v>102</v>
      </c>
      <c r="H170" t="s">
        <v>659</v>
      </c>
      <c r="I170" t="s">
        <v>52</v>
      </c>
      <c r="J170" t="s">
        <v>53</v>
      </c>
      <c r="K170">
        <v>3690</v>
      </c>
      <c r="L170" t="s">
        <v>126</v>
      </c>
      <c r="M170">
        <f>DOWNLOAD_2kLRbPnDtawQopEJ_UKtt22ud9U57gk8mqebZIeugNk[[#This Row],[Standard Value]]</f>
        <v>3690</v>
      </c>
      <c r="N170">
        <f>-LOG(DOWNLOAD_2kLRbPnDtawQopEJ_UKtt22ud9U57gk8mqebZIeugNk[[#This Row],[IC50]]*POWER(10, -9), 10)</f>
        <v>5.4329736338409393</v>
      </c>
      <c r="O170">
        <v>5.43</v>
      </c>
      <c r="P170" t="s">
        <v>48</v>
      </c>
      <c r="R170" t="s">
        <v>127</v>
      </c>
      <c r="S170">
        <v>8.9700000000000006</v>
      </c>
      <c r="T170">
        <v>0.17</v>
      </c>
      <c r="U170">
        <v>1.22</v>
      </c>
      <c r="V170">
        <v>5.36</v>
      </c>
      <c r="W170">
        <v>0</v>
      </c>
      <c r="X170" t="s">
        <v>527</v>
      </c>
      <c r="Y170" t="s">
        <v>528</v>
      </c>
      <c r="Z170" t="s">
        <v>58</v>
      </c>
      <c r="AA170" t="s">
        <v>59</v>
      </c>
      <c r="AB170" t="s">
        <v>60</v>
      </c>
      <c r="AC170" t="s">
        <v>61</v>
      </c>
      <c r="AD170" t="s">
        <v>49</v>
      </c>
      <c r="AE170" t="s">
        <v>49</v>
      </c>
      <c r="AF170" t="s">
        <v>49</v>
      </c>
      <c r="AG170" t="s">
        <v>49</v>
      </c>
      <c r="AH170" t="s">
        <v>48</v>
      </c>
      <c r="AI170" t="s">
        <v>48</v>
      </c>
      <c r="AJ170" t="s">
        <v>48</v>
      </c>
      <c r="AK170" t="s">
        <v>62</v>
      </c>
      <c r="AL170" t="s">
        <v>63</v>
      </c>
      <c r="AM170" t="s">
        <v>61</v>
      </c>
      <c r="AN170" t="s">
        <v>64</v>
      </c>
      <c r="AO170" t="s">
        <v>529</v>
      </c>
      <c r="AP170">
        <v>1</v>
      </c>
      <c r="AQ170" t="s">
        <v>66</v>
      </c>
      <c r="AR170" t="s">
        <v>267</v>
      </c>
      <c r="AS170">
        <v>2014</v>
      </c>
      <c r="AT170" t="s">
        <v>49</v>
      </c>
      <c r="AU170" t="s">
        <v>48</v>
      </c>
      <c r="AV170" t="s">
        <v>48</v>
      </c>
      <c r="AW170" t="s">
        <v>48</v>
      </c>
    </row>
    <row r="171" spans="1:49" x14ac:dyDescent="0.3">
      <c r="A171" t="s">
        <v>660</v>
      </c>
      <c r="B171" t="s">
        <v>48</v>
      </c>
      <c r="C171" t="s">
        <v>49</v>
      </c>
      <c r="D171">
        <v>551.54999999999995</v>
      </c>
      <c r="E171">
        <v>1</v>
      </c>
      <c r="F171">
        <v>3.42</v>
      </c>
      <c r="G171" t="s">
        <v>561</v>
      </c>
      <c r="H171" t="s">
        <v>661</v>
      </c>
      <c r="I171" t="s">
        <v>52</v>
      </c>
      <c r="J171" t="s">
        <v>53</v>
      </c>
      <c r="K171">
        <v>2840</v>
      </c>
      <c r="L171" t="s">
        <v>126</v>
      </c>
      <c r="M171">
        <f>DOWNLOAD_2kLRbPnDtawQopEJ_UKtt22ud9U57gk8mqebZIeugNk[[#This Row],[Standard Value]]</f>
        <v>2840</v>
      </c>
      <c r="N171">
        <f>-LOG(DOWNLOAD_2kLRbPnDtawQopEJ_UKtt22ud9U57gk8mqebZIeugNk[[#This Row],[IC50]]*POWER(10, -9), 10)</f>
        <v>5.546681659952962</v>
      </c>
      <c r="O171">
        <v>5.55</v>
      </c>
      <c r="P171" t="s">
        <v>48</v>
      </c>
      <c r="R171" t="s">
        <v>127</v>
      </c>
      <c r="S171">
        <v>10.06</v>
      </c>
      <c r="T171">
        <v>0.19</v>
      </c>
      <c r="U171">
        <v>2.13</v>
      </c>
      <c r="V171">
        <v>5.47</v>
      </c>
      <c r="W171">
        <v>0</v>
      </c>
      <c r="X171" t="s">
        <v>527</v>
      </c>
      <c r="Y171" t="s">
        <v>528</v>
      </c>
      <c r="Z171" t="s">
        <v>58</v>
      </c>
      <c r="AA171" t="s">
        <v>59</v>
      </c>
      <c r="AB171" t="s">
        <v>60</v>
      </c>
      <c r="AC171" t="s">
        <v>61</v>
      </c>
      <c r="AD171" t="s">
        <v>49</v>
      </c>
      <c r="AE171" t="s">
        <v>49</v>
      </c>
      <c r="AF171" t="s">
        <v>49</v>
      </c>
      <c r="AG171" t="s">
        <v>49</v>
      </c>
      <c r="AH171" t="s">
        <v>48</v>
      </c>
      <c r="AI171" t="s">
        <v>48</v>
      </c>
      <c r="AJ171" t="s">
        <v>48</v>
      </c>
      <c r="AK171" t="s">
        <v>62</v>
      </c>
      <c r="AL171" t="s">
        <v>63</v>
      </c>
      <c r="AM171" t="s">
        <v>61</v>
      </c>
      <c r="AN171" t="s">
        <v>64</v>
      </c>
      <c r="AO171" t="s">
        <v>529</v>
      </c>
      <c r="AP171">
        <v>1</v>
      </c>
      <c r="AQ171" t="s">
        <v>66</v>
      </c>
      <c r="AR171" t="s">
        <v>267</v>
      </c>
      <c r="AS171">
        <v>2014</v>
      </c>
      <c r="AT171" t="s">
        <v>49</v>
      </c>
      <c r="AU171" t="s">
        <v>48</v>
      </c>
      <c r="AV171" t="s">
        <v>48</v>
      </c>
      <c r="AW171" t="s">
        <v>48</v>
      </c>
    </row>
    <row r="172" spans="1:49" x14ac:dyDescent="0.3">
      <c r="A172" t="s">
        <v>662</v>
      </c>
      <c r="B172" t="s">
        <v>48</v>
      </c>
      <c r="C172" t="s">
        <v>49</v>
      </c>
      <c r="D172">
        <v>535.48</v>
      </c>
      <c r="E172">
        <v>1</v>
      </c>
      <c r="F172">
        <v>1.73</v>
      </c>
      <c r="G172" t="s">
        <v>663</v>
      </c>
      <c r="H172" t="s">
        <v>664</v>
      </c>
      <c r="I172" t="s">
        <v>52</v>
      </c>
      <c r="J172" t="s">
        <v>53</v>
      </c>
      <c r="K172">
        <v>6400</v>
      </c>
      <c r="L172" t="s">
        <v>126</v>
      </c>
      <c r="M172">
        <f>DOWNLOAD_2kLRbPnDtawQopEJ_UKtt22ud9U57gk8mqebZIeugNk[[#This Row],[Standard Value]]</f>
        <v>6400</v>
      </c>
      <c r="N172">
        <f>-LOG(DOWNLOAD_2kLRbPnDtawQopEJ_UKtt22ud9U57gk8mqebZIeugNk[[#This Row],[IC50]]*POWER(10, -9), 10)</f>
        <v>5.1938200260161125</v>
      </c>
      <c r="O172">
        <v>5.19</v>
      </c>
      <c r="P172" t="s">
        <v>48</v>
      </c>
      <c r="Q172">
        <v>302934</v>
      </c>
      <c r="R172" t="s">
        <v>127</v>
      </c>
      <c r="S172">
        <v>9.6999999999999993</v>
      </c>
      <c r="T172">
        <v>0.19</v>
      </c>
      <c r="U172">
        <v>3.46</v>
      </c>
      <c r="V172">
        <v>3.87</v>
      </c>
      <c r="W172">
        <v>0</v>
      </c>
      <c r="X172" t="s">
        <v>251</v>
      </c>
      <c r="Y172" t="s">
        <v>252</v>
      </c>
      <c r="Z172" t="s">
        <v>58</v>
      </c>
      <c r="AA172" t="s">
        <v>59</v>
      </c>
      <c r="AB172" t="s">
        <v>60</v>
      </c>
      <c r="AC172" t="s">
        <v>61</v>
      </c>
      <c r="AD172" t="s">
        <v>49</v>
      </c>
      <c r="AE172" t="s">
        <v>49</v>
      </c>
      <c r="AF172" t="s">
        <v>49</v>
      </c>
      <c r="AG172" t="s">
        <v>49</v>
      </c>
      <c r="AH172" t="s">
        <v>48</v>
      </c>
      <c r="AI172" t="s">
        <v>48</v>
      </c>
      <c r="AJ172" t="s">
        <v>48</v>
      </c>
      <c r="AK172" t="s">
        <v>62</v>
      </c>
      <c r="AL172" t="s">
        <v>63</v>
      </c>
      <c r="AM172" t="s">
        <v>61</v>
      </c>
      <c r="AN172" t="s">
        <v>64</v>
      </c>
      <c r="AO172" t="s">
        <v>253</v>
      </c>
      <c r="AP172">
        <v>37</v>
      </c>
      <c r="AQ172" t="s">
        <v>254</v>
      </c>
      <c r="AR172" t="s">
        <v>48</v>
      </c>
      <c r="AS172">
        <v>2015</v>
      </c>
      <c r="AT172" t="s">
        <v>49</v>
      </c>
      <c r="AU172" t="s">
        <v>48</v>
      </c>
      <c r="AV172" t="s">
        <v>48</v>
      </c>
      <c r="AW172" t="s">
        <v>48</v>
      </c>
    </row>
    <row r="173" spans="1:49" x14ac:dyDescent="0.3">
      <c r="A173" t="s">
        <v>665</v>
      </c>
      <c r="B173" t="s">
        <v>48</v>
      </c>
      <c r="C173" t="s">
        <v>49</v>
      </c>
      <c r="D173">
        <v>469.43</v>
      </c>
      <c r="E173">
        <v>0</v>
      </c>
      <c r="F173">
        <v>0.65</v>
      </c>
      <c r="G173" t="s">
        <v>666</v>
      </c>
      <c r="H173" t="s">
        <v>667</v>
      </c>
      <c r="I173" t="s">
        <v>52</v>
      </c>
      <c r="J173" t="s">
        <v>53</v>
      </c>
      <c r="K173">
        <v>1300</v>
      </c>
      <c r="L173" t="s">
        <v>126</v>
      </c>
      <c r="M173">
        <f>DOWNLOAD_2kLRbPnDtawQopEJ_UKtt22ud9U57gk8mqebZIeugNk[[#This Row],[Standard Value]]</f>
        <v>1300</v>
      </c>
      <c r="N173">
        <f>-LOG(DOWNLOAD_2kLRbPnDtawQopEJ_UKtt22ud9U57gk8mqebZIeugNk[[#This Row],[IC50]]*POWER(10, -9), 10)</f>
        <v>5.8860566476931622</v>
      </c>
      <c r="O173">
        <v>5.89</v>
      </c>
      <c r="P173" t="s">
        <v>48</v>
      </c>
      <c r="Q173">
        <v>302957</v>
      </c>
      <c r="R173" t="s">
        <v>127</v>
      </c>
      <c r="S173">
        <v>12.54</v>
      </c>
      <c r="T173">
        <v>0.24</v>
      </c>
      <c r="U173">
        <v>5.24</v>
      </c>
      <c r="V173">
        <v>4.07</v>
      </c>
      <c r="W173">
        <v>0</v>
      </c>
      <c r="X173" t="s">
        <v>251</v>
      </c>
      <c r="Y173" t="s">
        <v>252</v>
      </c>
      <c r="Z173" t="s">
        <v>58</v>
      </c>
      <c r="AA173" t="s">
        <v>59</v>
      </c>
      <c r="AB173" t="s">
        <v>60</v>
      </c>
      <c r="AC173" t="s">
        <v>61</v>
      </c>
      <c r="AD173" t="s">
        <v>49</v>
      </c>
      <c r="AE173" t="s">
        <v>49</v>
      </c>
      <c r="AF173" t="s">
        <v>49</v>
      </c>
      <c r="AG173" t="s">
        <v>49</v>
      </c>
      <c r="AH173" t="s">
        <v>48</v>
      </c>
      <c r="AI173" t="s">
        <v>48</v>
      </c>
      <c r="AJ173" t="s">
        <v>48</v>
      </c>
      <c r="AK173" t="s">
        <v>62</v>
      </c>
      <c r="AL173" t="s">
        <v>63</v>
      </c>
      <c r="AM173" t="s">
        <v>61</v>
      </c>
      <c r="AN173" t="s">
        <v>64</v>
      </c>
      <c r="AO173" t="s">
        <v>253</v>
      </c>
      <c r="AP173">
        <v>37</v>
      </c>
      <c r="AQ173" t="s">
        <v>254</v>
      </c>
      <c r="AR173" t="s">
        <v>48</v>
      </c>
      <c r="AS173">
        <v>2015</v>
      </c>
      <c r="AT173" t="s">
        <v>49</v>
      </c>
      <c r="AU173" t="s">
        <v>48</v>
      </c>
      <c r="AV173" t="s">
        <v>48</v>
      </c>
      <c r="AW173" t="s">
        <v>48</v>
      </c>
    </row>
    <row r="174" spans="1:49" x14ac:dyDescent="0.3">
      <c r="A174" t="s">
        <v>668</v>
      </c>
      <c r="B174" t="s">
        <v>48</v>
      </c>
      <c r="C174" t="s">
        <v>49</v>
      </c>
      <c r="D174">
        <v>383.46</v>
      </c>
      <c r="E174">
        <v>0</v>
      </c>
      <c r="F174">
        <v>1.62</v>
      </c>
      <c r="G174" t="s">
        <v>669</v>
      </c>
      <c r="H174" t="s">
        <v>670</v>
      </c>
      <c r="I174" t="s">
        <v>52</v>
      </c>
      <c r="J174" t="s">
        <v>53</v>
      </c>
      <c r="K174">
        <v>5660</v>
      </c>
      <c r="L174" t="s">
        <v>126</v>
      </c>
      <c r="M174">
        <f>DOWNLOAD_2kLRbPnDtawQopEJ_UKtt22ud9U57gk8mqebZIeugNk[[#This Row],[Standard Value]]</f>
        <v>5660</v>
      </c>
      <c r="N174">
        <f>-LOG(DOWNLOAD_2kLRbPnDtawQopEJ_UKtt22ud9U57gk8mqebZIeugNk[[#This Row],[IC50]]*POWER(10, -9), 10)</f>
        <v>5.2471835688117281</v>
      </c>
      <c r="O174">
        <v>5.25</v>
      </c>
      <c r="P174" t="s">
        <v>48</v>
      </c>
      <c r="R174" t="s">
        <v>127</v>
      </c>
      <c r="S174">
        <v>13.68</v>
      </c>
      <c r="T174">
        <v>0.26</v>
      </c>
      <c r="U174">
        <v>3.63</v>
      </c>
      <c r="V174">
        <v>5.12</v>
      </c>
      <c r="W174">
        <v>0</v>
      </c>
      <c r="X174" t="s">
        <v>128</v>
      </c>
      <c r="Y174" t="s">
        <v>129</v>
      </c>
      <c r="Z174" t="s">
        <v>58</v>
      </c>
      <c r="AA174" t="s">
        <v>59</v>
      </c>
      <c r="AB174" t="s">
        <v>60</v>
      </c>
      <c r="AC174" t="s">
        <v>61</v>
      </c>
      <c r="AD174" t="s">
        <v>49</v>
      </c>
      <c r="AE174" t="s">
        <v>49</v>
      </c>
      <c r="AF174" t="s">
        <v>49</v>
      </c>
      <c r="AG174" t="s">
        <v>49</v>
      </c>
      <c r="AH174" t="s">
        <v>48</v>
      </c>
      <c r="AI174" t="s">
        <v>48</v>
      </c>
      <c r="AJ174" t="s">
        <v>48</v>
      </c>
      <c r="AK174" t="s">
        <v>62</v>
      </c>
      <c r="AL174" t="s">
        <v>63</v>
      </c>
      <c r="AM174" t="s">
        <v>61</v>
      </c>
      <c r="AN174" t="s">
        <v>64</v>
      </c>
      <c r="AO174" t="s">
        <v>130</v>
      </c>
      <c r="AP174">
        <v>1</v>
      </c>
      <c r="AQ174" t="s">
        <v>66</v>
      </c>
      <c r="AR174" t="s">
        <v>131</v>
      </c>
      <c r="AS174">
        <v>2014</v>
      </c>
      <c r="AT174" t="s">
        <v>49</v>
      </c>
      <c r="AU174" t="s">
        <v>48</v>
      </c>
      <c r="AV174" t="s">
        <v>48</v>
      </c>
      <c r="AW174" t="s">
        <v>48</v>
      </c>
    </row>
    <row r="175" spans="1:49" x14ac:dyDescent="0.3">
      <c r="A175" t="s">
        <v>671</v>
      </c>
      <c r="B175" t="s">
        <v>48</v>
      </c>
      <c r="C175" t="s">
        <v>49</v>
      </c>
      <c r="D175">
        <v>318.76</v>
      </c>
      <c r="E175">
        <v>0</v>
      </c>
      <c r="F175">
        <v>3.13</v>
      </c>
      <c r="G175" t="s">
        <v>672</v>
      </c>
      <c r="H175" t="s">
        <v>673</v>
      </c>
      <c r="I175" t="s">
        <v>52</v>
      </c>
      <c r="J175" t="s">
        <v>53</v>
      </c>
      <c r="K175">
        <v>2100</v>
      </c>
      <c r="L175" t="s">
        <v>126</v>
      </c>
      <c r="M175">
        <f>DOWNLOAD_2kLRbPnDtawQopEJ_UKtt22ud9U57gk8mqebZIeugNk[[#This Row],[Standard Value]]</f>
        <v>2100</v>
      </c>
      <c r="N175">
        <f>-LOG(DOWNLOAD_2kLRbPnDtawQopEJ_UKtt22ud9U57gk8mqebZIeugNk[[#This Row],[IC50]]*POWER(10, -9), 10)</f>
        <v>5.6777807052660796</v>
      </c>
      <c r="O175">
        <v>5.68</v>
      </c>
      <c r="P175" t="s">
        <v>48</v>
      </c>
      <c r="R175" t="s">
        <v>127</v>
      </c>
      <c r="S175">
        <v>17.809999999999999</v>
      </c>
      <c r="T175">
        <v>0.35</v>
      </c>
      <c r="U175">
        <v>2.5499999999999998</v>
      </c>
      <c r="V175">
        <v>6.83</v>
      </c>
      <c r="W175">
        <v>0</v>
      </c>
      <c r="X175" t="s">
        <v>128</v>
      </c>
      <c r="Y175" t="s">
        <v>129</v>
      </c>
      <c r="Z175" t="s">
        <v>58</v>
      </c>
      <c r="AA175" t="s">
        <v>59</v>
      </c>
      <c r="AB175" t="s">
        <v>60</v>
      </c>
      <c r="AC175" t="s">
        <v>61</v>
      </c>
      <c r="AD175" t="s">
        <v>49</v>
      </c>
      <c r="AE175" t="s">
        <v>49</v>
      </c>
      <c r="AF175" t="s">
        <v>49</v>
      </c>
      <c r="AG175" t="s">
        <v>49</v>
      </c>
      <c r="AH175" t="s">
        <v>48</v>
      </c>
      <c r="AI175" t="s">
        <v>48</v>
      </c>
      <c r="AJ175" t="s">
        <v>48</v>
      </c>
      <c r="AK175" t="s">
        <v>62</v>
      </c>
      <c r="AL175" t="s">
        <v>63</v>
      </c>
      <c r="AM175" t="s">
        <v>61</v>
      </c>
      <c r="AN175" t="s">
        <v>64</v>
      </c>
      <c r="AO175" t="s">
        <v>130</v>
      </c>
      <c r="AP175">
        <v>1</v>
      </c>
      <c r="AQ175" t="s">
        <v>66</v>
      </c>
      <c r="AR175" t="s">
        <v>131</v>
      </c>
      <c r="AS175">
        <v>2014</v>
      </c>
      <c r="AT175" t="s">
        <v>49</v>
      </c>
      <c r="AU175" t="s">
        <v>48</v>
      </c>
      <c r="AV175" t="s">
        <v>48</v>
      </c>
      <c r="AW175" t="s">
        <v>48</v>
      </c>
    </row>
    <row r="176" spans="1:49" x14ac:dyDescent="0.3">
      <c r="A176" t="s">
        <v>674</v>
      </c>
      <c r="B176" t="s">
        <v>48</v>
      </c>
      <c r="C176" t="s">
        <v>49</v>
      </c>
      <c r="D176">
        <v>302.31</v>
      </c>
      <c r="E176">
        <v>0</v>
      </c>
      <c r="F176">
        <v>2.61</v>
      </c>
      <c r="G176" t="s">
        <v>482</v>
      </c>
      <c r="H176" t="s">
        <v>675</v>
      </c>
      <c r="I176" t="s">
        <v>52</v>
      </c>
      <c r="J176" t="s">
        <v>53</v>
      </c>
      <c r="K176">
        <v>3000</v>
      </c>
      <c r="L176" t="s">
        <v>126</v>
      </c>
      <c r="M176">
        <f>DOWNLOAD_2kLRbPnDtawQopEJ_UKtt22ud9U57gk8mqebZIeugNk[[#This Row],[Standard Value]]</f>
        <v>3000</v>
      </c>
      <c r="N176">
        <f>-LOG(DOWNLOAD_2kLRbPnDtawQopEJ_UKtt22ud9U57gk8mqebZIeugNk[[#This Row],[IC50]]*POWER(10, -9), 10)</f>
        <v>5.5228787452803374</v>
      </c>
      <c r="O176">
        <v>5.52</v>
      </c>
      <c r="P176" t="s">
        <v>48</v>
      </c>
      <c r="R176" t="s">
        <v>127</v>
      </c>
      <c r="S176">
        <v>18.27</v>
      </c>
      <c r="T176">
        <v>0.34</v>
      </c>
      <c r="U176">
        <v>2.91</v>
      </c>
      <c r="V176">
        <v>6.64</v>
      </c>
      <c r="W176">
        <v>0</v>
      </c>
      <c r="X176" t="s">
        <v>128</v>
      </c>
      <c r="Y176" t="s">
        <v>129</v>
      </c>
      <c r="Z176" t="s">
        <v>58</v>
      </c>
      <c r="AA176" t="s">
        <v>59</v>
      </c>
      <c r="AB176" t="s">
        <v>60</v>
      </c>
      <c r="AC176" t="s">
        <v>61</v>
      </c>
      <c r="AD176" t="s">
        <v>49</v>
      </c>
      <c r="AE176" t="s">
        <v>49</v>
      </c>
      <c r="AF176" t="s">
        <v>49</v>
      </c>
      <c r="AG176" t="s">
        <v>49</v>
      </c>
      <c r="AH176" t="s">
        <v>48</v>
      </c>
      <c r="AI176" t="s">
        <v>48</v>
      </c>
      <c r="AJ176" t="s">
        <v>48</v>
      </c>
      <c r="AK176" t="s">
        <v>62</v>
      </c>
      <c r="AL176" t="s">
        <v>63</v>
      </c>
      <c r="AM176" t="s">
        <v>61</v>
      </c>
      <c r="AN176" t="s">
        <v>64</v>
      </c>
      <c r="AO176" t="s">
        <v>130</v>
      </c>
      <c r="AP176">
        <v>1</v>
      </c>
      <c r="AQ176" t="s">
        <v>66</v>
      </c>
      <c r="AR176" t="s">
        <v>131</v>
      </c>
      <c r="AS176">
        <v>2014</v>
      </c>
      <c r="AT176" t="s">
        <v>49</v>
      </c>
      <c r="AU176" t="s">
        <v>48</v>
      </c>
      <c r="AV176" t="s">
        <v>48</v>
      </c>
      <c r="AW176" t="s">
        <v>48</v>
      </c>
    </row>
    <row r="177" spans="1:49" x14ac:dyDescent="0.3">
      <c r="A177" t="s">
        <v>676</v>
      </c>
      <c r="B177" t="s">
        <v>48</v>
      </c>
      <c r="C177" t="s">
        <v>49</v>
      </c>
      <c r="D177">
        <v>344.39</v>
      </c>
      <c r="E177">
        <v>0</v>
      </c>
      <c r="F177">
        <v>3.47</v>
      </c>
      <c r="G177" t="s">
        <v>677</v>
      </c>
      <c r="H177" t="s">
        <v>678</v>
      </c>
      <c r="I177" t="s">
        <v>52</v>
      </c>
      <c r="J177" t="s">
        <v>53</v>
      </c>
      <c r="K177">
        <v>2.4</v>
      </c>
      <c r="L177" t="s">
        <v>54</v>
      </c>
      <c r="M177">
        <f>DOWNLOAD_2kLRbPnDtawQopEJ_UKtt22ud9U57gk8mqebZIeugNk[[#This Row],[Standard Value]]/DOWNLOAD_2kLRbPnDtawQopEJ_UKtt22ud9U57gk8mqebZIeugNk[[#This Row],[Molecular Weight]]*1000*1000</f>
        <v>6968.8434623537278</v>
      </c>
      <c r="N177">
        <f>-LOG(DOWNLOAD_2kLRbPnDtawQopEJ_UKtt22ud9U57gk8mqebZIeugNk[[#This Row],[IC50]]*POWER(10, -9), 10)</f>
        <v>5.1568392907103382</v>
      </c>
      <c r="P177" t="s">
        <v>48</v>
      </c>
      <c r="R177" t="s">
        <v>55</v>
      </c>
      <c r="W177">
        <v>0</v>
      </c>
      <c r="X177" t="s">
        <v>135</v>
      </c>
      <c r="Y177" t="s">
        <v>136</v>
      </c>
      <c r="Z177" t="s">
        <v>58</v>
      </c>
      <c r="AA177" t="s">
        <v>59</v>
      </c>
      <c r="AB177" t="s">
        <v>60</v>
      </c>
      <c r="AC177" t="s">
        <v>61</v>
      </c>
      <c r="AD177" t="s">
        <v>49</v>
      </c>
      <c r="AE177" t="s">
        <v>49</v>
      </c>
      <c r="AF177" t="s">
        <v>49</v>
      </c>
      <c r="AG177" t="s">
        <v>49</v>
      </c>
      <c r="AH177" t="s">
        <v>48</v>
      </c>
      <c r="AI177" t="s">
        <v>48</v>
      </c>
      <c r="AJ177" t="s">
        <v>48</v>
      </c>
      <c r="AK177" t="s">
        <v>62</v>
      </c>
      <c r="AL177" t="s">
        <v>63</v>
      </c>
      <c r="AM177" t="s">
        <v>61</v>
      </c>
      <c r="AN177" t="s">
        <v>64</v>
      </c>
      <c r="AO177" t="s">
        <v>137</v>
      </c>
      <c r="AP177">
        <v>1</v>
      </c>
      <c r="AQ177" t="s">
        <v>66</v>
      </c>
      <c r="AR177" t="s">
        <v>67</v>
      </c>
      <c r="AS177">
        <v>1996</v>
      </c>
      <c r="AT177" t="s">
        <v>49</v>
      </c>
      <c r="AU177" t="s">
        <v>48</v>
      </c>
      <c r="AV177" t="s">
        <v>48</v>
      </c>
      <c r="AW177" t="s">
        <v>48</v>
      </c>
    </row>
    <row r="178" spans="1:49" x14ac:dyDescent="0.3">
      <c r="A178" t="s">
        <v>679</v>
      </c>
      <c r="B178" t="s">
        <v>48</v>
      </c>
      <c r="C178" t="s">
        <v>49</v>
      </c>
      <c r="D178">
        <v>337.34</v>
      </c>
      <c r="E178">
        <v>0</v>
      </c>
      <c r="F178">
        <v>2.52</v>
      </c>
      <c r="G178" t="s">
        <v>227</v>
      </c>
      <c r="H178" t="s">
        <v>680</v>
      </c>
      <c r="I178" t="s">
        <v>52</v>
      </c>
      <c r="J178" t="s">
        <v>53</v>
      </c>
      <c r="K178">
        <v>1.72</v>
      </c>
      <c r="L178" t="s">
        <v>126</v>
      </c>
      <c r="M178">
        <f>DOWNLOAD_2kLRbPnDtawQopEJ_UKtt22ud9U57gk8mqebZIeugNk[[#This Row],[Standard Value]]</f>
        <v>1.72</v>
      </c>
      <c r="N178">
        <f>-LOG(DOWNLOAD_2kLRbPnDtawQopEJ_UKtt22ud9U57gk8mqebZIeugNk[[#This Row],[IC50]]*POWER(10, -9), 10)</f>
        <v>8.7644715530924486</v>
      </c>
      <c r="O178">
        <v>8.76</v>
      </c>
      <c r="P178" t="s">
        <v>48</v>
      </c>
      <c r="R178" t="s">
        <v>127</v>
      </c>
      <c r="S178">
        <v>25.98</v>
      </c>
      <c r="T178">
        <v>0.48</v>
      </c>
      <c r="U178">
        <v>6.24</v>
      </c>
      <c r="V178">
        <v>7.88</v>
      </c>
      <c r="W178">
        <v>0</v>
      </c>
      <c r="X178" t="s">
        <v>264</v>
      </c>
      <c r="Y178" t="s">
        <v>265</v>
      </c>
      <c r="Z178" t="s">
        <v>58</v>
      </c>
      <c r="AA178" t="s">
        <v>59</v>
      </c>
      <c r="AB178" t="s">
        <v>60</v>
      </c>
      <c r="AC178" t="s">
        <v>61</v>
      </c>
      <c r="AD178" t="s">
        <v>49</v>
      </c>
      <c r="AE178" t="s">
        <v>49</v>
      </c>
      <c r="AF178" t="s">
        <v>49</v>
      </c>
      <c r="AG178" t="s">
        <v>49</v>
      </c>
      <c r="AH178" t="s">
        <v>48</v>
      </c>
      <c r="AI178" t="s">
        <v>48</v>
      </c>
      <c r="AJ178" t="s">
        <v>48</v>
      </c>
      <c r="AK178" t="s">
        <v>62</v>
      </c>
      <c r="AL178" t="s">
        <v>63</v>
      </c>
      <c r="AM178" t="s">
        <v>61</v>
      </c>
      <c r="AN178" t="s">
        <v>64</v>
      </c>
      <c r="AO178" t="s">
        <v>266</v>
      </c>
      <c r="AP178">
        <v>1</v>
      </c>
      <c r="AQ178" t="s">
        <v>66</v>
      </c>
      <c r="AR178" t="s">
        <v>267</v>
      </c>
      <c r="AS178">
        <v>2020</v>
      </c>
      <c r="AT178" t="s">
        <v>49</v>
      </c>
      <c r="AU178" t="s">
        <v>268</v>
      </c>
      <c r="AV178" t="s">
        <v>269</v>
      </c>
      <c r="AW178" t="s">
        <v>48</v>
      </c>
    </row>
    <row r="179" spans="1:49" x14ac:dyDescent="0.3">
      <c r="A179" t="s">
        <v>681</v>
      </c>
      <c r="B179" t="s">
        <v>48</v>
      </c>
      <c r="C179" t="s">
        <v>49</v>
      </c>
      <c r="D179">
        <v>441.3</v>
      </c>
      <c r="E179">
        <v>0</v>
      </c>
      <c r="F179">
        <v>3.99</v>
      </c>
      <c r="G179" t="s">
        <v>682</v>
      </c>
      <c r="H179" t="s">
        <v>683</v>
      </c>
      <c r="I179" t="s">
        <v>52</v>
      </c>
      <c r="J179" t="s">
        <v>53</v>
      </c>
      <c r="K179">
        <v>290</v>
      </c>
      <c r="L179" t="s">
        <v>126</v>
      </c>
      <c r="M179">
        <f>DOWNLOAD_2kLRbPnDtawQopEJ_UKtt22ud9U57gk8mqebZIeugNk[[#This Row],[Standard Value]]</f>
        <v>290</v>
      </c>
      <c r="N179">
        <f>-LOG(DOWNLOAD_2kLRbPnDtawQopEJ_UKtt22ud9U57gk8mqebZIeugNk[[#This Row],[IC50]]*POWER(10, -9), 10)</f>
        <v>6.5376020021010435</v>
      </c>
      <c r="O179">
        <v>6.54</v>
      </c>
      <c r="P179" t="s">
        <v>48</v>
      </c>
      <c r="R179" t="s">
        <v>127</v>
      </c>
      <c r="S179">
        <v>14.81</v>
      </c>
      <c r="T179">
        <v>0.32</v>
      </c>
      <c r="U179">
        <v>2.5499999999999998</v>
      </c>
      <c r="V179">
        <v>5.78</v>
      </c>
      <c r="W179">
        <v>0</v>
      </c>
      <c r="X179" t="s">
        <v>684</v>
      </c>
      <c r="Y179" t="s">
        <v>327</v>
      </c>
      <c r="Z179" t="s">
        <v>58</v>
      </c>
      <c r="AA179" t="s">
        <v>59</v>
      </c>
      <c r="AB179" t="s">
        <v>60</v>
      </c>
      <c r="AC179" t="s">
        <v>61</v>
      </c>
      <c r="AD179" t="s">
        <v>49</v>
      </c>
      <c r="AE179" t="s">
        <v>49</v>
      </c>
      <c r="AF179" t="s">
        <v>49</v>
      </c>
      <c r="AG179" t="s">
        <v>49</v>
      </c>
      <c r="AH179" t="s">
        <v>48</v>
      </c>
      <c r="AI179" t="s">
        <v>48</v>
      </c>
      <c r="AJ179" t="s">
        <v>48</v>
      </c>
      <c r="AK179" t="s">
        <v>62</v>
      </c>
      <c r="AL179" t="s">
        <v>63</v>
      </c>
      <c r="AM179" t="s">
        <v>61</v>
      </c>
      <c r="AN179" t="s">
        <v>64</v>
      </c>
      <c r="AO179" t="s">
        <v>685</v>
      </c>
      <c r="AP179">
        <v>1</v>
      </c>
      <c r="AQ179" t="s">
        <v>66</v>
      </c>
      <c r="AR179" t="s">
        <v>686</v>
      </c>
      <c r="AS179">
        <v>2020</v>
      </c>
      <c r="AT179" t="s">
        <v>49</v>
      </c>
      <c r="AU179" t="s">
        <v>299</v>
      </c>
      <c r="AV179" t="s">
        <v>269</v>
      </c>
      <c r="AW179" t="s">
        <v>48</v>
      </c>
    </row>
    <row r="180" spans="1:49" x14ac:dyDescent="0.3">
      <c r="A180" t="s">
        <v>687</v>
      </c>
      <c r="B180" t="s">
        <v>48</v>
      </c>
      <c r="C180" t="s">
        <v>49</v>
      </c>
      <c r="D180">
        <v>359.4</v>
      </c>
      <c r="E180">
        <v>0</v>
      </c>
      <c r="F180">
        <v>2.35</v>
      </c>
      <c r="G180" t="s">
        <v>688</v>
      </c>
      <c r="H180" t="s">
        <v>689</v>
      </c>
      <c r="I180" t="s">
        <v>52</v>
      </c>
      <c r="J180" t="s">
        <v>53</v>
      </c>
      <c r="K180">
        <v>7.5</v>
      </c>
      <c r="L180" t="s">
        <v>54</v>
      </c>
      <c r="M180">
        <f>DOWNLOAD_2kLRbPnDtawQopEJ_UKtt22ud9U57gk8mqebZIeugNk[[#This Row],[Standard Value]]/DOWNLOAD_2kLRbPnDtawQopEJ_UKtt22ud9U57gk8mqebZIeugNk[[#This Row],[Molecular Weight]]*1000*1000</f>
        <v>20868.113522537562</v>
      </c>
      <c r="N180">
        <f>-LOG(DOWNLOAD_2kLRbPnDtawQopEJ_UKtt22ud9U57gk8mqebZIeugNk[[#This Row],[IC50]]*POWER(10, -9), 10)</f>
        <v>4.6805168093812544</v>
      </c>
      <c r="P180" t="s">
        <v>48</v>
      </c>
      <c r="R180" t="s">
        <v>55</v>
      </c>
      <c r="W180">
        <v>0</v>
      </c>
      <c r="X180" t="s">
        <v>80</v>
      </c>
      <c r="Y180" t="s">
        <v>81</v>
      </c>
      <c r="Z180" t="s">
        <v>58</v>
      </c>
      <c r="AA180" t="s">
        <v>59</v>
      </c>
      <c r="AB180" t="s">
        <v>60</v>
      </c>
      <c r="AC180" t="s">
        <v>61</v>
      </c>
      <c r="AD180" t="s">
        <v>49</v>
      </c>
      <c r="AE180" t="s">
        <v>49</v>
      </c>
      <c r="AF180" t="s">
        <v>49</v>
      </c>
      <c r="AG180" t="s">
        <v>49</v>
      </c>
      <c r="AH180" t="s">
        <v>48</v>
      </c>
      <c r="AI180" t="s">
        <v>48</v>
      </c>
      <c r="AJ180" t="s">
        <v>48</v>
      </c>
      <c r="AK180" t="s">
        <v>62</v>
      </c>
      <c r="AL180" t="s">
        <v>63</v>
      </c>
      <c r="AM180" t="s">
        <v>61</v>
      </c>
      <c r="AN180" t="s">
        <v>64</v>
      </c>
      <c r="AO180" t="s">
        <v>82</v>
      </c>
      <c r="AP180">
        <v>1</v>
      </c>
      <c r="AQ180" t="s">
        <v>66</v>
      </c>
      <c r="AR180" t="s">
        <v>67</v>
      </c>
      <c r="AS180">
        <v>1993</v>
      </c>
      <c r="AT180" t="s">
        <v>49</v>
      </c>
      <c r="AU180" t="s">
        <v>48</v>
      </c>
      <c r="AV180" t="s">
        <v>48</v>
      </c>
      <c r="AW180" t="s">
        <v>48</v>
      </c>
    </row>
    <row r="181" spans="1:49" x14ac:dyDescent="0.3">
      <c r="A181" t="s">
        <v>690</v>
      </c>
      <c r="B181" t="s">
        <v>48</v>
      </c>
      <c r="C181" t="s">
        <v>49</v>
      </c>
      <c r="D181">
        <v>228.2</v>
      </c>
      <c r="E181">
        <v>0</v>
      </c>
      <c r="F181">
        <v>2.36</v>
      </c>
      <c r="G181" t="s">
        <v>691</v>
      </c>
      <c r="H181" t="s">
        <v>692</v>
      </c>
      <c r="I181" t="s">
        <v>52</v>
      </c>
      <c r="J181" t="s">
        <v>71</v>
      </c>
      <c r="K181">
        <v>500</v>
      </c>
      <c r="L181" t="s">
        <v>54</v>
      </c>
      <c r="M181">
        <f>DOWNLOAD_2kLRbPnDtawQopEJ_UKtt22ud9U57gk8mqebZIeugNk[[#This Row],[Standard Value]]/DOWNLOAD_2kLRbPnDtawQopEJ_UKtt22ud9U57gk8mqebZIeugNk[[#This Row],[Molecular Weight]]*1000*1000</f>
        <v>2191060.4732690621</v>
      </c>
      <c r="N181">
        <f>-LOG(DOWNLOAD_2kLRbPnDtawQopEJ_UKtt22ud9U57gk8mqebZIeugNk[[#This Row],[IC50]]*POWER(10, -9), 10)</f>
        <v>2.6593456357461767</v>
      </c>
      <c r="P181" t="s">
        <v>72</v>
      </c>
      <c r="R181" t="s">
        <v>55</v>
      </c>
      <c r="W181">
        <v>0</v>
      </c>
      <c r="X181" t="s">
        <v>73</v>
      </c>
      <c r="Y181" t="s">
        <v>74</v>
      </c>
      <c r="Z181" t="s">
        <v>58</v>
      </c>
      <c r="AA181" t="s">
        <v>59</v>
      </c>
      <c r="AB181" t="s">
        <v>60</v>
      </c>
      <c r="AC181" t="s">
        <v>61</v>
      </c>
      <c r="AD181" t="s">
        <v>49</v>
      </c>
      <c r="AE181" t="s">
        <v>49</v>
      </c>
      <c r="AF181" t="s">
        <v>49</v>
      </c>
      <c r="AG181" t="s">
        <v>49</v>
      </c>
      <c r="AH181" t="s">
        <v>48</v>
      </c>
      <c r="AI181" t="s">
        <v>48</v>
      </c>
      <c r="AJ181" t="s">
        <v>48</v>
      </c>
      <c r="AK181" t="s">
        <v>62</v>
      </c>
      <c r="AL181" t="s">
        <v>63</v>
      </c>
      <c r="AM181" t="s">
        <v>61</v>
      </c>
      <c r="AN181" t="s">
        <v>64</v>
      </c>
      <c r="AO181" t="s">
        <v>75</v>
      </c>
      <c r="AP181">
        <v>1</v>
      </c>
      <c r="AQ181" t="s">
        <v>66</v>
      </c>
      <c r="AR181" t="s">
        <v>76</v>
      </c>
      <c r="AS181">
        <v>1998</v>
      </c>
      <c r="AT181" t="s">
        <v>49</v>
      </c>
      <c r="AU181" t="s">
        <v>48</v>
      </c>
      <c r="AV181" t="s">
        <v>48</v>
      </c>
      <c r="AW181" t="s">
        <v>48</v>
      </c>
    </row>
    <row r="182" spans="1:49" x14ac:dyDescent="0.3">
      <c r="A182" t="s">
        <v>693</v>
      </c>
      <c r="B182" t="s">
        <v>48</v>
      </c>
      <c r="C182" t="s">
        <v>49</v>
      </c>
      <c r="D182">
        <v>392.42</v>
      </c>
      <c r="E182">
        <v>0</v>
      </c>
      <c r="F182">
        <v>3.32</v>
      </c>
      <c r="G182" t="s">
        <v>694</v>
      </c>
      <c r="H182" t="s">
        <v>695</v>
      </c>
      <c r="I182" t="s">
        <v>52</v>
      </c>
      <c r="J182" t="s">
        <v>53</v>
      </c>
      <c r="K182">
        <v>36</v>
      </c>
      <c r="L182" t="s">
        <v>126</v>
      </c>
      <c r="M182">
        <f>DOWNLOAD_2kLRbPnDtawQopEJ_UKtt22ud9U57gk8mqebZIeugNk[[#This Row],[Standard Value]]</f>
        <v>36</v>
      </c>
      <c r="N182">
        <f>-LOG(DOWNLOAD_2kLRbPnDtawQopEJ_UKtt22ud9U57gk8mqebZIeugNk[[#This Row],[IC50]]*POWER(10, -9), 10)</f>
        <v>7.4436974992327123</v>
      </c>
      <c r="O182">
        <v>7.44</v>
      </c>
      <c r="P182" t="s">
        <v>48</v>
      </c>
      <c r="R182" t="s">
        <v>127</v>
      </c>
      <c r="S182">
        <v>18.97</v>
      </c>
      <c r="T182">
        <v>0.35</v>
      </c>
      <c r="U182">
        <v>4.12</v>
      </c>
      <c r="V182">
        <v>5.8</v>
      </c>
      <c r="W182">
        <v>0</v>
      </c>
      <c r="X182" t="s">
        <v>128</v>
      </c>
      <c r="Y182" t="s">
        <v>129</v>
      </c>
      <c r="Z182" t="s">
        <v>58</v>
      </c>
      <c r="AA182" t="s">
        <v>59</v>
      </c>
      <c r="AB182" t="s">
        <v>60</v>
      </c>
      <c r="AC182" t="s">
        <v>61</v>
      </c>
      <c r="AD182" t="s">
        <v>49</v>
      </c>
      <c r="AE182" t="s">
        <v>49</v>
      </c>
      <c r="AF182" t="s">
        <v>49</v>
      </c>
      <c r="AG182" t="s">
        <v>49</v>
      </c>
      <c r="AH182" t="s">
        <v>48</v>
      </c>
      <c r="AI182" t="s">
        <v>48</v>
      </c>
      <c r="AJ182" t="s">
        <v>48</v>
      </c>
      <c r="AK182" t="s">
        <v>62</v>
      </c>
      <c r="AL182" t="s">
        <v>63</v>
      </c>
      <c r="AM182" t="s">
        <v>61</v>
      </c>
      <c r="AN182" t="s">
        <v>64</v>
      </c>
      <c r="AO182" t="s">
        <v>130</v>
      </c>
      <c r="AP182">
        <v>1</v>
      </c>
      <c r="AQ182" t="s">
        <v>66</v>
      </c>
      <c r="AR182" t="s">
        <v>131</v>
      </c>
      <c r="AS182">
        <v>2014</v>
      </c>
      <c r="AT182" t="s">
        <v>49</v>
      </c>
      <c r="AU182" t="s">
        <v>48</v>
      </c>
      <c r="AV182" t="s">
        <v>48</v>
      </c>
      <c r="AW182" t="s">
        <v>48</v>
      </c>
    </row>
    <row r="183" spans="1:49" x14ac:dyDescent="0.3">
      <c r="A183" t="s">
        <v>696</v>
      </c>
      <c r="B183" t="s">
        <v>48</v>
      </c>
      <c r="C183" t="s">
        <v>49</v>
      </c>
      <c r="D183">
        <v>443.47</v>
      </c>
      <c r="E183">
        <v>0</v>
      </c>
      <c r="F183">
        <v>3.19</v>
      </c>
      <c r="G183" t="s">
        <v>697</v>
      </c>
      <c r="H183" t="s">
        <v>698</v>
      </c>
      <c r="I183" t="s">
        <v>52</v>
      </c>
      <c r="J183" t="s">
        <v>53</v>
      </c>
      <c r="K183">
        <v>150</v>
      </c>
      <c r="L183" t="s">
        <v>126</v>
      </c>
      <c r="M183">
        <f>DOWNLOAD_2kLRbPnDtawQopEJ_UKtt22ud9U57gk8mqebZIeugNk[[#This Row],[Standard Value]]</f>
        <v>150</v>
      </c>
      <c r="N183">
        <f>-LOG(DOWNLOAD_2kLRbPnDtawQopEJ_UKtt22ud9U57gk8mqebZIeugNk[[#This Row],[IC50]]*POWER(10, -9), 10)</f>
        <v>6.8239087409443178</v>
      </c>
      <c r="O183">
        <v>6.82</v>
      </c>
      <c r="P183" t="s">
        <v>48</v>
      </c>
      <c r="R183" t="s">
        <v>127</v>
      </c>
      <c r="S183">
        <v>15.39</v>
      </c>
      <c r="T183">
        <v>0.28000000000000003</v>
      </c>
      <c r="U183">
        <v>3.63</v>
      </c>
      <c r="V183">
        <v>4.92</v>
      </c>
      <c r="W183">
        <v>0</v>
      </c>
      <c r="X183" t="s">
        <v>128</v>
      </c>
      <c r="Y183" t="s">
        <v>129</v>
      </c>
      <c r="Z183" t="s">
        <v>58</v>
      </c>
      <c r="AA183" t="s">
        <v>59</v>
      </c>
      <c r="AB183" t="s">
        <v>60</v>
      </c>
      <c r="AC183" t="s">
        <v>61</v>
      </c>
      <c r="AD183" t="s">
        <v>49</v>
      </c>
      <c r="AE183" t="s">
        <v>49</v>
      </c>
      <c r="AF183" t="s">
        <v>49</v>
      </c>
      <c r="AG183" t="s">
        <v>49</v>
      </c>
      <c r="AH183" t="s">
        <v>48</v>
      </c>
      <c r="AI183" t="s">
        <v>48</v>
      </c>
      <c r="AJ183" t="s">
        <v>48</v>
      </c>
      <c r="AK183" t="s">
        <v>62</v>
      </c>
      <c r="AL183" t="s">
        <v>63</v>
      </c>
      <c r="AM183" t="s">
        <v>61</v>
      </c>
      <c r="AN183" t="s">
        <v>64</v>
      </c>
      <c r="AO183" t="s">
        <v>130</v>
      </c>
      <c r="AP183">
        <v>1</v>
      </c>
      <c r="AQ183" t="s">
        <v>66</v>
      </c>
      <c r="AR183" t="s">
        <v>131</v>
      </c>
      <c r="AS183">
        <v>2014</v>
      </c>
      <c r="AT183" t="s">
        <v>49</v>
      </c>
      <c r="AU183" t="s">
        <v>48</v>
      </c>
      <c r="AV183" t="s">
        <v>48</v>
      </c>
      <c r="AW183" t="s">
        <v>48</v>
      </c>
    </row>
    <row r="184" spans="1:49" x14ac:dyDescent="0.3">
      <c r="A184" t="s">
        <v>469</v>
      </c>
      <c r="B184" t="s">
        <v>48</v>
      </c>
      <c r="C184" t="s">
        <v>49</v>
      </c>
      <c r="D184">
        <v>361.42</v>
      </c>
      <c r="E184">
        <v>0</v>
      </c>
      <c r="F184">
        <v>0.83</v>
      </c>
      <c r="G184" t="s">
        <v>699</v>
      </c>
      <c r="H184" t="s">
        <v>471</v>
      </c>
      <c r="I184" t="s">
        <v>52</v>
      </c>
      <c r="J184" t="s">
        <v>53</v>
      </c>
      <c r="K184">
        <v>200</v>
      </c>
      <c r="L184" t="s">
        <v>126</v>
      </c>
      <c r="M184">
        <f>DOWNLOAD_2kLRbPnDtawQopEJ_UKtt22ud9U57gk8mqebZIeugNk[[#This Row],[Standard Value]]</f>
        <v>200</v>
      </c>
      <c r="N184">
        <f>-LOG(DOWNLOAD_2kLRbPnDtawQopEJ_UKtt22ud9U57gk8mqebZIeugNk[[#This Row],[IC50]]*POWER(10, -9), 10)</f>
        <v>6.6989700043360187</v>
      </c>
      <c r="O184">
        <v>6.7</v>
      </c>
      <c r="P184" t="s">
        <v>48</v>
      </c>
      <c r="R184" t="s">
        <v>127</v>
      </c>
      <c r="S184">
        <v>18.54</v>
      </c>
      <c r="T184">
        <v>0.35</v>
      </c>
      <c r="U184">
        <v>5.87</v>
      </c>
      <c r="V184">
        <v>6.75</v>
      </c>
      <c r="W184">
        <v>1</v>
      </c>
      <c r="X184" t="s">
        <v>700</v>
      </c>
      <c r="Y184" t="s">
        <v>701</v>
      </c>
      <c r="Z184" t="s">
        <v>58</v>
      </c>
      <c r="AA184" t="s">
        <v>59</v>
      </c>
      <c r="AB184" t="s">
        <v>60</v>
      </c>
      <c r="AC184" t="s">
        <v>61</v>
      </c>
      <c r="AD184" t="s">
        <v>49</v>
      </c>
      <c r="AE184" t="s">
        <v>49</v>
      </c>
      <c r="AF184" t="s">
        <v>49</v>
      </c>
      <c r="AG184" t="s">
        <v>49</v>
      </c>
      <c r="AH184" t="s">
        <v>48</v>
      </c>
      <c r="AI184" t="s">
        <v>48</v>
      </c>
      <c r="AJ184" t="s">
        <v>48</v>
      </c>
      <c r="AK184" t="s">
        <v>62</v>
      </c>
      <c r="AL184" t="s">
        <v>63</v>
      </c>
      <c r="AM184" t="s">
        <v>61</v>
      </c>
      <c r="AN184" t="s">
        <v>64</v>
      </c>
      <c r="AO184" t="s">
        <v>702</v>
      </c>
      <c r="AP184">
        <v>1</v>
      </c>
      <c r="AQ184" t="s">
        <v>66</v>
      </c>
      <c r="AR184" t="s">
        <v>67</v>
      </c>
      <c r="AS184">
        <v>2020</v>
      </c>
      <c r="AT184" t="s">
        <v>49</v>
      </c>
      <c r="AU184" t="s">
        <v>48</v>
      </c>
      <c r="AV184" t="s">
        <v>48</v>
      </c>
      <c r="AW184" t="s">
        <v>48</v>
      </c>
    </row>
    <row r="185" spans="1:49" x14ac:dyDescent="0.3">
      <c r="A185" t="s">
        <v>703</v>
      </c>
      <c r="B185" t="s">
        <v>48</v>
      </c>
      <c r="C185" t="s">
        <v>49</v>
      </c>
      <c r="D185">
        <v>360.41</v>
      </c>
      <c r="E185">
        <v>0</v>
      </c>
      <c r="F185">
        <v>1.92</v>
      </c>
      <c r="G185" t="s">
        <v>224</v>
      </c>
      <c r="H185" t="s">
        <v>704</v>
      </c>
      <c r="I185" t="s">
        <v>52</v>
      </c>
      <c r="J185" t="s">
        <v>53</v>
      </c>
      <c r="K185">
        <v>1250</v>
      </c>
      <c r="L185" t="s">
        <v>126</v>
      </c>
      <c r="M185">
        <f>DOWNLOAD_2kLRbPnDtawQopEJ_UKtt22ud9U57gk8mqebZIeugNk[[#This Row],[Standard Value]]</f>
        <v>1250</v>
      </c>
      <c r="N185">
        <f>-LOG(DOWNLOAD_2kLRbPnDtawQopEJ_UKtt22ud9U57gk8mqebZIeugNk[[#This Row],[IC50]]*POWER(10, -9), 10)</f>
        <v>5.9030899869919429</v>
      </c>
      <c r="O185">
        <v>5.9</v>
      </c>
      <c r="P185" t="s">
        <v>48</v>
      </c>
      <c r="R185" t="s">
        <v>127</v>
      </c>
      <c r="S185">
        <v>16.38</v>
      </c>
      <c r="T185">
        <v>0.31</v>
      </c>
      <c r="U185">
        <v>3.98</v>
      </c>
      <c r="V185">
        <v>7.64</v>
      </c>
      <c r="W185">
        <v>0</v>
      </c>
      <c r="X185" t="s">
        <v>700</v>
      </c>
      <c r="Y185" t="s">
        <v>701</v>
      </c>
      <c r="Z185" t="s">
        <v>58</v>
      </c>
      <c r="AA185" t="s">
        <v>59</v>
      </c>
      <c r="AB185" t="s">
        <v>60</v>
      </c>
      <c r="AC185" t="s">
        <v>61</v>
      </c>
      <c r="AD185" t="s">
        <v>49</v>
      </c>
      <c r="AE185" t="s">
        <v>49</v>
      </c>
      <c r="AF185" t="s">
        <v>49</v>
      </c>
      <c r="AG185" t="s">
        <v>49</v>
      </c>
      <c r="AH185" t="s">
        <v>48</v>
      </c>
      <c r="AI185" t="s">
        <v>48</v>
      </c>
      <c r="AJ185" t="s">
        <v>48</v>
      </c>
      <c r="AK185" t="s">
        <v>62</v>
      </c>
      <c r="AL185" t="s">
        <v>63</v>
      </c>
      <c r="AM185" t="s">
        <v>61</v>
      </c>
      <c r="AN185" t="s">
        <v>64</v>
      </c>
      <c r="AO185" t="s">
        <v>702</v>
      </c>
      <c r="AP185">
        <v>1</v>
      </c>
      <c r="AQ185" t="s">
        <v>66</v>
      </c>
      <c r="AR185" t="s">
        <v>67</v>
      </c>
      <c r="AS185">
        <v>2020</v>
      </c>
      <c r="AT185" t="s">
        <v>49</v>
      </c>
      <c r="AU185" t="s">
        <v>48</v>
      </c>
      <c r="AV185" t="s">
        <v>48</v>
      </c>
      <c r="AW185" t="s">
        <v>48</v>
      </c>
    </row>
    <row r="186" spans="1:49" x14ac:dyDescent="0.3">
      <c r="A186" t="s">
        <v>705</v>
      </c>
      <c r="B186" t="s">
        <v>48</v>
      </c>
      <c r="C186" t="s">
        <v>49</v>
      </c>
      <c r="D186">
        <v>455.53</v>
      </c>
      <c r="E186">
        <v>0</v>
      </c>
      <c r="F186">
        <v>2.96</v>
      </c>
      <c r="G186" t="s">
        <v>706</v>
      </c>
      <c r="H186" t="s">
        <v>707</v>
      </c>
      <c r="I186" t="s">
        <v>52</v>
      </c>
      <c r="J186" t="s">
        <v>53</v>
      </c>
      <c r="K186">
        <v>13900</v>
      </c>
      <c r="L186" t="s">
        <v>126</v>
      </c>
      <c r="M186">
        <f>DOWNLOAD_2kLRbPnDtawQopEJ_UKtt22ud9U57gk8mqebZIeugNk[[#This Row],[Standard Value]]</f>
        <v>13900</v>
      </c>
      <c r="N186">
        <f>-LOG(DOWNLOAD_2kLRbPnDtawQopEJ_UKtt22ud9U57gk8mqebZIeugNk[[#This Row],[IC50]]*POWER(10, -9), 10)</f>
        <v>4.8569851997459041</v>
      </c>
      <c r="O186">
        <v>4.8600000000000003</v>
      </c>
      <c r="P186" t="s">
        <v>48</v>
      </c>
      <c r="R186" t="s">
        <v>127</v>
      </c>
      <c r="S186">
        <v>10.66</v>
      </c>
      <c r="T186">
        <v>0.2</v>
      </c>
      <c r="U186">
        <v>1.9</v>
      </c>
      <c r="V186">
        <v>5.05</v>
      </c>
      <c r="W186">
        <v>0</v>
      </c>
      <c r="X186" t="s">
        <v>708</v>
      </c>
      <c r="Y186" t="s">
        <v>709</v>
      </c>
      <c r="Z186" t="s">
        <v>58</v>
      </c>
      <c r="AA186" t="s">
        <v>59</v>
      </c>
      <c r="AB186" t="s">
        <v>60</v>
      </c>
      <c r="AC186" t="s">
        <v>61</v>
      </c>
      <c r="AD186" t="s">
        <v>49</v>
      </c>
      <c r="AE186" t="s">
        <v>49</v>
      </c>
      <c r="AF186" t="s">
        <v>49</v>
      </c>
      <c r="AG186" t="s">
        <v>49</v>
      </c>
      <c r="AH186" t="s">
        <v>48</v>
      </c>
      <c r="AI186" t="s">
        <v>48</v>
      </c>
      <c r="AJ186" t="s">
        <v>48</v>
      </c>
      <c r="AK186" t="s">
        <v>62</v>
      </c>
      <c r="AL186" t="s">
        <v>63</v>
      </c>
      <c r="AM186" t="s">
        <v>61</v>
      </c>
      <c r="AN186" t="s">
        <v>64</v>
      </c>
      <c r="AO186" t="s">
        <v>710</v>
      </c>
      <c r="AP186">
        <v>1</v>
      </c>
      <c r="AQ186" t="s">
        <v>66</v>
      </c>
      <c r="AR186" t="s">
        <v>76</v>
      </c>
      <c r="AS186">
        <v>2018</v>
      </c>
      <c r="AT186" t="s">
        <v>49</v>
      </c>
      <c r="AU186" t="s">
        <v>48</v>
      </c>
      <c r="AV186" t="s">
        <v>48</v>
      </c>
      <c r="AW186" t="s">
        <v>48</v>
      </c>
    </row>
    <row r="187" spans="1:49" x14ac:dyDescent="0.3">
      <c r="A187" t="s">
        <v>711</v>
      </c>
      <c r="B187" t="s">
        <v>48</v>
      </c>
      <c r="C187" t="s">
        <v>49</v>
      </c>
      <c r="D187">
        <v>477.54</v>
      </c>
      <c r="E187">
        <v>0</v>
      </c>
      <c r="F187">
        <v>3.68</v>
      </c>
      <c r="G187" t="s">
        <v>712</v>
      </c>
      <c r="H187" t="s">
        <v>713</v>
      </c>
      <c r="I187" t="s">
        <v>52</v>
      </c>
      <c r="J187" t="s">
        <v>71</v>
      </c>
      <c r="K187">
        <v>200000</v>
      </c>
      <c r="L187" t="s">
        <v>126</v>
      </c>
      <c r="M187">
        <f>DOWNLOAD_2kLRbPnDtawQopEJ_UKtt22ud9U57gk8mqebZIeugNk[[#This Row],[Standard Value]]</f>
        <v>200000</v>
      </c>
      <c r="N187">
        <f>-LOG(DOWNLOAD_2kLRbPnDtawQopEJ_UKtt22ud9U57gk8mqebZIeugNk[[#This Row],[IC50]]*POWER(10, -9), 10)</f>
        <v>3.6989700043360187</v>
      </c>
      <c r="P187" t="s">
        <v>72</v>
      </c>
      <c r="R187" t="s">
        <v>127</v>
      </c>
      <c r="W187">
        <v>0</v>
      </c>
      <c r="X187" t="s">
        <v>708</v>
      </c>
      <c r="Y187" t="s">
        <v>709</v>
      </c>
      <c r="Z187" t="s">
        <v>58</v>
      </c>
      <c r="AA187" t="s">
        <v>59</v>
      </c>
      <c r="AB187" t="s">
        <v>60</v>
      </c>
      <c r="AC187" t="s">
        <v>61</v>
      </c>
      <c r="AD187" t="s">
        <v>49</v>
      </c>
      <c r="AE187" t="s">
        <v>49</v>
      </c>
      <c r="AF187" t="s">
        <v>49</v>
      </c>
      <c r="AG187" t="s">
        <v>49</v>
      </c>
      <c r="AH187" t="s">
        <v>48</v>
      </c>
      <c r="AI187" t="s">
        <v>48</v>
      </c>
      <c r="AJ187" t="s">
        <v>48</v>
      </c>
      <c r="AK187" t="s">
        <v>62</v>
      </c>
      <c r="AL187" t="s">
        <v>63</v>
      </c>
      <c r="AM187" t="s">
        <v>61</v>
      </c>
      <c r="AN187" t="s">
        <v>64</v>
      </c>
      <c r="AO187" t="s">
        <v>710</v>
      </c>
      <c r="AP187">
        <v>1</v>
      </c>
      <c r="AQ187" t="s">
        <v>66</v>
      </c>
      <c r="AR187" t="s">
        <v>76</v>
      </c>
      <c r="AS187">
        <v>2018</v>
      </c>
      <c r="AT187" t="s">
        <v>49</v>
      </c>
      <c r="AU187" t="s">
        <v>48</v>
      </c>
      <c r="AV187" t="s">
        <v>48</v>
      </c>
      <c r="AW187" t="s">
        <v>48</v>
      </c>
    </row>
    <row r="188" spans="1:49" x14ac:dyDescent="0.3">
      <c r="A188" t="s">
        <v>714</v>
      </c>
      <c r="B188" t="s">
        <v>48</v>
      </c>
      <c r="C188" t="s">
        <v>49</v>
      </c>
      <c r="D188">
        <v>533.84</v>
      </c>
      <c r="E188">
        <v>0</v>
      </c>
      <c r="F188">
        <v>3.3</v>
      </c>
      <c r="G188" t="s">
        <v>400</v>
      </c>
      <c r="H188" t="s">
        <v>715</v>
      </c>
      <c r="I188" t="s">
        <v>52</v>
      </c>
      <c r="J188" t="s">
        <v>53</v>
      </c>
      <c r="K188">
        <v>48</v>
      </c>
      <c r="L188" t="s">
        <v>126</v>
      </c>
      <c r="M188">
        <f>DOWNLOAD_2kLRbPnDtawQopEJ_UKtt22ud9U57gk8mqebZIeugNk[[#This Row],[Standard Value]]</f>
        <v>48</v>
      </c>
      <c r="N188">
        <f>-LOG(DOWNLOAD_2kLRbPnDtawQopEJ_UKtt22ud9U57gk8mqebZIeugNk[[#This Row],[IC50]]*POWER(10, -9), 10)</f>
        <v>7.3187587626244124</v>
      </c>
      <c r="O188">
        <v>7.32</v>
      </c>
      <c r="P188" t="s">
        <v>48</v>
      </c>
      <c r="R188" t="s">
        <v>127</v>
      </c>
      <c r="S188">
        <v>14.71</v>
      </c>
      <c r="T188">
        <v>0.3</v>
      </c>
      <c r="U188">
        <v>4.0199999999999996</v>
      </c>
      <c r="V188">
        <v>6.02</v>
      </c>
      <c r="W188">
        <v>0</v>
      </c>
      <c r="X188" t="s">
        <v>716</v>
      </c>
      <c r="Y188" t="s">
        <v>717</v>
      </c>
      <c r="Z188" t="s">
        <v>58</v>
      </c>
      <c r="AA188" t="s">
        <v>59</v>
      </c>
      <c r="AB188" t="s">
        <v>60</v>
      </c>
      <c r="AC188" t="s">
        <v>61</v>
      </c>
      <c r="AD188" t="s">
        <v>49</v>
      </c>
      <c r="AE188" t="s">
        <v>49</v>
      </c>
      <c r="AF188" t="s">
        <v>49</v>
      </c>
      <c r="AG188" t="s">
        <v>49</v>
      </c>
      <c r="AH188" t="s">
        <v>48</v>
      </c>
      <c r="AI188" t="s">
        <v>48</v>
      </c>
      <c r="AJ188" t="s">
        <v>48</v>
      </c>
      <c r="AK188" t="s">
        <v>62</v>
      </c>
      <c r="AL188" t="s">
        <v>63</v>
      </c>
      <c r="AM188" t="s">
        <v>61</v>
      </c>
      <c r="AN188" t="s">
        <v>64</v>
      </c>
      <c r="AO188" t="s">
        <v>718</v>
      </c>
      <c r="AP188">
        <v>1</v>
      </c>
      <c r="AQ188" t="s">
        <v>66</v>
      </c>
      <c r="AR188" t="s">
        <v>131</v>
      </c>
      <c r="AS188">
        <v>2019</v>
      </c>
      <c r="AT188" t="s">
        <v>49</v>
      </c>
      <c r="AU188" t="s">
        <v>299</v>
      </c>
      <c r="AV188" t="s">
        <v>269</v>
      </c>
      <c r="AW188" t="s">
        <v>48</v>
      </c>
    </row>
    <row r="189" spans="1:49" x14ac:dyDescent="0.3">
      <c r="A189" t="s">
        <v>719</v>
      </c>
      <c r="B189" t="s">
        <v>48</v>
      </c>
      <c r="C189" t="s">
        <v>49</v>
      </c>
      <c r="D189">
        <v>352.18</v>
      </c>
      <c r="E189">
        <v>0</v>
      </c>
      <c r="F189">
        <v>4.0599999999999996</v>
      </c>
      <c r="G189" t="s">
        <v>720</v>
      </c>
      <c r="H189" t="s">
        <v>721</v>
      </c>
      <c r="I189" t="s">
        <v>52</v>
      </c>
      <c r="J189" t="s">
        <v>53</v>
      </c>
      <c r="K189">
        <v>98</v>
      </c>
      <c r="L189" t="s">
        <v>126</v>
      </c>
      <c r="M189">
        <f>DOWNLOAD_2kLRbPnDtawQopEJ_UKtt22ud9U57gk8mqebZIeugNk[[#This Row],[Standard Value]]</f>
        <v>98</v>
      </c>
      <c r="N189">
        <f>-LOG(DOWNLOAD_2kLRbPnDtawQopEJ_UKtt22ud9U57gk8mqebZIeugNk[[#This Row],[IC50]]*POWER(10, -9), 10)</f>
        <v>7.0087739243075049</v>
      </c>
      <c r="O189">
        <v>7.01</v>
      </c>
      <c r="P189" t="s">
        <v>48</v>
      </c>
      <c r="R189" t="s">
        <v>127</v>
      </c>
      <c r="S189">
        <v>19.899999999999999</v>
      </c>
      <c r="T189">
        <v>0.42</v>
      </c>
      <c r="U189">
        <v>2.95</v>
      </c>
      <c r="V189">
        <v>7.15</v>
      </c>
      <c r="W189">
        <v>0</v>
      </c>
      <c r="X189" t="s">
        <v>716</v>
      </c>
      <c r="Y189" t="s">
        <v>717</v>
      </c>
      <c r="Z189" t="s">
        <v>58</v>
      </c>
      <c r="AA189" t="s">
        <v>59</v>
      </c>
      <c r="AB189" t="s">
        <v>60</v>
      </c>
      <c r="AC189" t="s">
        <v>61</v>
      </c>
      <c r="AD189" t="s">
        <v>49</v>
      </c>
      <c r="AE189" t="s">
        <v>49</v>
      </c>
      <c r="AF189" t="s">
        <v>49</v>
      </c>
      <c r="AG189" t="s">
        <v>49</v>
      </c>
      <c r="AH189" t="s">
        <v>48</v>
      </c>
      <c r="AI189" t="s">
        <v>48</v>
      </c>
      <c r="AJ189" t="s">
        <v>48</v>
      </c>
      <c r="AK189" t="s">
        <v>62</v>
      </c>
      <c r="AL189" t="s">
        <v>63</v>
      </c>
      <c r="AM189" t="s">
        <v>61</v>
      </c>
      <c r="AN189" t="s">
        <v>64</v>
      </c>
      <c r="AO189" t="s">
        <v>718</v>
      </c>
      <c r="AP189">
        <v>1</v>
      </c>
      <c r="AQ189" t="s">
        <v>66</v>
      </c>
      <c r="AR189" t="s">
        <v>131</v>
      </c>
      <c r="AS189">
        <v>2019</v>
      </c>
      <c r="AT189" t="s">
        <v>49</v>
      </c>
      <c r="AU189" t="s">
        <v>299</v>
      </c>
      <c r="AV189" t="s">
        <v>269</v>
      </c>
      <c r="AW189" t="s">
        <v>48</v>
      </c>
    </row>
    <row r="190" spans="1:49" x14ac:dyDescent="0.3">
      <c r="A190" t="s">
        <v>281</v>
      </c>
      <c r="B190" t="s">
        <v>282</v>
      </c>
      <c r="C190" t="s">
        <v>112</v>
      </c>
      <c r="D190">
        <v>331.35</v>
      </c>
      <c r="E190">
        <v>0</v>
      </c>
      <c r="F190">
        <v>1.58</v>
      </c>
      <c r="G190" t="s">
        <v>722</v>
      </c>
      <c r="H190" t="s">
        <v>284</v>
      </c>
      <c r="I190" t="s">
        <v>52</v>
      </c>
      <c r="J190" t="s">
        <v>53</v>
      </c>
      <c r="K190">
        <v>5230</v>
      </c>
      <c r="L190" t="s">
        <v>126</v>
      </c>
      <c r="M190">
        <f>DOWNLOAD_2kLRbPnDtawQopEJ_UKtt22ud9U57gk8mqebZIeugNk[[#This Row],[Standard Value]]</f>
        <v>5230</v>
      </c>
      <c r="N190">
        <f>-LOG(DOWNLOAD_2kLRbPnDtawQopEJ_UKtt22ud9U57gk8mqebZIeugNk[[#This Row],[IC50]]*POWER(10, -9), 10)</f>
        <v>5.2814983111327258</v>
      </c>
      <c r="O190">
        <v>5.28</v>
      </c>
      <c r="P190" t="s">
        <v>48</v>
      </c>
      <c r="R190" t="s">
        <v>127</v>
      </c>
      <c r="S190">
        <v>15.94</v>
      </c>
      <c r="T190">
        <v>0.3</v>
      </c>
      <c r="U190">
        <v>3.7</v>
      </c>
      <c r="V190">
        <v>7.08</v>
      </c>
      <c r="W190">
        <v>0</v>
      </c>
      <c r="X190" t="s">
        <v>527</v>
      </c>
      <c r="Y190" t="s">
        <v>528</v>
      </c>
      <c r="Z190" t="s">
        <v>58</v>
      </c>
      <c r="AA190" t="s">
        <v>59</v>
      </c>
      <c r="AB190" t="s">
        <v>60</v>
      </c>
      <c r="AC190" t="s">
        <v>61</v>
      </c>
      <c r="AD190" t="s">
        <v>49</v>
      </c>
      <c r="AE190" t="s">
        <v>49</v>
      </c>
      <c r="AF190" t="s">
        <v>49</v>
      </c>
      <c r="AG190" t="s">
        <v>49</v>
      </c>
      <c r="AH190" t="s">
        <v>48</v>
      </c>
      <c r="AI190" t="s">
        <v>48</v>
      </c>
      <c r="AJ190" t="s">
        <v>48</v>
      </c>
      <c r="AK190" t="s">
        <v>62</v>
      </c>
      <c r="AL190" t="s">
        <v>63</v>
      </c>
      <c r="AM190" t="s">
        <v>61</v>
      </c>
      <c r="AN190" t="s">
        <v>64</v>
      </c>
      <c r="AO190" t="s">
        <v>529</v>
      </c>
      <c r="AP190">
        <v>1</v>
      </c>
      <c r="AQ190" t="s">
        <v>66</v>
      </c>
      <c r="AR190" t="s">
        <v>267</v>
      </c>
      <c r="AS190">
        <v>2014</v>
      </c>
      <c r="AT190" t="s">
        <v>49</v>
      </c>
      <c r="AU190" t="s">
        <v>48</v>
      </c>
      <c r="AV190" t="s">
        <v>48</v>
      </c>
      <c r="AW190" t="s">
        <v>48</v>
      </c>
    </row>
    <row r="191" spans="1:49" x14ac:dyDescent="0.3">
      <c r="A191" t="s">
        <v>723</v>
      </c>
      <c r="B191" t="s">
        <v>48</v>
      </c>
      <c r="C191" t="s">
        <v>49</v>
      </c>
      <c r="D191">
        <v>466.43</v>
      </c>
      <c r="E191">
        <v>0</v>
      </c>
      <c r="F191">
        <v>1.31</v>
      </c>
      <c r="G191" t="s">
        <v>724</v>
      </c>
      <c r="H191" t="s">
        <v>725</v>
      </c>
      <c r="I191" t="s">
        <v>52</v>
      </c>
      <c r="J191" t="s">
        <v>53</v>
      </c>
      <c r="K191">
        <v>7800</v>
      </c>
      <c r="L191" t="s">
        <v>126</v>
      </c>
      <c r="M191">
        <f>DOWNLOAD_2kLRbPnDtawQopEJ_UKtt22ud9U57gk8mqebZIeugNk[[#This Row],[Standard Value]]</f>
        <v>7800</v>
      </c>
      <c r="N191">
        <f>-LOG(DOWNLOAD_2kLRbPnDtawQopEJ_UKtt22ud9U57gk8mqebZIeugNk[[#This Row],[IC50]]*POWER(10, -9), 10)</f>
        <v>5.1079053973095192</v>
      </c>
      <c r="O191">
        <v>5.1100000000000003</v>
      </c>
      <c r="P191" t="s">
        <v>48</v>
      </c>
      <c r="Q191">
        <v>302943</v>
      </c>
      <c r="R191" t="s">
        <v>127</v>
      </c>
      <c r="S191">
        <v>10.95</v>
      </c>
      <c r="T191">
        <v>0.21</v>
      </c>
      <c r="U191">
        <v>3.8</v>
      </c>
      <c r="V191">
        <v>3.66</v>
      </c>
      <c r="W191">
        <v>0</v>
      </c>
      <c r="X191" t="s">
        <v>251</v>
      </c>
      <c r="Y191" t="s">
        <v>252</v>
      </c>
      <c r="Z191" t="s">
        <v>58</v>
      </c>
      <c r="AA191" t="s">
        <v>59</v>
      </c>
      <c r="AB191" t="s">
        <v>60</v>
      </c>
      <c r="AC191" t="s">
        <v>61</v>
      </c>
      <c r="AD191" t="s">
        <v>49</v>
      </c>
      <c r="AE191" t="s">
        <v>49</v>
      </c>
      <c r="AF191" t="s">
        <v>49</v>
      </c>
      <c r="AG191" t="s">
        <v>49</v>
      </c>
      <c r="AH191" t="s">
        <v>48</v>
      </c>
      <c r="AI191" t="s">
        <v>48</v>
      </c>
      <c r="AJ191" t="s">
        <v>48</v>
      </c>
      <c r="AK191" t="s">
        <v>62</v>
      </c>
      <c r="AL191" t="s">
        <v>63</v>
      </c>
      <c r="AM191" t="s">
        <v>61</v>
      </c>
      <c r="AN191" t="s">
        <v>64</v>
      </c>
      <c r="AO191" t="s">
        <v>253</v>
      </c>
      <c r="AP191">
        <v>37</v>
      </c>
      <c r="AQ191" t="s">
        <v>254</v>
      </c>
      <c r="AR191" t="s">
        <v>48</v>
      </c>
      <c r="AS191">
        <v>2015</v>
      </c>
      <c r="AT191" t="s">
        <v>49</v>
      </c>
      <c r="AU191" t="s">
        <v>48</v>
      </c>
      <c r="AV191" t="s">
        <v>48</v>
      </c>
      <c r="AW191" t="s">
        <v>48</v>
      </c>
    </row>
    <row r="192" spans="1:49" x14ac:dyDescent="0.3">
      <c r="A192" t="s">
        <v>726</v>
      </c>
      <c r="B192" t="s">
        <v>48</v>
      </c>
      <c r="C192" t="s">
        <v>49</v>
      </c>
      <c r="D192">
        <v>400.24</v>
      </c>
      <c r="E192">
        <v>0</v>
      </c>
      <c r="F192">
        <v>4.2</v>
      </c>
      <c r="G192" t="s">
        <v>727</v>
      </c>
      <c r="H192" t="s">
        <v>728</v>
      </c>
      <c r="I192" t="s">
        <v>52</v>
      </c>
      <c r="J192" t="s">
        <v>295</v>
      </c>
      <c r="K192">
        <v>10</v>
      </c>
      <c r="L192" t="s">
        <v>126</v>
      </c>
      <c r="M192">
        <f>DOWNLOAD_2kLRbPnDtawQopEJ_UKtt22ud9U57gk8mqebZIeugNk[[#This Row],[Standard Value]]</f>
        <v>10</v>
      </c>
      <c r="N192">
        <f>-LOG(DOWNLOAD_2kLRbPnDtawQopEJ_UKtt22ud9U57gk8mqebZIeugNk[[#This Row],[IC50]]*POWER(10, -9), 10)</f>
        <v>8</v>
      </c>
      <c r="P192" t="s">
        <v>48</v>
      </c>
      <c r="R192" t="s">
        <v>127</v>
      </c>
      <c r="W192">
        <v>0</v>
      </c>
      <c r="X192" t="s">
        <v>296</v>
      </c>
      <c r="Y192" t="s">
        <v>297</v>
      </c>
      <c r="Z192" t="s">
        <v>58</v>
      </c>
      <c r="AA192" t="s">
        <v>59</v>
      </c>
      <c r="AB192" t="s">
        <v>60</v>
      </c>
      <c r="AC192" t="s">
        <v>61</v>
      </c>
      <c r="AD192" t="s">
        <v>49</v>
      </c>
      <c r="AE192" t="s">
        <v>49</v>
      </c>
      <c r="AF192" t="s">
        <v>49</v>
      </c>
      <c r="AG192" t="s">
        <v>49</v>
      </c>
      <c r="AH192" t="s">
        <v>48</v>
      </c>
      <c r="AI192" t="s">
        <v>48</v>
      </c>
      <c r="AJ192" t="s">
        <v>48</v>
      </c>
      <c r="AK192" t="s">
        <v>62</v>
      </c>
      <c r="AL192" t="s">
        <v>63</v>
      </c>
      <c r="AM192" t="s">
        <v>61</v>
      </c>
      <c r="AN192" t="s">
        <v>64</v>
      </c>
      <c r="AO192" t="s">
        <v>298</v>
      </c>
      <c r="AP192">
        <v>1</v>
      </c>
      <c r="AQ192" t="s">
        <v>66</v>
      </c>
      <c r="AR192" t="s">
        <v>131</v>
      </c>
      <c r="AS192">
        <v>2021</v>
      </c>
      <c r="AT192" t="s">
        <v>49</v>
      </c>
      <c r="AU192" t="s">
        <v>299</v>
      </c>
      <c r="AV192" t="s">
        <v>269</v>
      </c>
      <c r="AW192" t="s">
        <v>48</v>
      </c>
    </row>
    <row r="193" spans="1:49" x14ac:dyDescent="0.3">
      <c r="A193" t="s">
        <v>539</v>
      </c>
      <c r="B193" t="s">
        <v>48</v>
      </c>
      <c r="C193" t="s">
        <v>49</v>
      </c>
      <c r="D193">
        <v>426.95</v>
      </c>
      <c r="E193">
        <v>0</v>
      </c>
      <c r="F193">
        <v>4.55</v>
      </c>
      <c r="G193" t="s">
        <v>540</v>
      </c>
      <c r="H193" t="s">
        <v>541</v>
      </c>
      <c r="I193" t="s">
        <v>52</v>
      </c>
      <c r="J193" t="s">
        <v>53</v>
      </c>
      <c r="K193">
        <v>1</v>
      </c>
      <c r="L193" t="s">
        <v>54</v>
      </c>
      <c r="M193">
        <f>DOWNLOAD_2kLRbPnDtawQopEJ_UKtt22ud9U57gk8mqebZIeugNk[[#This Row],[Standard Value]]/DOWNLOAD_2kLRbPnDtawQopEJ_UKtt22ud9U57gk8mqebZIeugNk[[#This Row],[Molecular Weight]]*1000*1000</f>
        <v>2342.1946363742827</v>
      </c>
      <c r="N193">
        <f>-LOG(DOWNLOAD_2kLRbPnDtawQopEJ_UKtt22ud9U57gk8mqebZIeugNk[[#This Row],[IC50]]*POWER(10, -9), 10)</f>
        <v>5.6303770178925916</v>
      </c>
      <c r="P193" t="s">
        <v>48</v>
      </c>
      <c r="R193" t="s">
        <v>55</v>
      </c>
      <c r="W193">
        <v>0</v>
      </c>
      <c r="X193" t="s">
        <v>121</v>
      </c>
      <c r="Y193" t="s">
        <v>87</v>
      </c>
      <c r="Z193" t="s">
        <v>58</v>
      </c>
      <c r="AA193" t="s">
        <v>59</v>
      </c>
      <c r="AB193" t="s">
        <v>60</v>
      </c>
      <c r="AC193" t="s">
        <v>61</v>
      </c>
      <c r="AD193" t="s">
        <v>49</v>
      </c>
      <c r="AE193" t="s">
        <v>49</v>
      </c>
      <c r="AF193" t="s">
        <v>49</v>
      </c>
      <c r="AG193" t="s">
        <v>49</v>
      </c>
      <c r="AH193" t="s">
        <v>48</v>
      </c>
      <c r="AI193" t="s">
        <v>48</v>
      </c>
      <c r="AJ193" t="s">
        <v>48</v>
      </c>
      <c r="AK193" t="s">
        <v>62</v>
      </c>
      <c r="AL193" t="s">
        <v>63</v>
      </c>
      <c r="AM193" t="s">
        <v>61</v>
      </c>
      <c r="AN193" t="s">
        <v>64</v>
      </c>
      <c r="AO193" t="s">
        <v>122</v>
      </c>
      <c r="AP193">
        <v>1</v>
      </c>
      <c r="AQ193" t="s">
        <v>66</v>
      </c>
      <c r="AR193" t="s">
        <v>76</v>
      </c>
      <c r="AS193">
        <v>2004</v>
      </c>
      <c r="AT193" t="s">
        <v>49</v>
      </c>
      <c r="AU193" t="s">
        <v>48</v>
      </c>
      <c r="AV193" t="s">
        <v>48</v>
      </c>
      <c r="AW193" t="s">
        <v>48</v>
      </c>
    </row>
    <row r="194" spans="1:49" x14ac:dyDescent="0.3">
      <c r="A194" t="s">
        <v>729</v>
      </c>
      <c r="B194" t="s">
        <v>48</v>
      </c>
      <c r="C194" t="s">
        <v>49</v>
      </c>
      <c r="D194">
        <v>498.47</v>
      </c>
      <c r="E194">
        <v>0</v>
      </c>
      <c r="F194">
        <v>1.77</v>
      </c>
      <c r="G194" t="s">
        <v>730</v>
      </c>
      <c r="H194" t="s">
        <v>731</v>
      </c>
      <c r="I194" t="s">
        <v>52</v>
      </c>
      <c r="J194" t="s">
        <v>53</v>
      </c>
      <c r="K194">
        <v>1700</v>
      </c>
      <c r="L194" t="s">
        <v>126</v>
      </c>
      <c r="M194">
        <f>DOWNLOAD_2kLRbPnDtawQopEJ_UKtt22ud9U57gk8mqebZIeugNk[[#This Row],[Standard Value]]</f>
        <v>1700</v>
      </c>
      <c r="N194">
        <f>-LOG(DOWNLOAD_2kLRbPnDtawQopEJ_UKtt22ud9U57gk8mqebZIeugNk[[#This Row],[IC50]]*POWER(10, -9), 10)</f>
        <v>5.769551078621725</v>
      </c>
      <c r="O194">
        <v>5.77</v>
      </c>
      <c r="P194" t="s">
        <v>48</v>
      </c>
      <c r="Q194">
        <v>302780</v>
      </c>
      <c r="R194" t="s">
        <v>127</v>
      </c>
      <c r="S194">
        <v>11.57</v>
      </c>
      <c r="T194">
        <v>0.22</v>
      </c>
      <c r="U194">
        <v>4</v>
      </c>
      <c r="V194">
        <v>3.8</v>
      </c>
      <c r="W194">
        <v>0</v>
      </c>
      <c r="X194" t="s">
        <v>251</v>
      </c>
      <c r="Y194" t="s">
        <v>252</v>
      </c>
      <c r="Z194" t="s">
        <v>58</v>
      </c>
      <c r="AA194" t="s">
        <v>59</v>
      </c>
      <c r="AB194" t="s">
        <v>60</v>
      </c>
      <c r="AC194" t="s">
        <v>61</v>
      </c>
      <c r="AD194" t="s">
        <v>49</v>
      </c>
      <c r="AE194" t="s">
        <v>49</v>
      </c>
      <c r="AF194" t="s">
        <v>49</v>
      </c>
      <c r="AG194" t="s">
        <v>49</v>
      </c>
      <c r="AH194" t="s">
        <v>48</v>
      </c>
      <c r="AI194" t="s">
        <v>48</v>
      </c>
      <c r="AJ194" t="s">
        <v>48</v>
      </c>
      <c r="AK194" t="s">
        <v>62</v>
      </c>
      <c r="AL194" t="s">
        <v>63</v>
      </c>
      <c r="AM194" t="s">
        <v>61</v>
      </c>
      <c r="AN194" t="s">
        <v>64</v>
      </c>
      <c r="AO194" t="s">
        <v>253</v>
      </c>
      <c r="AP194">
        <v>37</v>
      </c>
      <c r="AQ194" t="s">
        <v>254</v>
      </c>
      <c r="AR194" t="s">
        <v>48</v>
      </c>
      <c r="AS194">
        <v>2015</v>
      </c>
      <c r="AT194" t="s">
        <v>49</v>
      </c>
      <c r="AU194" t="s">
        <v>48</v>
      </c>
      <c r="AV194" t="s">
        <v>48</v>
      </c>
      <c r="AW194" t="s">
        <v>48</v>
      </c>
    </row>
    <row r="195" spans="1:49" x14ac:dyDescent="0.3">
      <c r="A195" t="s">
        <v>732</v>
      </c>
      <c r="B195" t="s">
        <v>48</v>
      </c>
      <c r="C195" t="s">
        <v>49</v>
      </c>
      <c r="D195">
        <v>532.49</v>
      </c>
      <c r="E195">
        <v>2</v>
      </c>
      <c r="F195">
        <v>1.5</v>
      </c>
      <c r="G195" t="s">
        <v>733</v>
      </c>
      <c r="H195" t="s">
        <v>734</v>
      </c>
      <c r="I195" t="s">
        <v>52</v>
      </c>
      <c r="J195" t="s">
        <v>53</v>
      </c>
      <c r="K195">
        <v>30000</v>
      </c>
      <c r="L195" t="s">
        <v>126</v>
      </c>
      <c r="M195">
        <f>DOWNLOAD_2kLRbPnDtawQopEJ_UKtt22ud9U57gk8mqebZIeugNk[[#This Row],[Standard Value]]</f>
        <v>30000</v>
      </c>
      <c r="N195">
        <f>-LOG(DOWNLOAD_2kLRbPnDtawQopEJ_UKtt22ud9U57gk8mqebZIeugNk[[#This Row],[IC50]]*POWER(10, -9), 10)</f>
        <v>4.5228787452803374</v>
      </c>
      <c r="O195">
        <v>4.5199999999999996</v>
      </c>
      <c r="P195" t="s">
        <v>48</v>
      </c>
      <c r="Q195">
        <v>302801</v>
      </c>
      <c r="R195" t="s">
        <v>127</v>
      </c>
      <c r="S195">
        <v>8.49</v>
      </c>
      <c r="T195">
        <v>0.16</v>
      </c>
      <c r="U195">
        <v>3.02</v>
      </c>
      <c r="V195">
        <v>2.87</v>
      </c>
      <c r="W195">
        <v>0</v>
      </c>
      <c r="X195" t="s">
        <v>251</v>
      </c>
      <c r="Y195" t="s">
        <v>252</v>
      </c>
      <c r="Z195" t="s">
        <v>58</v>
      </c>
      <c r="AA195" t="s">
        <v>59</v>
      </c>
      <c r="AB195" t="s">
        <v>60</v>
      </c>
      <c r="AC195" t="s">
        <v>61</v>
      </c>
      <c r="AD195" t="s">
        <v>49</v>
      </c>
      <c r="AE195" t="s">
        <v>49</v>
      </c>
      <c r="AF195" t="s">
        <v>49</v>
      </c>
      <c r="AG195" t="s">
        <v>49</v>
      </c>
      <c r="AH195" t="s">
        <v>48</v>
      </c>
      <c r="AI195" t="s">
        <v>48</v>
      </c>
      <c r="AJ195" t="s">
        <v>48</v>
      </c>
      <c r="AK195" t="s">
        <v>62</v>
      </c>
      <c r="AL195" t="s">
        <v>63</v>
      </c>
      <c r="AM195" t="s">
        <v>61</v>
      </c>
      <c r="AN195" t="s">
        <v>64</v>
      </c>
      <c r="AO195" t="s">
        <v>253</v>
      </c>
      <c r="AP195">
        <v>37</v>
      </c>
      <c r="AQ195" t="s">
        <v>254</v>
      </c>
      <c r="AR195" t="s">
        <v>48</v>
      </c>
      <c r="AS195">
        <v>2015</v>
      </c>
      <c r="AT195" t="s">
        <v>49</v>
      </c>
      <c r="AU195" t="s">
        <v>48</v>
      </c>
      <c r="AV195" t="s">
        <v>48</v>
      </c>
      <c r="AW195" t="s">
        <v>48</v>
      </c>
    </row>
    <row r="196" spans="1:49" x14ac:dyDescent="0.3">
      <c r="A196" t="s">
        <v>735</v>
      </c>
      <c r="B196" t="s">
        <v>48</v>
      </c>
      <c r="C196" t="s">
        <v>49</v>
      </c>
      <c r="D196">
        <v>501.47</v>
      </c>
      <c r="E196">
        <v>1</v>
      </c>
      <c r="F196">
        <v>0.33</v>
      </c>
      <c r="G196" t="s">
        <v>736</v>
      </c>
      <c r="H196" t="s">
        <v>737</v>
      </c>
      <c r="I196" t="s">
        <v>52</v>
      </c>
      <c r="J196" t="s">
        <v>53</v>
      </c>
      <c r="K196">
        <v>3300</v>
      </c>
      <c r="L196" t="s">
        <v>126</v>
      </c>
      <c r="M196">
        <f>DOWNLOAD_2kLRbPnDtawQopEJ_UKtt22ud9U57gk8mqebZIeugNk[[#This Row],[Standard Value]]</f>
        <v>3300</v>
      </c>
      <c r="N196">
        <f>-LOG(DOWNLOAD_2kLRbPnDtawQopEJ_UKtt22ud9U57gk8mqebZIeugNk[[#This Row],[IC50]]*POWER(10, -9), 10)</f>
        <v>5.481486060122112</v>
      </c>
      <c r="O196">
        <v>5.48</v>
      </c>
      <c r="P196" t="s">
        <v>48</v>
      </c>
      <c r="Q196">
        <v>302907</v>
      </c>
      <c r="R196" t="s">
        <v>127</v>
      </c>
      <c r="S196">
        <v>10.93</v>
      </c>
      <c r="T196">
        <v>0.21</v>
      </c>
      <c r="U196">
        <v>5.15</v>
      </c>
      <c r="V196">
        <v>3.82</v>
      </c>
      <c r="W196">
        <v>0</v>
      </c>
      <c r="X196" t="s">
        <v>251</v>
      </c>
      <c r="Y196" t="s">
        <v>252</v>
      </c>
      <c r="Z196" t="s">
        <v>58</v>
      </c>
      <c r="AA196" t="s">
        <v>59</v>
      </c>
      <c r="AB196" t="s">
        <v>60</v>
      </c>
      <c r="AC196" t="s">
        <v>61</v>
      </c>
      <c r="AD196" t="s">
        <v>49</v>
      </c>
      <c r="AE196" t="s">
        <v>49</v>
      </c>
      <c r="AF196" t="s">
        <v>49</v>
      </c>
      <c r="AG196" t="s">
        <v>49</v>
      </c>
      <c r="AH196" t="s">
        <v>48</v>
      </c>
      <c r="AI196" t="s">
        <v>48</v>
      </c>
      <c r="AJ196" t="s">
        <v>48</v>
      </c>
      <c r="AK196" t="s">
        <v>62</v>
      </c>
      <c r="AL196" t="s">
        <v>63</v>
      </c>
      <c r="AM196" t="s">
        <v>61</v>
      </c>
      <c r="AN196" t="s">
        <v>64</v>
      </c>
      <c r="AO196" t="s">
        <v>253</v>
      </c>
      <c r="AP196">
        <v>37</v>
      </c>
      <c r="AQ196" t="s">
        <v>254</v>
      </c>
      <c r="AR196" t="s">
        <v>48</v>
      </c>
      <c r="AS196">
        <v>2015</v>
      </c>
      <c r="AT196" t="s">
        <v>49</v>
      </c>
      <c r="AU196" t="s">
        <v>48</v>
      </c>
      <c r="AV196" t="s">
        <v>48</v>
      </c>
      <c r="AW196" t="s">
        <v>48</v>
      </c>
    </row>
    <row r="197" spans="1:49" x14ac:dyDescent="0.3">
      <c r="A197" t="s">
        <v>738</v>
      </c>
      <c r="B197" t="s">
        <v>48</v>
      </c>
      <c r="C197" t="s">
        <v>49</v>
      </c>
      <c r="D197">
        <v>327.36</v>
      </c>
      <c r="E197">
        <v>0</v>
      </c>
      <c r="F197">
        <v>1.66</v>
      </c>
      <c r="G197" t="s">
        <v>306</v>
      </c>
      <c r="H197" t="s">
        <v>739</v>
      </c>
      <c r="I197" t="s">
        <v>52</v>
      </c>
      <c r="J197" t="s">
        <v>53</v>
      </c>
      <c r="K197">
        <v>1190</v>
      </c>
      <c r="L197" t="s">
        <v>126</v>
      </c>
      <c r="M197">
        <f>DOWNLOAD_2kLRbPnDtawQopEJ_UKtt22ud9U57gk8mqebZIeugNk[[#This Row],[Standard Value]]</f>
        <v>1190</v>
      </c>
      <c r="N197">
        <f>-LOG(DOWNLOAD_2kLRbPnDtawQopEJ_UKtt22ud9U57gk8mqebZIeugNk[[#This Row],[IC50]]*POWER(10, -9), 10)</f>
        <v>5.924453038607469</v>
      </c>
      <c r="O197">
        <v>5.92</v>
      </c>
      <c r="P197" t="s">
        <v>48</v>
      </c>
      <c r="R197" t="s">
        <v>127</v>
      </c>
      <c r="S197">
        <v>18.100000000000001</v>
      </c>
      <c r="T197">
        <v>0.34</v>
      </c>
      <c r="U197">
        <v>4.26</v>
      </c>
      <c r="V197">
        <v>8.64</v>
      </c>
      <c r="W197">
        <v>0</v>
      </c>
      <c r="X197" t="s">
        <v>740</v>
      </c>
      <c r="Y197" t="s">
        <v>741</v>
      </c>
      <c r="Z197" t="s">
        <v>58</v>
      </c>
      <c r="AA197" t="s">
        <v>59</v>
      </c>
      <c r="AB197" t="s">
        <v>60</v>
      </c>
      <c r="AC197" t="s">
        <v>61</v>
      </c>
      <c r="AD197" t="s">
        <v>49</v>
      </c>
      <c r="AE197" t="s">
        <v>49</v>
      </c>
      <c r="AF197" t="s">
        <v>49</v>
      </c>
      <c r="AG197" t="s">
        <v>49</v>
      </c>
      <c r="AH197" t="s">
        <v>48</v>
      </c>
      <c r="AI197" t="s">
        <v>48</v>
      </c>
      <c r="AJ197" t="s">
        <v>48</v>
      </c>
      <c r="AK197" t="s">
        <v>62</v>
      </c>
      <c r="AL197" t="s">
        <v>63</v>
      </c>
      <c r="AM197" t="s">
        <v>61</v>
      </c>
      <c r="AN197" t="s">
        <v>64</v>
      </c>
      <c r="AO197" t="s">
        <v>742</v>
      </c>
      <c r="AP197">
        <v>1</v>
      </c>
      <c r="AQ197" t="s">
        <v>66</v>
      </c>
      <c r="AR197" t="s">
        <v>67</v>
      </c>
      <c r="AS197">
        <v>2018</v>
      </c>
      <c r="AT197" t="s">
        <v>49</v>
      </c>
      <c r="AU197" t="s">
        <v>48</v>
      </c>
      <c r="AV197" t="s">
        <v>48</v>
      </c>
      <c r="AW197" t="s">
        <v>48</v>
      </c>
    </row>
    <row r="198" spans="1:49" x14ac:dyDescent="0.3">
      <c r="A198" t="s">
        <v>743</v>
      </c>
      <c r="B198" t="s">
        <v>48</v>
      </c>
      <c r="C198" t="s">
        <v>49</v>
      </c>
      <c r="D198">
        <v>402.38</v>
      </c>
      <c r="E198">
        <v>0</v>
      </c>
      <c r="F198">
        <v>1.17</v>
      </c>
      <c r="G198" t="s">
        <v>744</v>
      </c>
      <c r="H198" t="s">
        <v>745</v>
      </c>
      <c r="I198" t="s">
        <v>52</v>
      </c>
      <c r="J198" t="s">
        <v>53</v>
      </c>
      <c r="K198">
        <v>300</v>
      </c>
      <c r="L198" t="s">
        <v>126</v>
      </c>
      <c r="M198">
        <f>DOWNLOAD_2kLRbPnDtawQopEJ_UKtt22ud9U57gk8mqebZIeugNk[[#This Row],[Standard Value]]</f>
        <v>300</v>
      </c>
      <c r="N198">
        <f>-LOG(DOWNLOAD_2kLRbPnDtawQopEJ_UKtt22ud9U57gk8mqebZIeugNk[[#This Row],[IC50]]*POWER(10, -9), 10)</f>
        <v>6.5228787452803365</v>
      </c>
      <c r="O198">
        <v>6.52</v>
      </c>
      <c r="P198" t="s">
        <v>48</v>
      </c>
      <c r="Q198">
        <v>302769</v>
      </c>
      <c r="R198" t="s">
        <v>127</v>
      </c>
      <c r="S198">
        <v>16.21</v>
      </c>
      <c r="T198">
        <v>0.31</v>
      </c>
      <c r="U198">
        <v>5.35</v>
      </c>
      <c r="V198">
        <v>5.73</v>
      </c>
      <c r="W198">
        <v>0</v>
      </c>
      <c r="X198" t="s">
        <v>251</v>
      </c>
      <c r="Y198" t="s">
        <v>252</v>
      </c>
      <c r="Z198" t="s">
        <v>58</v>
      </c>
      <c r="AA198" t="s">
        <v>59</v>
      </c>
      <c r="AB198" t="s">
        <v>60</v>
      </c>
      <c r="AC198" t="s">
        <v>61</v>
      </c>
      <c r="AD198" t="s">
        <v>49</v>
      </c>
      <c r="AE198" t="s">
        <v>49</v>
      </c>
      <c r="AF198" t="s">
        <v>49</v>
      </c>
      <c r="AG198" t="s">
        <v>49</v>
      </c>
      <c r="AH198" t="s">
        <v>48</v>
      </c>
      <c r="AI198" t="s">
        <v>48</v>
      </c>
      <c r="AJ198" t="s">
        <v>48</v>
      </c>
      <c r="AK198" t="s">
        <v>62</v>
      </c>
      <c r="AL198" t="s">
        <v>63</v>
      </c>
      <c r="AM198" t="s">
        <v>61</v>
      </c>
      <c r="AN198" t="s">
        <v>64</v>
      </c>
      <c r="AO198" t="s">
        <v>253</v>
      </c>
      <c r="AP198">
        <v>37</v>
      </c>
      <c r="AQ198" t="s">
        <v>254</v>
      </c>
      <c r="AR198" t="s">
        <v>48</v>
      </c>
      <c r="AS198">
        <v>2015</v>
      </c>
      <c r="AT198" t="s">
        <v>49</v>
      </c>
      <c r="AU198" t="s">
        <v>48</v>
      </c>
      <c r="AV198" t="s">
        <v>48</v>
      </c>
      <c r="AW198" t="s">
        <v>48</v>
      </c>
    </row>
    <row r="199" spans="1:49" x14ac:dyDescent="0.3">
      <c r="A199" t="s">
        <v>746</v>
      </c>
      <c r="B199" t="s">
        <v>48</v>
      </c>
      <c r="C199" t="s">
        <v>49</v>
      </c>
      <c r="D199">
        <v>499.54</v>
      </c>
      <c r="E199">
        <v>0</v>
      </c>
      <c r="F199">
        <v>2.85</v>
      </c>
      <c r="G199" t="s">
        <v>747</v>
      </c>
      <c r="H199" t="s">
        <v>748</v>
      </c>
      <c r="I199" t="s">
        <v>52</v>
      </c>
      <c r="J199" t="s">
        <v>53</v>
      </c>
      <c r="K199">
        <v>2900</v>
      </c>
      <c r="L199" t="s">
        <v>126</v>
      </c>
      <c r="M199">
        <f>DOWNLOAD_2kLRbPnDtawQopEJ_UKtt22ud9U57gk8mqebZIeugNk[[#This Row],[Standard Value]]</f>
        <v>2900</v>
      </c>
      <c r="N199">
        <f>-LOG(DOWNLOAD_2kLRbPnDtawQopEJ_UKtt22ud9U57gk8mqebZIeugNk[[#This Row],[IC50]]*POWER(10, -9), 10)</f>
        <v>5.5376020021010435</v>
      </c>
      <c r="O199">
        <v>5.54</v>
      </c>
      <c r="P199" t="s">
        <v>48</v>
      </c>
      <c r="Q199">
        <v>302785</v>
      </c>
      <c r="R199" t="s">
        <v>127</v>
      </c>
      <c r="S199">
        <v>11.09</v>
      </c>
      <c r="T199">
        <v>0.21</v>
      </c>
      <c r="U199">
        <v>2.69</v>
      </c>
      <c r="V199">
        <v>4.4000000000000004</v>
      </c>
      <c r="W199">
        <v>0</v>
      </c>
      <c r="X199" t="s">
        <v>251</v>
      </c>
      <c r="Y199" t="s">
        <v>252</v>
      </c>
      <c r="Z199" t="s">
        <v>58</v>
      </c>
      <c r="AA199" t="s">
        <v>59</v>
      </c>
      <c r="AB199" t="s">
        <v>60</v>
      </c>
      <c r="AC199" t="s">
        <v>61</v>
      </c>
      <c r="AD199" t="s">
        <v>49</v>
      </c>
      <c r="AE199" t="s">
        <v>49</v>
      </c>
      <c r="AF199" t="s">
        <v>49</v>
      </c>
      <c r="AG199" t="s">
        <v>49</v>
      </c>
      <c r="AH199" t="s">
        <v>48</v>
      </c>
      <c r="AI199" t="s">
        <v>48</v>
      </c>
      <c r="AJ199" t="s">
        <v>48</v>
      </c>
      <c r="AK199" t="s">
        <v>62</v>
      </c>
      <c r="AL199" t="s">
        <v>63</v>
      </c>
      <c r="AM199" t="s">
        <v>61</v>
      </c>
      <c r="AN199" t="s">
        <v>64</v>
      </c>
      <c r="AO199" t="s">
        <v>253</v>
      </c>
      <c r="AP199">
        <v>37</v>
      </c>
      <c r="AQ199" t="s">
        <v>254</v>
      </c>
      <c r="AR199" t="s">
        <v>48</v>
      </c>
      <c r="AS199">
        <v>2015</v>
      </c>
      <c r="AT199" t="s">
        <v>49</v>
      </c>
      <c r="AU199" t="s">
        <v>48</v>
      </c>
      <c r="AV199" t="s">
        <v>48</v>
      </c>
      <c r="AW199" t="s">
        <v>48</v>
      </c>
    </row>
    <row r="200" spans="1:49" x14ac:dyDescent="0.3">
      <c r="A200" t="s">
        <v>749</v>
      </c>
      <c r="B200" t="s">
        <v>48</v>
      </c>
      <c r="C200" t="s">
        <v>49</v>
      </c>
      <c r="D200">
        <v>431.38</v>
      </c>
      <c r="E200">
        <v>0</v>
      </c>
      <c r="F200">
        <v>-0.04</v>
      </c>
      <c r="G200" t="s">
        <v>750</v>
      </c>
      <c r="H200" t="s">
        <v>751</v>
      </c>
      <c r="I200" t="s">
        <v>52</v>
      </c>
      <c r="J200" t="s">
        <v>53</v>
      </c>
      <c r="K200">
        <v>1700</v>
      </c>
      <c r="L200" t="s">
        <v>126</v>
      </c>
      <c r="M200">
        <f>DOWNLOAD_2kLRbPnDtawQopEJ_UKtt22ud9U57gk8mqebZIeugNk[[#This Row],[Standard Value]]</f>
        <v>1700</v>
      </c>
      <c r="N200">
        <f>-LOG(DOWNLOAD_2kLRbPnDtawQopEJ_UKtt22ud9U57gk8mqebZIeugNk[[#This Row],[IC50]]*POWER(10, -9), 10)</f>
        <v>5.769551078621725</v>
      </c>
      <c r="O200">
        <v>5.77</v>
      </c>
      <c r="P200" t="s">
        <v>48</v>
      </c>
      <c r="Q200">
        <v>302916</v>
      </c>
      <c r="R200" t="s">
        <v>127</v>
      </c>
      <c r="S200">
        <v>13.37</v>
      </c>
      <c r="T200">
        <v>0.25</v>
      </c>
      <c r="U200">
        <v>5.81</v>
      </c>
      <c r="V200">
        <v>3.68</v>
      </c>
      <c r="W200">
        <v>0</v>
      </c>
      <c r="X200" t="s">
        <v>251</v>
      </c>
      <c r="Y200" t="s">
        <v>252</v>
      </c>
      <c r="Z200" t="s">
        <v>58</v>
      </c>
      <c r="AA200" t="s">
        <v>59</v>
      </c>
      <c r="AB200" t="s">
        <v>60</v>
      </c>
      <c r="AC200" t="s">
        <v>61</v>
      </c>
      <c r="AD200" t="s">
        <v>49</v>
      </c>
      <c r="AE200" t="s">
        <v>49</v>
      </c>
      <c r="AF200" t="s">
        <v>49</v>
      </c>
      <c r="AG200" t="s">
        <v>49</v>
      </c>
      <c r="AH200" t="s">
        <v>48</v>
      </c>
      <c r="AI200" t="s">
        <v>48</v>
      </c>
      <c r="AJ200" t="s">
        <v>48</v>
      </c>
      <c r="AK200" t="s">
        <v>62</v>
      </c>
      <c r="AL200" t="s">
        <v>63</v>
      </c>
      <c r="AM200" t="s">
        <v>61</v>
      </c>
      <c r="AN200" t="s">
        <v>64</v>
      </c>
      <c r="AO200" t="s">
        <v>253</v>
      </c>
      <c r="AP200">
        <v>37</v>
      </c>
      <c r="AQ200" t="s">
        <v>254</v>
      </c>
      <c r="AR200" t="s">
        <v>48</v>
      </c>
      <c r="AS200">
        <v>2015</v>
      </c>
      <c r="AT200" t="s">
        <v>49</v>
      </c>
      <c r="AU200" t="s">
        <v>48</v>
      </c>
      <c r="AV200" t="s">
        <v>48</v>
      </c>
      <c r="AW200" t="s">
        <v>48</v>
      </c>
    </row>
    <row r="201" spans="1:49" x14ac:dyDescent="0.3">
      <c r="A201" t="s">
        <v>752</v>
      </c>
      <c r="B201" t="s">
        <v>48</v>
      </c>
      <c r="C201" t="s">
        <v>49</v>
      </c>
      <c r="D201">
        <v>466.45</v>
      </c>
      <c r="E201">
        <v>0</v>
      </c>
      <c r="F201">
        <v>0.26</v>
      </c>
      <c r="G201" t="s">
        <v>753</v>
      </c>
      <c r="H201" t="s">
        <v>754</v>
      </c>
      <c r="I201" t="s">
        <v>52</v>
      </c>
      <c r="J201" t="s">
        <v>53</v>
      </c>
      <c r="K201">
        <v>2400</v>
      </c>
      <c r="L201" t="s">
        <v>126</v>
      </c>
      <c r="M201">
        <f>DOWNLOAD_2kLRbPnDtawQopEJ_UKtt22ud9U57gk8mqebZIeugNk[[#This Row],[Standard Value]]</f>
        <v>2400</v>
      </c>
      <c r="N201">
        <f>-LOG(DOWNLOAD_2kLRbPnDtawQopEJ_UKtt22ud9U57gk8mqebZIeugNk[[#This Row],[IC50]]*POWER(10, -9), 10)</f>
        <v>5.6197887582883927</v>
      </c>
      <c r="O201">
        <v>5.62</v>
      </c>
      <c r="P201" t="s">
        <v>48</v>
      </c>
      <c r="Q201">
        <v>302961</v>
      </c>
      <c r="R201" t="s">
        <v>127</v>
      </c>
      <c r="S201">
        <v>12.05</v>
      </c>
      <c r="T201">
        <v>0.24</v>
      </c>
      <c r="U201">
        <v>5.36</v>
      </c>
      <c r="V201">
        <v>3.8</v>
      </c>
      <c r="W201">
        <v>0</v>
      </c>
      <c r="X201" t="s">
        <v>251</v>
      </c>
      <c r="Y201" t="s">
        <v>252</v>
      </c>
      <c r="Z201" t="s">
        <v>58</v>
      </c>
      <c r="AA201" t="s">
        <v>59</v>
      </c>
      <c r="AB201" t="s">
        <v>60</v>
      </c>
      <c r="AC201" t="s">
        <v>61</v>
      </c>
      <c r="AD201" t="s">
        <v>49</v>
      </c>
      <c r="AE201" t="s">
        <v>49</v>
      </c>
      <c r="AF201" t="s">
        <v>49</v>
      </c>
      <c r="AG201" t="s">
        <v>49</v>
      </c>
      <c r="AH201" t="s">
        <v>48</v>
      </c>
      <c r="AI201" t="s">
        <v>48</v>
      </c>
      <c r="AJ201" t="s">
        <v>48</v>
      </c>
      <c r="AK201" t="s">
        <v>62</v>
      </c>
      <c r="AL201" t="s">
        <v>63</v>
      </c>
      <c r="AM201" t="s">
        <v>61</v>
      </c>
      <c r="AN201" t="s">
        <v>64</v>
      </c>
      <c r="AO201" t="s">
        <v>253</v>
      </c>
      <c r="AP201">
        <v>37</v>
      </c>
      <c r="AQ201" t="s">
        <v>254</v>
      </c>
      <c r="AR201" t="s">
        <v>48</v>
      </c>
      <c r="AS201">
        <v>2015</v>
      </c>
      <c r="AT201" t="s">
        <v>49</v>
      </c>
      <c r="AU201" t="s">
        <v>48</v>
      </c>
      <c r="AV201" t="s">
        <v>48</v>
      </c>
      <c r="AW201" t="s">
        <v>48</v>
      </c>
    </row>
    <row r="202" spans="1:49" x14ac:dyDescent="0.3">
      <c r="A202" t="s">
        <v>755</v>
      </c>
      <c r="B202" t="s">
        <v>48</v>
      </c>
      <c r="C202" t="s">
        <v>49</v>
      </c>
      <c r="D202">
        <v>352.36</v>
      </c>
      <c r="E202">
        <v>0</v>
      </c>
      <c r="F202">
        <v>1.45</v>
      </c>
      <c r="G202" t="s">
        <v>197</v>
      </c>
      <c r="H202" t="s">
        <v>756</v>
      </c>
      <c r="I202" t="s">
        <v>52</v>
      </c>
      <c r="J202" t="s">
        <v>53</v>
      </c>
      <c r="K202">
        <v>200</v>
      </c>
      <c r="L202" t="s">
        <v>126</v>
      </c>
      <c r="M202">
        <f>DOWNLOAD_2kLRbPnDtawQopEJ_UKtt22ud9U57gk8mqebZIeugNk[[#This Row],[Standard Value]]</f>
        <v>200</v>
      </c>
      <c r="N202">
        <f>-LOG(DOWNLOAD_2kLRbPnDtawQopEJ_UKtt22ud9U57gk8mqebZIeugNk[[#This Row],[IC50]]*POWER(10, -9), 10)</f>
        <v>6.6989700043360187</v>
      </c>
      <c r="O202">
        <v>6.7</v>
      </c>
      <c r="P202" t="s">
        <v>48</v>
      </c>
      <c r="R202" t="s">
        <v>127</v>
      </c>
      <c r="S202">
        <v>19.010000000000002</v>
      </c>
      <c r="T202">
        <v>0.35</v>
      </c>
      <c r="U202">
        <v>5.25</v>
      </c>
      <c r="V202">
        <v>5.29</v>
      </c>
      <c r="W202">
        <v>0</v>
      </c>
      <c r="X202" t="s">
        <v>450</v>
      </c>
      <c r="Y202" t="s">
        <v>451</v>
      </c>
      <c r="Z202" t="s">
        <v>58</v>
      </c>
      <c r="AA202" t="s">
        <v>59</v>
      </c>
      <c r="AB202" t="s">
        <v>60</v>
      </c>
      <c r="AC202" t="s">
        <v>61</v>
      </c>
      <c r="AD202" t="s">
        <v>49</v>
      </c>
      <c r="AE202" t="s">
        <v>49</v>
      </c>
      <c r="AF202" t="s">
        <v>49</v>
      </c>
      <c r="AG202" t="s">
        <v>49</v>
      </c>
      <c r="AH202" t="s">
        <v>48</v>
      </c>
      <c r="AI202" t="s">
        <v>48</v>
      </c>
      <c r="AJ202" t="s">
        <v>48</v>
      </c>
      <c r="AK202" t="s">
        <v>62</v>
      </c>
      <c r="AL202" t="s">
        <v>63</v>
      </c>
      <c r="AM202" t="s">
        <v>61</v>
      </c>
      <c r="AN202" t="s">
        <v>64</v>
      </c>
      <c r="AO202" t="s">
        <v>452</v>
      </c>
      <c r="AP202">
        <v>1</v>
      </c>
      <c r="AQ202" t="s">
        <v>66</v>
      </c>
      <c r="AR202" t="s">
        <v>267</v>
      </c>
      <c r="AS202">
        <v>2019</v>
      </c>
      <c r="AT202" t="s">
        <v>49</v>
      </c>
      <c r="AU202" t="s">
        <v>48</v>
      </c>
      <c r="AV202" t="s">
        <v>48</v>
      </c>
      <c r="AW202" t="s">
        <v>48</v>
      </c>
    </row>
    <row r="203" spans="1:49" x14ac:dyDescent="0.3">
      <c r="A203" t="s">
        <v>757</v>
      </c>
      <c r="B203" t="s">
        <v>48</v>
      </c>
      <c r="C203" t="s">
        <v>49</v>
      </c>
      <c r="D203">
        <v>352.36</v>
      </c>
      <c r="E203">
        <v>0</v>
      </c>
      <c r="F203">
        <v>1.45</v>
      </c>
      <c r="G203" t="s">
        <v>262</v>
      </c>
      <c r="H203" t="s">
        <v>758</v>
      </c>
      <c r="I203" t="s">
        <v>52</v>
      </c>
      <c r="J203" t="s">
        <v>53</v>
      </c>
      <c r="K203">
        <v>82</v>
      </c>
      <c r="L203" t="s">
        <v>126</v>
      </c>
      <c r="M203">
        <f>DOWNLOAD_2kLRbPnDtawQopEJ_UKtt22ud9U57gk8mqebZIeugNk[[#This Row],[Standard Value]]</f>
        <v>82</v>
      </c>
      <c r="N203">
        <f>-LOG(DOWNLOAD_2kLRbPnDtawQopEJ_UKtt22ud9U57gk8mqebZIeugNk[[#This Row],[IC50]]*POWER(10, -9), 10)</f>
        <v>7.0861861476162824</v>
      </c>
      <c r="O203">
        <v>7.09</v>
      </c>
      <c r="P203" t="s">
        <v>48</v>
      </c>
      <c r="R203" t="s">
        <v>127</v>
      </c>
      <c r="S203">
        <v>20.11</v>
      </c>
      <c r="T203">
        <v>0.37</v>
      </c>
      <c r="U203">
        <v>5.64</v>
      </c>
      <c r="V203">
        <v>5.59</v>
      </c>
      <c r="W203">
        <v>0</v>
      </c>
      <c r="X203" t="s">
        <v>450</v>
      </c>
      <c r="Y203" t="s">
        <v>451</v>
      </c>
      <c r="Z203" t="s">
        <v>58</v>
      </c>
      <c r="AA203" t="s">
        <v>59</v>
      </c>
      <c r="AB203" t="s">
        <v>60</v>
      </c>
      <c r="AC203" t="s">
        <v>61</v>
      </c>
      <c r="AD203" t="s">
        <v>49</v>
      </c>
      <c r="AE203" t="s">
        <v>49</v>
      </c>
      <c r="AF203" t="s">
        <v>49</v>
      </c>
      <c r="AG203" t="s">
        <v>49</v>
      </c>
      <c r="AH203" t="s">
        <v>48</v>
      </c>
      <c r="AI203" t="s">
        <v>48</v>
      </c>
      <c r="AJ203" t="s">
        <v>48</v>
      </c>
      <c r="AK203" t="s">
        <v>62</v>
      </c>
      <c r="AL203" t="s">
        <v>63</v>
      </c>
      <c r="AM203" t="s">
        <v>61</v>
      </c>
      <c r="AN203" t="s">
        <v>64</v>
      </c>
      <c r="AO203" t="s">
        <v>452</v>
      </c>
      <c r="AP203">
        <v>1</v>
      </c>
      <c r="AQ203" t="s">
        <v>66</v>
      </c>
      <c r="AR203" t="s">
        <v>267</v>
      </c>
      <c r="AS203">
        <v>2019</v>
      </c>
      <c r="AT203" t="s">
        <v>49</v>
      </c>
      <c r="AU203" t="s">
        <v>48</v>
      </c>
      <c r="AV203" t="s">
        <v>48</v>
      </c>
      <c r="AW203" t="s">
        <v>48</v>
      </c>
    </row>
    <row r="204" spans="1:49" x14ac:dyDescent="0.3">
      <c r="A204" t="s">
        <v>759</v>
      </c>
      <c r="B204" t="s">
        <v>48</v>
      </c>
      <c r="C204" t="s">
        <v>49</v>
      </c>
      <c r="D204">
        <v>461.48</v>
      </c>
      <c r="E204">
        <v>0</v>
      </c>
      <c r="F204">
        <v>1.5</v>
      </c>
      <c r="G204" t="s">
        <v>760</v>
      </c>
      <c r="H204" t="s">
        <v>761</v>
      </c>
      <c r="I204" t="s">
        <v>52</v>
      </c>
      <c r="J204" t="s">
        <v>53</v>
      </c>
      <c r="K204">
        <v>0.43</v>
      </c>
      <c r="L204" t="s">
        <v>126</v>
      </c>
      <c r="M204">
        <f>DOWNLOAD_2kLRbPnDtawQopEJ_UKtt22ud9U57gk8mqebZIeugNk[[#This Row],[Standard Value]]</f>
        <v>0.43</v>
      </c>
      <c r="N204">
        <f>-LOG(DOWNLOAD_2kLRbPnDtawQopEJ_UKtt22ud9U57gk8mqebZIeugNk[[#This Row],[IC50]]*POWER(10, -9), 10)</f>
        <v>9.3665315444204111</v>
      </c>
      <c r="O204">
        <v>9.3699999999999992</v>
      </c>
      <c r="P204" t="s">
        <v>48</v>
      </c>
      <c r="R204" t="s">
        <v>127</v>
      </c>
      <c r="S204">
        <v>20.3</v>
      </c>
      <c r="T204">
        <v>0.4</v>
      </c>
      <c r="U204">
        <v>7.87</v>
      </c>
      <c r="V204">
        <v>6.67</v>
      </c>
      <c r="W204">
        <v>0</v>
      </c>
      <c r="X204" t="s">
        <v>264</v>
      </c>
      <c r="Y204" t="s">
        <v>265</v>
      </c>
      <c r="Z204" t="s">
        <v>58</v>
      </c>
      <c r="AA204" t="s">
        <v>59</v>
      </c>
      <c r="AB204" t="s">
        <v>60</v>
      </c>
      <c r="AC204" t="s">
        <v>61</v>
      </c>
      <c r="AD204" t="s">
        <v>49</v>
      </c>
      <c r="AE204" t="s">
        <v>49</v>
      </c>
      <c r="AF204" t="s">
        <v>49</v>
      </c>
      <c r="AG204" t="s">
        <v>49</v>
      </c>
      <c r="AH204" t="s">
        <v>48</v>
      </c>
      <c r="AI204" t="s">
        <v>48</v>
      </c>
      <c r="AJ204" t="s">
        <v>48</v>
      </c>
      <c r="AK204" t="s">
        <v>62</v>
      </c>
      <c r="AL204" t="s">
        <v>63</v>
      </c>
      <c r="AM204" t="s">
        <v>61</v>
      </c>
      <c r="AN204" t="s">
        <v>64</v>
      </c>
      <c r="AO204" t="s">
        <v>266</v>
      </c>
      <c r="AP204">
        <v>1</v>
      </c>
      <c r="AQ204" t="s">
        <v>66</v>
      </c>
      <c r="AR204" t="s">
        <v>267</v>
      </c>
      <c r="AS204">
        <v>2020</v>
      </c>
      <c r="AT204" t="s">
        <v>49</v>
      </c>
      <c r="AU204" t="s">
        <v>268</v>
      </c>
      <c r="AV204" t="s">
        <v>269</v>
      </c>
      <c r="AW204" t="s">
        <v>48</v>
      </c>
    </row>
    <row r="205" spans="1:49" x14ac:dyDescent="0.3">
      <c r="A205" t="s">
        <v>762</v>
      </c>
      <c r="B205" t="s">
        <v>763</v>
      </c>
      <c r="C205" t="s">
        <v>112</v>
      </c>
      <c r="D205">
        <v>361.37</v>
      </c>
      <c r="E205">
        <v>0</v>
      </c>
      <c r="F205">
        <v>1.54</v>
      </c>
      <c r="G205" t="s">
        <v>764</v>
      </c>
      <c r="H205" t="s">
        <v>765</v>
      </c>
      <c r="I205" t="s">
        <v>52</v>
      </c>
      <c r="J205" t="s">
        <v>53</v>
      </c>
      <c r="K205">
        <v>6.3</v>
      </c>
      <c r="L205" t="s">
        <v>54</v>
      </c>
      <c r="M205">
        <f>DOWNLOAD_2kLRbPnDtawQopEJ_UKtt22ud9U57gk8mqebZIeugNk[[#This Row],[Standard Value]]/DOWNLOAD_2kLRbPnDtawQopEJ_UKtt22ud9U57gk8mqebZIeugNk[[#This Row],[Molecular Weight]]*1000*1000</f>
        <v>17433.65525638542</v>
      </c>
      <c r="N205">
        <f>-LOG(DOWNLOAD_2kLRbPnDtawQopEJ_UKtt22ud9U57gk8mqebZIeugNk[[#This Row],[IC50]]*POWER(10, -9), 10)</f>
        <v>4.7586115462664829</v>
      </c>
      <c r="P205" t="s">
        <v>48</v>
      </c>
      <c r="R205" t="s">
        <v>55</v>
      </c>
      <c r="W205">
        <v>0</v>
      </c>
      <c r="X205" t="s">
        <v>115</v>
      </c>
      <c r="Y205" t="s">
        <v>116</v>
      </c>
      <c r="Z205" t="s">
        <v>58</v>
      </c>
      <c r="AA205" t="s">
        <v>59</v>
      </c>
      <c r="AB205" t="s">
        <v>60</v>
      </c>
      <c r="AC205" t="s">
        <v>61</v>
      </c>
      <c r="AD205" t="s">
        <v>49</v>
      </c>
      <c r="AE205" t="s">
        <v>49</v>
      </c>
      <c r="AF205" t="s">
        <v>49</v>
      </c>
      <c r="AG205" t="s">
        <v>49</v>
      </c>
      <c r="AH205" t="s">
        <v>48</v>
      </c>
      <c r="AI205" t="s">
        <v>48</v>
      </c>
      <c r="AJ205" t="s">
        <v>48</v>
      </c>
      <c r="AK205" t="s">
        <v>62</v>
      </c>
      <c r="AL205" t="s">
        <v>63</v>
      </c>
      <c r="AM205" t="s">
        <v>61</v>
      </c>
      <c r="AN205" t="s">
        <v>64</v>
      </c>
      <c r="AO205" t="s">
        <v>117</v>
      </c>
      <c r="AP205">
        <v>1</v>
      </c>
      <c r="AQ205" t="s">
        <v>66</v>
      </c>
      <c r="AR205" t="s">
        <v>67</v>
      </c>
      <c r="AS205">
        <v>1986</v>
      </c>
      <c r="AT205" t="s">
        <v>49</v>
      </c>
      <c r="AU205" t="s">
        <v>48</v>
      </c>
      <c r="AV205" t="s">
        <v>48</v>
      </c>
      <c r="AW205" t="s">
        <v>48</v>
      </c>
    </row>
    <row r="206" spans="1:49" x14ac:dyDescent="0.3">
      <c r="A206" t="s">
        <v>281</v>
      </c>
      <c r="B206" t="s">
        <v>282</v>
      </c>
      <c r="C206" t="s">
        <v>112</v>
      </c>
      <c r="D206">
        <v>331.35</v>
      </c>
      <c r="E206">
        <v>0</v>
      </c>
      <c r="F206">
        <v>1.58</v>
      </c>
      <c r="G206" t="s">
        <v>283</v>
      </c>
      <c r="H206" t="s">
        <v>284</v>
      </c>
      <c r="I206" t="s">
        <v>52</v>
      </c>
      <c r="J206" t="s">
        <v>53</v>
      </c>
      <c r="K206">
        <v>280</v>
      </c>
      <c r="L206" t="s">
        <v>126</v>
      </c>
      <c r="M206">
        <f>DOWNLOAD_2kLRbPnDtawQopEJ_UKtt22ud9U57gk8mqebZIeugNk[[#This Row],[Standard Value]]</f>
        <v>280</v>
      </c>
      <c r="N206">
        <f>-LOG(DOWNLOAD_2kLRbPnDtawQopEJ_UKtt22ud9U57gk8mqebZIeugNk[[#This Row],[IC50]]*POWER(10, -9), 10)</f>
        <v>6.5528419686577797</v>
      </c>
      <c r="O206">
        <v>6.55</v>
      </c>
      <c r="P206" t="s">
        <v>48</v>
      </c>
      <c r="R206" t="s">
        <v>127</v>
      </c>
      <c r="S206">
        <v>19.78</v>
      </c>
      <c r="T206">
        <v>0.37</v>
      </c>
      <c r="U206">
        <v>4.97</v>
      </c>
      <c r="V206">
        <v>8.7899999999999991</v>
      </c>
      <c r="W206">
        <v>0</v>
      </c>
      <c r="X206" t="s">
        <v>766</v>
      </c>
      <c r="Y206" t="s">
        <v>767</v>
      </c>
      <c r="Z206" t="s">
        <v>58</v>
      </c>
      <c r="AA206" t="s">
        <v>59</v>
      </c>
      <c r="AB206" t="s">
        <v>60</v>
      </c>
      <c r="AC206" t="s">
        <v>61</v>
      </c>
      <c r="AD206" t="s">
        <v>49</v>
      </c>
      <c r="AE206" t="s">
        <v>49</v>
      </c>
      <c r="AF206" t="s">
        <v>49</v>
      </c>
      <c r="AG206" t="s">
        <v>49</v>
      </c>
      <c r="AH206" t="s">
        <v>48</v>
      </c>
      <c r="AI206" t="s">
        <v>48</v>
      </c>
      <c r="AJ206" t="s">
        <v>48</v>
      </c>
      <c r="AK206" t="s">
        <v>62</v>
      </c>
      <c r="AL206" t="s">
        <v>63</v>
      </c>
      <c r="AM206" t="s">
        <v>61</v>
      </c>
      <c r="AN206" t="s">
        <v>64</v>
      </c>
      <c r="AO206" t="s">
        <v>768</v>
      </c>
      <c r="AP206">
        <v>1</v>
      </c>
      <c r="AQ206" t="s">
        <v>66</v>
      </c>
      <c r="AR206" t="s">
        <v>267</v>
      </c>
      <c r="AS206">
        <v>2019</v>
      </c>
      <c r="AT206" t="s">
        <v>49</v>
      </c>
      <c r="AU206" t="s">
        <v>48</v>
      </c>
      <c r="AV206" t="s">
        <v>48</v>
      </c>
      <c r="AW206" t="s">
        <v>48</v>
      </c>
    </row>
    <row r="207" spans="1:49" x14ac:dyDescent="0.3">
      <c r="A207" t="s">
        <v>769</v>
      </c>
      <c r="B207" t="s">
        <v>48</v>
      </c>
      <c r="C207" t="s">
        <v>49</v>
      </c>
      <c r="D207">
        <v>347.39</v>
      </c>
      <c r="E207">
        <v>0</v>
      </c>
      <c r="F207">
        <v>0.44</v>
      </c>
      <c r="G207" t="s">
        <v>770</v>
      </c>
      <c r="H207" t="s">
        <v>771</v>
      </c>
      <c r="I207" t="s">
        <v>52</v>
      </c>
      <c r="J207" t="s">
        <v>53</v>
      </c>
      <c r="K207">
        <v>950</v>
      </c>
      <c r="L207" t="s">
        <v>126</v>
      </c>
      <c r="M207">
        <f>DOWNLOAD_2kLRbPnDtawQopEJ_UKtt22ud9U57gk8mqebZIeugNk[[#This Row],[Standard Value]]</f>
        <v>950</v>
      </c>
      <c r="N207">
        <f>-LOG(DOWNLOAD_2kLRbPnDtawQopEJ_UKtt22ud9U57gk8mqebZIeugNk[[#This Row],[IC50]]*POWER(10, -9), 10)</f>
        <v>6.0222763947111515</v>
      </c>
      <c r="O207">
        <v>6.02</v>
      </c>
      <c r="P207" t="s">
        <v>48</v>
      </c>
      <c r="R207" t="s">
        <v>127</v>
      </c>
      <c r="S207">
        <v>17.34</v>
      </c>
      <c r="T207">
        <v>0.33</v>
      </c>
      <c r="U207">
        <v>5.58</v>
      </c>
      <c r="V207">
        <v>6.07</v>
      </c>
      <c r="W207">
        <v>0</v>
      </c>
      <c r="X207" t="s">
        <v>652</v>
      </c>
      <c r="Y207" t="s">
        <v>653</v>
      </c>
      <c r="Z207" t="s">
        <v>58</v>
      </c>
      <c r="AA207" t="s">
        <v>59</v>
      </c>
      <c r="AB207" t="s">
        <v>60</v>
      </c>
      <c r="AC207" t="s">
        <v>61</v>
      </c>
      <c r="AD207" t="s">
        <v>49</v>
      </c>
      <c r="AE207" t="s">
        <v>49</v>
      </c>
      <c r="AF207" t="s">
        <v>49</v>
      </c>
      <c r="AG207" t="s">
        <v>49</v>
      </c>
      <c r="AH207" t="s">
        <v>48</v>
      </c>
      <c r="AI207" t="s">
        <v>48</v>
      </c>
      <c r="AJ207" t="s">
        <v>48</v>
      </c>
      <c r="AK207" t="s">
        <v>62</v>
      </c>
      <c r="AL207" t="s">
        <v>63</v>
      </c>
      <c r="AM207" t="s">
        <v>61</v>
      </c>
      <c r="AN207" t="s">
        <v>64</v>
      </c>
      <c r="AO207" t="s">
        <v>654</v>
      </c>
      <c r="AP207">
        <v>1</v>
      </c>
      <c r="AQ207" t="s">
        <v>66</v>
      </c>
      <c r="AR207" t="s">
        <v>267</v>
      </c>
      <c r="AS207">
        <v>2020</v>
      </c>
      <c r="AT207" t="s">
        <v>49</v>
      </c>
      <c r="AU207" t="s">
        <v>48</v>
      </c>
      <c r="AV207" t="s">
        <v>48</v>
      </c>
      <c r="AW207" t="s">
        <v>48</v>
      </c>
    </row>
    <row r="208" spans="1:49" x14ac:dyDescent="0.3">
      <c r="A208" t="s">
        <v>772</v>
      </c>
      <c r="B208" t="s">
        <v>48</v>
      </c>
      <c r="C208" t="s">
        <v>49</v>
      </c>
      <c r="D208">
        <v>186.21</v>
      </c>
      <c r="E208">
        <v>0</v>
      </c>
      <c r="F208">
        <v>3.18</v>
      </c>
      <c r="G208" t="s">
        <v>96</v>
      </c>
      <c r="H208" t="s">
        <v>773</v>
      </c>
      <c r="I208" t="s">
        <v>52</v>
      </c>
      <c r="J208" t="s">
        <v>53</v>
      </c>
      <c r="K208">
        <v>530000</v>
      </c>
      <c r="L208" t="s">
        <v>126</v>
      </c>
      <c r="M208">
        <f>DOWNLOAD_2kLRbPnDtawQopEJ_UKtt22ud9U57gk8mqebZIeugNk[[#This Row],[Standard Value]]</f>
        <v>530000</v>
      </c>
      <c r="N208">
        <f>-LOG(DOWNLOAD_2kLRbPnDtawQopEJ_UKtt22ud9U57gk8mqebZIeugNk[[#This Row],[IC50]]*POWER(10, -9), 10)</f>
        <v>3.2757241303992104</v>
      </c>
      <c r="O208">
        <v>3.28</v>
      </c>
      <c r="P208" t="s">
        <v>48</v>
      </c>
      <c r="R208" t="s">
        <v>127</v>
      </c>
      <c r="S208">
        <v>17.59</v>
      </c>
      <c r="T208">
        <v>0.32</v>
      </c>
      <c r="U208">
        <v>0.1</v>
      </c>
      <c r="V208">
        <v>11.12</v>
      </c>
      <c r="W208">
        <v>0</v>
      </c>
      <c r="X208" t="s">
        <v>774</v>
      </c>
      <c r="Y208" t="s">
        <v>775</v>
      </c>
      <c r="Z208" t="s">
        <v>58</v>
      </c>
      <c r="AA208" t="s">
        <v>59</v>
      </c>
      <c r="AB208" t="s">
        <v>60</v>
      </c>
      <c r="AC208" t="s">
        <v>61</v>
      </c>
      <c r="AD208" t="s">
        <v>49</v>
      </c>
      <c r="AE208" t="s">
        <v>49</v>
      </c>
      <c r="AF208" t="s">
        <v>49</v>
      </c>
      <c r="AG208" t="s">
        <v>49</v>
      </c>
      <c r="AH208" t="s">
        <v>48</v>
      </c>
      <c r="AI208" t="s">
        <v>48</v>
      </c>
      <c r="AJ208" t="s">
        <v>48</v>
      </c>
      <c r="AK208" t="s">
        <v>62</v>
      </c>
      <c r="AL208" t="s">
        <v>63</v>
      </c>
      <c r="AM208" t="s">
        <v>61</v>
      </c>
      <c r="AN208" t="s">
        <v>64</v>
      </c>
      <c r="AO208" t="s">
        <v>776</v>
      </c>
      <c r="AP208">
        <v>1</v>
      </c>
      <c r="AQ208" t="s">
        <v>66</v>
      </c>
      <c r="AR208" t="s">
        <v>329</v>
      </c>
      <c r="AS208">
        <v>2018</v>
      </c>
      <c r="AT208" t="s">
        <v>49</v>
      </c>
      <c r="AU208" t="s">
        <v>48</v>
      </c>
      <c r="AV208" t="s">
        <v>48</v>
      </c>
      <c r="AW208" t="s">
        <v>48</v>
      </c>
    </row>
    <row r="209" spans="1:49" x14ac:dyDescent="0.3">
      <c r="A209" t="s">
        <v>777</v>
      </c>
      <c r="B209" t="s">
        <v>48</v>
      </c>
      <c r="C209" t="s">
        <v>49</v>
      </c>
      <c r="D209">
        <v>373.89</v>
      </c>
      <c r="E209">
        <v>1</v>
      </c>
      <c r="F209">
        <v>5.67</v>
      </c>
      <c r="G209" t="s">
        <v>262</v>
      </c>
      <c r="H209" t="s">
        <v>778</v>
      </c>
      <c r="I209" t="s">
        <v>52</v>
      </c>
      <c r="J209" t="s">
        <v>53</v>
      </c>
      <c r="K209">
        <v>10000</v>
      </c>
      <c r="L209" t="s">
        <v>126</v>
      </c>
      <c r="M209">
        <f>DOWNLOAD_2kLRbPnDtawQopEJ_UKtt22ud9U57gk8mqebZIeugNk[[#This Row],[Standard Value]]</f>
        <v>10000</v>
      </c>
      <c r="N209">
        <f>-LOG(DOWNLOAD_2kLRbPnDtawQopEJ_UKtt22ud9U57gk8mqebZIeugNk[[#This Row],[IC50]]*POWER(10, -9), 10)</f>
        <v>5</v>
      </c>
      <c r="O209">
        <v>5</v>
      </c>
      <c r="P209" t="s">
        <v>48</v>
      </c>
      <c r="R209" t="s">
        <v>127</v>
      </c>
      <c r="S209">
        <v>13.37</v>
      </c>
      <c r="T209">
        <v>0.25</v>
      </c>
      <c r="U209">
        <v>-0.67</v>
      </c>
      <c r="V209">
        <v>9.82</v>
      </c>
      <c r="W209">
        <v>0</v>
      </c>
      <c r="X209" t="s">
        <v>563</v>
      </c>
      <c r="Y209" t="s">
        <v>564</v>
      </c>
      <c r="Z209" t="s">
        <v>58</v>
      </c>
      <c r="AA209" t="s">
        <v>59</v>
      </c>
      <c r="AB209" t="s">
        <v>60</v>
      </c>
      <c r="AC209" t="s">
        <v>61</v>
      </c>
      <c r="AD209" t="s">
        <v>49</v>
      </c>
      <c r="AE209" t="s">
        <v>49</v>
      </c>
      <c r="AF209" t="s">
        <v>49</v>
      </c>
      <c r="AG209" t="s">
        <v>49</v>
      </c>
      <c r="AH209" t="s">
        <v>48</v>
      </c>
      <c r="AI209" t="s">
        <v>48</v>
      </c>
      <c r="AJ209" t="s">
        <v>48</v>
      </c>
      <c r="AK209" t="s">
        <v>62</v>
      </c>
      <c r="AL209" t="s">
        <v>63</v>
      </c>
      <c r="AM209" t="s">
        <v>61</v>
      </c>
      <c r="AN209" t="s">
        <v>64</v>
      </c>
      <c r="AO209" t="s">
        <v>565</v>
      </c>
      <c r="AP209">
        <v>1</v>
      </c>
      <c r="AQ209" t="s">
        <v>66</v>
      </c>
      <c r="AR209" t="s">
        <v>76</v>
      </c>
      <c r="AS209">
        <v>2019</v>
      </c>
      <c r="AT209" t="s">
        <v>49</v>
      </c>
      <c r="AU209" t="s">
        <v>48</v>
      </c>
      <c r="AV209" t="s">
        <v>48</v>
      </c>
      <c r="AW209" t="s">
        <v>48</v>
      </c>
    </row>
    <row r="210" spans="1:49" x14ac:dyDescent="0.3">
      <c r="A210" t="s">
        <v>779</v>
      </c>
      <c r="B210" t="s">
        <v>48</v>
      </c>
      <c r="C210" t="s">
        <v>49</v>
      </c>
      <c r="D210">
        <v>375.4</v>
      </c>
      <c r="E210">
        <v>0</v>
      </c>
      <c r="F210">
        <v>1.97</v>
      </c>
      <c r="G210" t="s">
        <v>780</v>
      </c>
      <c r="H210" t="s">
        <v>781</v>
      </c>
      <c r="I210" t="s">
        <v>52</v>
      </c>
      <c r="J210" t="s">
        <v>53</v>
      </c>
      <c r="K210">
        <v>120</v>
      </c>
      <c r="L210" t="s">
        <v>126</v>
      </c>
      <c r="M210">
        <f>DOWNLOAD_2kLRbPnDtawQopEJ_UKtt22ud9U57gk8mqebZIeugNk[[#This Row],[Standard Value]]</f>
        <v>120</v>
      </c>
      <c r="N210">
        <f>-LOG(DOWNLOAD_2kLRbPnDtawQopEJ_UKtt22ud9U57gk8mqebZIeugNk[[#This Row],[IC50]]*POWER(10, -9), 10)</f>
        <v>6.9208187539523749</v>
      </c>
      <c r="O210">
        <v>6.92</v>
      </c>
      <c r="P210" t="s">
        <v>48</v>
      </c>
      <c r="R210" t="s">
        <v>127</v>
      </c>
      <c r="S210">
        <v>18.440000000000001</v>
      </c>
      <c r="T210">
        <v>0.35</v>
      </c>
      <c r="U210">
        <v>4.95</v>
      </c>
      <c r="V210">
        <v>7.08</v>
      </c>
      <c r="W210">
        <v>0</v>
      </c>
      <c r="X210" t="s">
        <v>652</v>
      </c>
      <c r="Y210" t="s">
        <v>653</v>
      </c>
      <c r="Z210" t="s">
        <v>58</v>
      </c>
      <c r="AA210" t="s">
        <v>59</v>
      </c>
      <c r="AB210" t="s">
        <v>60</v>
      </c>
      <c r="AC210" t="s">
        <v>61</v>
      </c>
      <c r="AD210" t="s">
        <v>49</v>
      </c>
      <c r="AE210" t="s">
        <v>49</v>
      </c>
      <c r="AF210" t="s">
        <v>49</v>
      </c>
      <c r="AG210" t="s">
        <v>49</v>
      </c>
      <c r="AH210" t="s">
        <v>48</v>
      </c>
      <c r="AI210" t="s">
        <v>48</v>
      </c>
      <c r="AJ210" t="s">
        <v>48</v>
      </c>
      <c r="AK210" t="s">
        <v>62</v>
      </c>
      <c r="AL210" t="s">
        <v>63</v>
      </c>
      <c r="AM210" t="s">
        <v>61</v>
      </c>
      <c r="AN210" t="s">
        <v>64</v>
      </c>
      <c r="AO210" t="s">
        <v>654</v>
      </c>
      <c r="AP210">
        <v>1</v>
      </c>
      <c r="AQ210" t="s">
        <v>66</v>
      </c>
      <c r="AR210" t="s">
        <v>267</v>
      </c>
      <c r="AS210">
        <v>2020</v>
      </c>
      <c r="AT210" t="s">
        <v>49</v>
      </c>
      <c r="AU210" t="s">
        <v>48</v>
      </c>
      <c r="AV210" t="s">
        <v>48</v>
      </c>
      <c r="AW210" t="s">
        <v>48</v>
      </c>
    </row>
    <row r="211" spans="1:49" x14ac:dyDescent="0.3">
      <c r="A211" t="s">
        <v>782</v>
      </c>
      <c r="B211" t="s">
        <v>48</v>
      </c>
      <c r="C211" t="s">
        <v>49</v>
      </c>
      <c r="D211">
        <v>403.46</v>
      </c>
      <c r="E211">
        <v>0</v>
      </c>
      <c r="F211">
        <v>-0.09</v>
      </c>
      <c r="G211" t="s">
        <v>783</v>
      </c>
      <c r="H211" t="s">
        <v>784</v>
      </c>
      <c r="I211" t="s">
        <v>52</v>
      </c>
      <c r="J211" t="s">
        <v>71</v>
      </c>
      <c r="K211">
        <v>50000</v>
      </c>
      <c r="L211" t="s">
        <v>126</v>
      </c>
      <c r="M211">
        <f>DOWNLOAD_2kLRbPnDtawQopEJ_UKtt22ud9U57gk8mqebZIeugNk[[#This Row],[Standard Value]]</f>
        <v>50000</v>
      </c>
      <c r="N211">
        <f>-LOG(DOWNLOAD_2kLRbPnDtawQopEJ_UKtt22ud9U57gk8mqebZIeugNk[[#This Row],[IC50]]*POWER(10, -9), 10)</f>
        <v>4.3010299956639804</v>
      </c>
      <c r="P211" t="s">
        <v>48</v>
      </c>
      <c r="R211" t="s">
        <v>127</v>
      </c>
      <c r="W211">
        <v>0</v>
      </c>
      <c r="X211" t="s">
        <v>652</v>
      </c>
      <c r="Y211" t="s">
        <v>653</v>
      </c>
      <c r="Z211" t="s">
        <v>58</v>
      </c>
      <c r="AA211" t="s">
        <v>59</v>
      </c>
      <c r="AB211" t="s">
        <v>60</v>
      </c>
      <c r="AC211" t="s">
        <v>61</v>
      </c>
      <c r="AD211" t="s">
        <v>49</v>
      </c>
      <c r="AE211" t="s">
        <v>49</v>
      </c>
      <c r="AF211" t="s">
        <v>49</v>
      </c>
      <c r="AG211" t="s">
        <v>49</v>
      </c>
      <c r="AH211" t="s">
        <v>48</v>
      </c>
      <c r="AI211" t="s">
        <v>48</v>
      </c>
      <c r="AJ211" t="s">
        <v>48</v>
      </c>
      <c r="AK211" t="s">
        <v>62</v>
      </c>
      <c r="AL211" t="s">
        <v>63</v>
      </c>
      <c r="AM211" t="s">
        <v>61</v>
      </c>
      <c r="AN211" t="s">
        <v>64</v>
      </c>
      <c r="AO211" t="s">
        <v>654</v>
      </c>
      <c r="AP211">
        <v>1</v>
      </c>
      <c r="AQ211" t="s">
        <v>66</v>
      </c>
      <c r="AR211" t="s">
        <v>267</v>
      </c>
      <c r="AS211">
        <v>2020</v>
      </c>
      <c r="AT211" t="s">
        <v>49</v>
      </c>
      <c r="AU211" t="s">
        <v>48</v>
      </c>
      <c r="AV211" t="s">
        <v>48</v>
      </c>
      <c r="AW211" t="s">
        <v>48</v>
      </c>
    </row>
    <row r="212" spans="1:49" x14ac:dyDescent="0.3">
      <c r="A212" t="s">
        <v>785</v>
      </c>
      <c r="B212" t="s">
        <v>48</v>
      </c>
      <c r="C212" t="s">
        <v>49</v>
      </c>
      <c r="D212">
        <v>420.13</v>
      </c>
      <c r="E212">
        <v>0</v>
      </c>
      <c r="F212">
        <v>2.87</v>
      </c>
      <c r="G212" t="s">
        <v>274</v>
      </c>
      <c r="H212" t="s">
        <v>786</v>
      </c>
      <c r="I212" t="s">
        <v>52</v>
      </c>
      <c r="J212" t="s">
        <v>53</v>
      </c>
      <c r="K212">
        <v>41000</v>
      </c>
      <c r="L212" t="s">
        <v>126</v>
      </c>
      <c r="M212">
        <f>DOWNLOAD_2kLRbPnDtawQopEJ_UKtt22ud9U57gk8mqebZIeugNk[[#This Row],[Standard Value]]</f>
        <v>41000</v>
      </c>
      <c r="N212">
        <f>-LOG(DOWNLOAD_2kLRbPnDtawQopEJ_UKtt22ud9U57gk8mqebZIeugNk[[#This Row],[IC50]]*POWER(10, -9), 10)</f>
        <v>4.3872161432802645</v>
      </c>
      <c r="O212">
        <v>4.3899999999999997</v>
      </c>
      <c r="P212" t="s">
        <v>48</v>
      </c>
      <c r="R212" t="s">
        <v>127</v>
      </c>
      <c r="S212">
        <v>10.44</v>
      </c>
      <c r="T212">
        <v>0.3</v>
      </c>
      <c r="U212">
        <v>1.52</v>
      </c>
      <c r="V212">
        <v>5.24</v>
      </c>
      <c r="W212">
        <v>0</v>
      </c>
      <c r="X212" t="s">
        <v>144</v>
      </c>
      <c r="Y212" t="s">
        <v>145</v>
      </c>
      <c r="Z212" t="s">
        <v>58</v>
      </c>
      <c r="AA212" t="s">
        <v>59</v>
      </c>
      <c r="AB212" t="s">
        <v>60</v>
      </c>
      <c r="AC212" t="s">
        <v>61</v>
      </c>
      <c r="AD212" t="s">
        <v>49</v>
      </c>
      <c r="AE212" t="s">
        <v>49</v>
      </c>
      <c r="AF212" t="s">
        <v>49</v>
      </c>
      <c r="AG212" t="s">
        <v>49</v>
      </c>
      <c r="AH212" t="s">
        <v>48</v>
      </c>
      <c r="AI212" t="s">
        <v>48</v>
      </c>
      <c r="AJ212" t="s">
        <v>48</v>
      </c>
      <c r="AK212" t="s">
        <v>62</v>
      </c>
      <c r="AL212" t="s">
        <v>63</v>
      </c>
      <c r="AM212" t="s">
        <v>61</v>
      </c>
      <c r="AN212" t="s">
        <v>64</v>
      </c>
      <c r="AO212" t="s">
        <v>146</v>
      </c>
      <c r="AP212">
        <v>1</v>
      </c>
      <c r="AQ212" t="s">
        <v>66</v>
      </c>
      <c r="AR212" t="s">
        <v>67</v>
      </c>
      <c r="AS212">
        <v>2015</v>
      </c>
      <c r="AT212" t="s">
        <v>49</v>
      </c>
      <c r="AU212" t="s">
        <v>48</v>
      </c>
      <c r="AV212" t="s">
        <v>48</v>
      </c>
      <c r="AW212" t="s">
        <v>48</v>
      </c>
    </row>
    <row r="213" spans="1:49" x14ac:dyDescent="0.3">
      <c r="A213" t="s">
        <v>787</v>
      </c>
      <c r="B213" t="s">
        <v>48</v>
      </c>
      <c r="C213" t="s">
        <v>49</v>
      </c>
      <c r="D213">
        <v>520.20000000000005</v>
      </c>
      <c r="E213">
        <v>1</v>
      </c>
      <c r="F213">
        <v>2.79</v>
      </c>
      <c r="G213" t="s">
        <v>157</v>
      </c>
      <c r="H213" t="s">
        <v>788</v>
      </c>
      <c r="I213" t="s">
        <v>52</v>
      </c>
      <c r="J213" t="s">
        <v>53</v>
      </c>
      <c r="K213">
        <v>96</v>
      </c>
      <c r="L213" t="s">
        <v>126</v>
      </c>
      <c r="M213">
        <f>DOWNLOAD_2kLRbPnDtawQopEJ_UKtt22ud9U57gk8mqebZIeugNk[[#This Row],[Standard Value]]</f>
        <v>96</v>
      </c>
      <c r="N213">
        <f>-LOG(DOWNLOAD_2kLRbPnDtawQopEJ_UKtt22ud9U57gk8mqebZIeugNk[[#This Row],[IC50]]*POWER(10, -9), 10)</f>
        <v>7.0177287669604302</v>
      </c>
      <c r="O213">
        <v>7.02</v>
      </c>
      <c r="P213" t="s">
        <v>48</v>
      </c>
      <c r="R213" t="s">
        <v>127</v>
      </c>
      <c r="S213">
        <v>13.49</v>
      </c>
      <c r="T213">
        <v>0.35</v>
      </c>
      <c r="U213">
        <v>4.2300000000000004</v>
      </c>
      <c r="V213">
        <v>6.2</v>
      </c>
      <c r="W213">
        <v>0</v>
      </c>
      <c r="X213" t="s">
        <v>144</v>
      </c>
      <c r="Y213" t="s">
        <v>145</v>
      </c>
      <c r="Z213" t="s">
        <v>58</v>
      </c>
      <c r="AA213" t="s">
        <v>59</v>
      </c>
      <c r="AB213" t="s">
        <v>60</v>
      </c>
      <c r="AC213" t="s">
        <v>61</v>
      </c>
      <c r="AD213" t="s">
        <v>49</v>
      </c>
      <c r="AE213" t="s">
        <v>49</v>
      </c>
      <c r="AF213" t="s">
        <v>49</v>
      </c>
      <c r="AG213" t="s">
        <v>49</v>
      </c>
      <c r="AH213" t="s">
        <v>48</v>
      </c>
      <c r="AI213" t="s">
        <v>48</v>
      </c>
      <c r="AJ213" t="s">
        <v>48</v>
      </c>
      <c r="AK213" t="s">
        <v>62</v>
      </c>
      <c r="AL213" t="s">
        <v>63</v>
      </c>
      <c r="AM213" t="s">
        <v>61</v>
      </c>
      <c r="AN213" t="s">
        <v>64</v>
      </c>
      <c r="AO213" t="s">
        <v>146</v>
      </c>
      <c r="AP213">
        <v>1</v>
      </c>
      <c r="AQ213" t="s">
        <v>66</v>
      </c>
      <c r="AR213" t="s">
        <v>67</v>
      </c>
      <c r="AS213">
        <v>2015</v>
      </c>
      <c r="AT213" t="s">
        <v>49</v>
      </c>
      <c r="AU213" t="s">
        <v>48</v>
      </c>
      <c r="AV213" t="s">
        <v>48</v>
      </c>
      <c r="AW213" t="s">
        <v>48</v>
      </c>
    </row>
    <row r="214" spans="1:49" x14ac:dyDescent="0.3">
      <c r="A214" t="s">
        <v>789</v>
      </c>
      <c r="B214" t="s">
        <v>48</v>
      </c>
      <c r="C214" t="s">
        <v>49</v>
      </c>
      <c r="D214">
        <v>492.15</v>
      </c>
      <c r="E214">
        <v>0</v>
      </c>
      <c r="F214">
        <v>2.31</v>
      </c>
      <c r="G214" t="s">
        <v>224</v>
      </c>
      <c r="H214" t="s">
        <v>790</v>
      </c>
      <c r="I214" t="s">
        <v>52</v>
      </c>
      <c r="J214" t="s">
        <v>53</v>
      </c>
      <c r="K214">
        <v>58</v>
      </c>
      <c r="L214" t="s">
        <v>126</v>
      </c>
      <c r="M214">
        <f>DOWNLOAD_2kLRbPnDtawQopEJ_UKtt22ud9U57gk8mqebZIeugNk[[#This Row],[Standard Value]]</f>
        <v>58</v>
      </c>
      <c r="N214">
        <f>-LOG(DOWNLOAD_2kLRbPnDtawQopEJ_UKtt22ud9U57gk8mqebZIeugNk[[#This Row],[IC50]]*POWER(10, -9), 10)</f>
        <v>7.2365720064370622</v>
      </c>
      <c r="O214">
        <v>7.24</v>
      </c>
      <c r="P214" t="s">
        <v>48</v>
      </c>
      <c r="R214" t="s">
        <v>127</v>
      </c>
      <c r="S214">
        <v>14.7</v>
      </c>
      <c r="T214">
        <v>0.4</v>
      </c>
      <c r="U214">
        <v>4.93</v>
      </c>
      <c r="V214">
        <v>5.83</v>
      </c>
      <c r="W214">
        <v>0</v>
      </c>
      <c r="X214" t="s">
        <v>144</v>
      </c>
      <c r="Y214" t="s">
        <v>145</v>
      </c>
      <c r="Z214" t="s">
        <v>58</v>
      </c>
      <c r="AA214" t="s">
        <v>59</v>
      </c>
      <c r="AB214" t="s">
        <v>60</v>
      </c>
      <c r="AC214" t="s">
        <v>61</v>
      </c>
      <c r="AD214" t="s">
        <v>49</v>
      </c>
      <c r="AE214" t="s">
        <v>49</v>
      </c>
      <c r="AF214" t="s">
        <v>49</v>
      </c>
      <c r="AG214" t="s">
        <v>49</v>
      </c>
      <c r="AH214" t="s">
        <v>48</v>
      </c>
      <c r="AI214" t="s">
        <v>48</v>
      </c>
      <c r="AJ214" t="s">
        <v>48</v>
      </c>
      <c r="AK214" t="s">
        <v>62</v>
      </c>
      <c r="AL214" t="s">
        <v>63</v>
      </c>
      <c r="AM214" t="s">
        <v>61</v>
      </c>
      <c r="AN214" t="s">
        <v>64</v>
      </c>
      <c r="AO214" t="s">
        <v>146</v>
      </c>
      <c r="AP214">
        <v>1</v>
      </c>
      <c r="AQ214" t="s">
        <v>66</v>
      </c>
      <c r="AR214" t="s">
        <v>67</v>
      </c>
      <c r="AS214">
        <v>2015</v>
      </c>
      <c r="AT214" t="s">
        <v>49</v>
      </c>
      <c r="AU214" t="s">
        <v>48</v>
      </c>
      <c r="AV214" t="s">
        <v>48</v>
      </c>
      <c r="AW214" t="s">
        <v>48</v>
      </c>
    </row>
    <row r="215" spans="1:49" x14ac:dyDescent="0.3">
      <c r="A215" t="s">
        <v>791</v>
      </c>
      <c r="B215" t="s">
        <v>48</v>
      </c>
      <c r="C215" t="s">
        <v>49</v>
      </c>
      <c r="D215">
        <v>474.18</v>
      </c>
      <c r="E215">
        <v>0</v>
      </c>
      <c r="F215">
        <v>3.37</v>
      </c>
      <c r="G215" t="s">
        <v>792</v>
      </c>
      <c r="H215" t="s">
        <v>793</v>
      </c>
      <c r="I215" t="s">
        <v>52</v>
      </c>
      <c r="J215" t="s">
        <v>53</v>
      </c>
      <c r="K215">
        <v>12000</v>
      </c>
      <c r="L215" t="s">
        <v>126</v>
      </c>
      <c r="M215">
        <f>DOWNLOAD_2kLRbPnDtawQopEJ_UKtt22ud9U57gk8mqebZIeugNk[[#This Row],[Standard Value]]</f>
        <v>12000</v>
      </c>
      <c r="N215">
        <f>-LOG(DOWNLOAD_2kLRbPnDtawQopEJ_UKtt22ud9U57gk8mqebZIeugNk[[#This Row],[IC50]]*POWER(10, -9), 10)</f>
        <v>4.9208187539523749</v>
      </c>
      <c r="O215">
        <v>4.92</v>
      </c>
      <c r="P215" t="s">
        <v>48</v>
      </c>
      <c r="R215" t="s">
        <v>127</v>
      </c>
      <c r="S215">
        <v>10.38</v>
      </c>
      <c r="T215">
        <v>0.28000000000000003</v>
      </c>
      <c r="U215">
        <v>1.55</v>
      </c>
      <c r="V215">
        <v>6.34</v>
      </c>
      <c r="W215">
        <v>0</v>
      </c>
      <c r="X215" t="s">
        <v>144</v>
      </c>
      <c r="Y215" t="s">
        <v>145</v>
      </c>
      <c r="Z215" t="s">
        <v>58</v>
      </c>
      <c r="AA215" t="s">
        <v>59</v>
      </c>
      <c r="AB215" t="s">
        <v>60</v>
      </c>
      <c r="AC215" t="s">
        <v>61</v>
      </c>
      <c r="AD215" t="s">
        <v>49</v>
      </c>
      <c r="AE215" t="s">
        <v>49</v>
      </c>
      <c r="AF215" t="s">
        <v>49</v>
      </c>
      <c r="AG215" t="s">
        <v>49</v>
      </c>
      <c r="AH215" t="s">
        <v>48</v>
      </c>
      <c r="AI215" t="s">
        <v>48</v>
      </c>
      <c r="AJ215" t="s">
        <v>48</v>
      </c>
      <c r="AK215" t="s">
        <v>62</v>
      </c>
      <c r="AL215" t="s">
        <v>63</v>
      </c>
      <c r="AM215" t="s">
        <v>61</v>
      </c>
      <c r="AN215" t="s">
        <v>64</v>
      </c>
      <c r="AO215" t="s">
        <v>146</v>
      </c>
      <c r="AP215">
        <v>1</v>
      </c>
      <c r="AQ215" t="s">
        <v>66</v>
      </c>
      <c r="AR215" t="s">
        <v>67</v>
      </c>
      <c r="AS215">
        <v>2015</v>
      </c>
      <c r="AT215" t="s">
        <v>49</v>
      </c>
      <c r="AU215" t="s">
        <v>48</v>
      </c>
      <c r="AV215" t="s">
        <v>48</v>
      </c>
      <c r="AW215" t="s">
        <v>48</v>
      </c>
    </row>
    <row r="216" spans="1:49" x14ac:dyDescent="0.3">
      <c r="A216" t="s">
        <v>794</v>
      </c>
      <c r="B216" t="s">
        <v>48</v>
      </c>
      <c r="C216" t="s">
        <v>49</v>
      </c>
      <c r="D216">
        <v>505.19</v>
      </c>
      <c r="E216">
        <v>1</v>
      </c>
      <c r="F216">
        <v>2.1</v>
      </c>
      <c r="G216" t="s">
        <v>795</v>
      </c>
      <c r="H216" t="s">
        <v>796</v>
      </c>
      <c r="I216" t="s">
        <v>52</v>
      </c>
      <c r="J216" t="s">
        <v>53</v>
      </c>
      <c r="K216">
        <v>1700</v>
      </c>
      <c r="L216" t="s">
        <v>126</v>
      </c>
      <c r="M216">
        <f>DOWNLOAD_2kLRbPnDtawQopEJ_UKtt22ud9U57gk8mqebZIeugNk[[#This Row],[Standard Value]]</f>
        <v>1700</v>
      </c>
      <c r="N216">
        <f>-LOG(DOWNLOAD_2kLRbPnDtawQopEJ_UKtt22ud9U57gk8mqebZIeugNk[[#This Row],[IC50]]*POWER(10, -9), 10)</f>
        <v>5.769551078621725</v>
      </c>
      <c r="O216">
        <v>5.77</v>
      </c>
      <c r="P216" t="s">
        <v>48</v>
      </c>
      <c r="R216" t="s">
        <v>127</v>
      </c>
      <c r="S216">
        <v>11.42</v>
      </c>
      <c r="T216">
        <v>0.3</v>
      </c>
      <c r="U216">
        <v>3.67</v>
      </c>
      <c r="V216">
        <v>4.4400000000000004</v>
      </c>
      <c r="W216">
        <v>0</v>
      </c>
      <c r="X216" t="s">
        <v>144</v>
      </c>
      <c r="Y216" t="s">
        <v>145</v>
      </c>
      <c r="Z216" t="s">
        <v>58</v>
      </c>
      <c r="AA216" t="s">
        <v>59</v>
      </c>
      <c r="AB216" t="s">
        <v>60</v>
      </c>
      <c r="AC216" t="s">
        <v>61</v>
      </c>
      <c r="AD216" t="s">
        <v>49</v>
      </c>
      <c r="AE216" t="s">
        <v>49</v>
      </c>
      <c r="AF216" t="s">
        <v>49</v>
      </c>
      <c r="AG216" t="s">
        <v>49</v>
      </c>
      <c r="AH216" t="s">
        <v>48</v>
      </c>
      <c r="AI216" t="s">
        <v>48</v>
      </c>
      <c r="AJ216" t="s">
        <v>48</v>
      </c>
      <c r="AK216" t="s">
        <v>62</v>
      </c>
      <c r="AL216" t="s">
        <v>63</v>
      </c>
      <c r="AM216" t="s">
        <v>61</v>
      </c>
      <c r="AN216" t="s">
        <v>64</v>
      </c>
      <c r="AO216" t="s">
        <v>146</v>
      </c>
      <c r="AP216">
        <v>1</v>
      </c>
      <c r="AQ216" t="s">
        <v>66</v>
      </c>
      <c r="AR216" t="s">
        <v>67</v>
      </c>
      <c r="AS216">
        <v>2015</v>
      </c>
      <c r="AT216" t="s">
        <v>49</v>
      </c>
      <c r="AU216" t="s">
        <v>48</v>
      </c>
      <c r="AV216" t="s">
        <v>48</v>
      </c>
      <c r="AW216" t="s">
        <v>48</v>
      </c>
    </row>
    <row r="217" spans="1:49" x14ac:dyDescent="0.3">
      <c r="A217" t="s">
        <v>797</v>
      </c>
      <c r="B217" t="s">
        <v>48</v>
      </c>
      <c r="C217" t="s">
        <v>49</v>
      </c>
      <c r="D217">
        <v>431.3</v>
      </c>
      <c r="E217">
        <v>0</v>
      </c>
      <c r="F217">
        <v>2.57</v>
      </c>
      <c r="G217" t="s">
        <v>105</v>
      </c>
      <c r="H217" t="s">
        <v>798</v>
      </c>
      <c r="I217" t="s">
        <v>52</v>
      </c>
      <c r="J217" t="s">
        <v>53</v>
      </c>
      <c r="K217">
        <v>400</v>
      </c>
      <c r="L217" t="s">
        <v>126</v>
      </c>
      <c r="M217">
        <f>DOWNLOAD_2kLRbPnDtawQopEJ_UKtt22ud9U57gk8mqebZIeugNk[[#This Row],[Standard Value]]</f>
        <v>400</v>
      </c>
      <c r="N217">
        <f>-LOG(DOWNLOAD_2kLRbPnDtawQopEJ_UKtt22ud9U57gk8mqebZIeugNk[[#This Row],[IC50]]*POWER(10, -9), 10)</f>
        <v>6.3979400086720375</v>
      </c>
      <c r="O217">
        <v>6.4</v>
      </c>
      <c r="P217" t="s">
        <v>48</v>
      </c>
      <c r="R217" t="s">
        <v>127</v>
      </c>
      <c r="S217">
        <v>14.83</v>
      </c>
      <c r="T217">
        <v>0.32</v>
      </c>
      <c r="U217">
        <v>3.83</v>
      </c>
      <c r="V217">
        <v>5.65</v>
      </c>
      <c r="W217">
        <v>0</v>
      </c>
      <c r="X217" t="s">
        <v>144</v>
      </c>
      <c r="Y217" t="s">
        <v>145</v>
      </c>
      <c r="Z217" t="s">
        <v>58</v>
      </c>
      <c r="AA217" t="s">
        <v>59</v>
      </c>
      <c r="AB217" t="s">
        <v>60</v>
      </c>
      <c r="AC217" t="s">
        <v>61</v>
      </c>
      <c r="AD217" t="s">
        <v>49</v>
      </c>
      <c r="AE217" t="s">
        <v>49</v>
      </c>
      <c r="AF217" t="s">
        <v>49</v>
      </c>
      <c r="AG217" t="s">
        <v>49</v>
      </c>
      <c r="AH217" t="s">
        <v>48</v>
      </c>
      <c r="AI217" t="s">
        <v>48</v>
      </c>
      <c r="AJ217" t="s">
        <v>48</v>
      </c>
      <c r="AK217" t="s">
        <v>62</v>
      </c>
      <c r="AL217" t="s">
        <v>63</v>
      </c>
      <c r="AM217" t="s">
        <v>61</v>
      </c>
      <c r="AN217" t="s">
        <v>64</v>
      </c>
      <c r="AO217" t="s">
        <v>146</v>
      </c>
      <c r="AP217">
        <v>1</v>
      </c>
      <c r="AQ217" t="s">
        <v>66</v>
      </c>
      <c r="AR217" t="s">
        <v>67</v>
      </c>
      <c r="AS217">
        <v>2015</v>
      </c>
      <c r="AT217" t="s">
        <v>49</v>
      </c>
      <c r="AU217" t="s">
        <v>48</v>
      </c>
      <c r="AV217" t="s">
        <v>48</v>
      </c>
      <c r="AW217" t="s">
        <v>48</v>
      </c>
    </row>
    <row r="218" spans="1:49" x14ac:dyDescent="0.3">
      <c r="A218" t="s">
        <v>799</v>
      </c>
      <c r="B218" t="s">
        <v>48</v>
      </c>
      <c r="C218" t="s">
        <v>49</v>
      </c>
      <c r="D218">
        <v>618.69000000000005</v>
      </c>
      <c r="E218">
        <v>2</v>
      </c>
      <c r="F218">
        <v>3.57</v>
      </c>
      <c r="G218" t="s">
        <v>607</v>
      </c>
      <c r="H218" t="s">
        <v>800</v>
      </c>
      <c r="I218" t="s">
        <v>52</v>
      </c>
      <c r="J218" t="s">
        <v>53</v>
      </c>
      <c r="K218">
        <v>1.1000000000000001</v>
      </c>
      <c r="L218" t="s">
        <v>54</v>
      </c>
      <c r="M218">
        <f>DOWNLOAD_2kLRbPnDtawQopEJ_UKtt22ud9U57gk8mqebZIeugNk[[#This Row],[Standard Value]]/DOWNLOAD_2kLRbPnDtawQopEJ_UKtt22ud9U57gk8mqebZIeugNk[[#This Row],[Molecular Weight]]*1000*1000</f>
        <v>1777.9501850684512</v>
      </c>
      <c r="N218">
        <f>-LOG(DOWNLOAD_2kLRbPnDtawQopEJ_UKtt22ud9U57gk8mqebZIeugNk[[#This Row],[IC50]]*POWER(10, -9), 10)</f>
        <v>5.7500804113371</v>
      </c>
      <c r="P218" t="s">
        <v>48</v>
      </c>
      <c r="R218" t="s">
        <v>55</v>
      </c>
      <c r="W218">
        <v>0</v>
      </c>
      <c r="X218" t="s">
        <v>86</v>
      </c>
      <c r="Y218" t="s">
        <v>87</v>
      </c>
      <c r="Z218" t="s">
        <v>58</v>
      </c>
      <c r="AA218" t="s">
        <v>59</v>
      </c>
      <c r="AB218" t="s">
        <v>60</v>
      </c>
      <c r="AC218" t="s">
        <v>61</v>
      </c>
      <c r="AD218" t="s">
        <v>49</v>
      </c>
      <c r="AE218" t="s">
        <v>49</v>
      </c>
      <c r="AF218" t="s">
        <v>49</v>
      </c>
      <c r="AG218" t="s">
        <v>49</v>
      </c>
      <c r="AH218" t="s">
        <v>48</v>
      </c>
      <c r="AI218" t="s">
        <v>48</v>
      </c>
      <c r="AJ218" t="s">
        <v>48</v>
      </c>
      <c r="AK218" t="s">
        <v>62</v>
      </c>
      <c r="AL218" t="s">
        <v>63</v>
      </c>
      <c r="AM218" t="s">
        <v>61</v>
      </c>
      <c r="AN218" t="s">
        <v>64</v>
      </c>
      <c r="AO218" t="s">
        <v>88</v>
      </c>
      <c r="AP218">
        <v>1</v>
      </c>
      <c r="AQ218" t="s">
        <v>66</v>
      </c>
      <c r="AR218" t="s">
        <v>76</v>
      </c>
      <c r="AS218">
        <v>2001</v>
      </c>
      <c r="AT218" t="s">
        <v>49</v>
      </c>
      <c r="AU218" t="s">
        <v>48</v>
      </c>
      <c r="AV218" t="s">
        <v>48</v>
      </c>
      <c r="AW218" t="s">
        <v>48</v>
      </c>
    </row>
    <row r="219" spans="1:49" x14ac:dyDescent="0.3">
      <c r="A219" t="s">
        <v>801</v>
      </c>
      <c r="B219" t="s">
        <v>48</v>
      </c>
      <c r="C219" t="s">
        <v>49</v>
      </c>
      <c r="D219">
        <v>218.28</v>
      </c>
      <c r="E219">
        <v>0</v>
      </c>
      <c r="F219">
        <v>3.25</v>
      </c>
      <c r="G219" t="s">
        <v>197</v>
      </c>
      <c r="H219" t="s">
        <v>802</v>
      </c>
      <c r="I219" t="s">
        <v>52</v>
      </c>
      <c r="J219" t="s">
        <v>53</v>
      </c>
      <c r="K219">
        <v>950000</v>
      </c>
      <c r="L219" t="s">
        <v>126</v>
      </c>
      <c r="M219">
        <f>DOWNLOAD_2kLRbPnDtawQopEJ_UKtt22ud9U57gk8mqebZIeugNk[[#This Row],[Standard Value]]</f>
        <v>950000</v>
      </c>
      <c r="N219">
        <f>-LOG(DOWNLOAD_2kLRbPnDtawQopEJ_UKtt22ud9U57gk8mqebZIeugNk[[#This Row],[IC50]]*POWER(10, -9), 10)</f>
        <v>3.0222763947111519</v>
      </c>
      <c r="O219">
        <v>3.02</v>
      </c>
      <c r="P219" t="s">
        <v>48</v>
      </c>
      <c r="R219" t="s">
        <v>127</v>
      </c>
      <c r="S219">
        <v>13.85</v>
      </c>
      <c r="T219">
        <v>0.28000000000000003</v>
      </c>
      <c r="U219">
        <v>-0.23</v>
      </c>
      <c r="V219">
        <v>7.47</v>
      </c>
      <c r="W219">
        <v>0</v>
      </c>
      <c r="X219" t="s">
        <v>774</v>
      </c>
      <c r="Y219" t="s">
        <v>775</v>
      </c>
      <c r="Z219" t="s">
        <v>58</v>
      </c>
      <c r="AA219" t="s">
        <v>59</v>
      </c>
      <c r="AB219" t="s">
        <v>60</v>
      </c>
      <c r="AC219" t="s">
        <v>61</v>
      </c>
      <c r="AD219" t="s">
        <v>49</v>
      </c>
      <c r="AE219" t="s">
        <v>49</v>
      </c>
      <c r="AF219" t="s">
        <v>49</v>
      </c>
      <c r="AG219" t="s">
        <v>49</v>
      </c>
      <c r="AH219" t="s">
        <v>48</v>
      </c>
      <c r="AI219" t="s">
        <v>48</v>
      </c>
      <c r="AJ219" t="s">
        <v>48</v>
      </c>
      <c r="AK219" t="s">
        <v>62</v>
      </c>
      <c r="AL219" t="s">
        <v>63</v>
      </c>
      <c r="AM219" t="s">
        <v>61</v>
      </c>
      <c r="AN219" t="s">
        <v>64</v>
      </c>
      <c r="AO219" t="s">
        <v>776</v>
      </c>
      <c r="AP219">
        <v>1</v>
      </c>
      <c r="AQ219" t="s">
        <v>66</v>
      </c>
      <c r="AR219" t="s">
        <v>329</v>
      </c>
      <c r="AS219">
        <v>2018</v>
      </c>
      <c r="AT219" t="s">
        <v>49</v>
      </c>
      <c r="AU219" t="s">
        <v>48</v>
      </c>
      <c r="AV219" t="s">
        <v>48</v>
      </c>
      <c r="AW219" t="s">
        <v>48</v>
      </c>
    </row>
    <row r="220" spans="1:49" x14ac:dyDescent="0.3">
      <c r="A220" t="s">
        <v>803</v>
      </c>
      <c r="B220" t="s">
        <v>48</v>
      </c>
      <c r="C220" t="s">
        <v>49</v>
      </c>
      <c r="D220">
        <v>323.38</v>
      </c>
      <c r="E220">
        <v>0</v>
      </c>
      <c r="F220">
        <v>2.83</v>
      </c>
      <c r="G220" t="s">
        <v>677</v>
      </c>
      <c r="H220" t="s">
        <v>804</v>
      </c>
      <c r="I220" t="s">
        <v>52</v>
      </c>
      <c r="J220" t="s">
        <v>53</v>
      </c>
      <c r="K220">
        <v>400</v>
      </c>
      <c r="L220" t="s">
        <v>126</v>
      </c>
      <c r="M220">
        <f>DOWNLOAD_2kLRbPnDtawQopEJ_UKtt22ud9U57gk8mqebZIeugNk[[#This Row],[Standard Value]]</f>
        <v>400</v>
      </c>
      <c r="N220">
        <f>-LOG(DOWNLOAD_2kLRbPnDtawQopEJ_UKtt22ud9U57gk8mqebZIeugNk[[#This Row],[IC50]]*POWER(10, -9), 10)</f>
        <v>6.3979400086720375</v>
      </c>
      <c r="O220">
        <v>6.4</v>
      </c>
      <c r="P220" t="s">
        <v>48</v>
      </c>
      <c r="R220" t="s">
        <v>127</v>
      </c>
      <c r="S220">
        <v>19.78</v>
      </c>
      <c r="T220">
        <v>0.38</v>
      </c>
      <c r="U220">
        <v>3.57</v>
      </c>
      <c r="V220">
        <v>9.52</v>
      </c>
      <c r="W220">
        <v>0</v>
      </c>
      <c r="X220" t="s">
        <v>805</v>
      </c>
      <c r="Y220" t="s">
        <v>806</v>
      </c>
      <c r="Z220" t="s">
        <v>58</v>
      </c>
      <c r="AA220" t="s">
        <v>59</v>
      </c>
      <c r="AB220" t="s">
        <v>60</v>
      </c>
      <c r="AC220" t="s">
        <v>61</v>
      </c>
      <c r="AD220" t="s">
        <v>49</v>
      </c>
      <c r="AE220" t="s">
        <v>49</v>
      </c>
      <c r="AF220" t="s">
        <v>49</v>
      </c>
      <c r="AG220" t="s">
        <v>49</v>
      </c>
      <c r="AH220" t="s">
        <v>48</v>
      </c>
      <c r="AI220" t="s">
        <v>48</v>
      </c>
      <c r="AJ220" t="s">
        <v>48</v>
      </c>
      <c r="AK220" t="s">
        <v>62</v>
      </c>
      <c r="AL220" t="s">
        <v>63</v>
      </c>
      <c r="AM220" t="s">
        <v>61</v>
      </c>
      <c r="AN220" t="s">
        <v>64</v>
      </c>
      <c r="AO220" t="s">
        <v>807</v>
      </c>
      <c r="AP220">
        <v>1</v>
      </c>
      <c r="AQ220" t="s">
        <v>66</v>
      </c>
      <c r="AR220" t="s">
        <v>67</v>
      </c>
      <c r="AS220">
        <v>2006</v>
      </c>
      <c r="AT220" t="s">
        <v>49</v>
      </c>
      <c r="AU220" t="s">
        <v>48</v>
      </c>
      <c r="AV220" t="s">
        <v>48</v>
      </c>
      <c r="AW220" t="s">
        <v>48</v>
      </c>
    </row>
    <row r="221" spans="1:49" x14ac:dyDescent="0.3">
      <c r="A221" t="s">
        <v>808</v>
      </c>
      <c r="B221" t="s">
        <v>809</v>
      </c>
      <c r="C221" t="s">
        <v>305</v>
      </c>
      <c r="D221">
        <v>263.2</v>
      </c>
      <c r="E221">
        <v>0</v>
      </c>
      <c r="F221">
        <v>0.49</v>
      </c>
      <c r="G221" t="s">
        <v>810</v>
      </c>
      <c r="H221" t="s">
        <v>811</v>
      </c>
      <c r="I221" t="s">
        <v>52</v>
      </c>
      <c r="J221" t="s">
        <v>53</v>
      </c>
      <c r="K221">
        <v>50</v>
      </c>
      <c r="L221" t="s">
        <v>54</v>
      </c>
      <c r="M221">
        <f>DOWNLOAD_2kLRbPnDtawQopEJ_UKtt22ud9U57gk8mqebZIeugNk[[#This Row],[Standard Value]]/DOWNLOAD_2kLRbPnDtawQopEJ_UKtt22ud9U57gk8mqebZIeugNk[[#This Row],[Molecular Weight]]*1000*1000</f>
        <v>189969.6048632219</v>
      </c>
      <c r="N221">
        <f>-LOG(DOWNLOAD_2kLRbPnDtawQopEJ_UKtt22ud9U57gk8mqebZIeugNk[[#This Row],[IC50]]*POWER(10, -9), 10)</f>
        <v>3.7213158806058986</v>
      </c>
      <c r="P221" t="s">
        <v>48</v>
      </c>
      <c r="R221" t="s">
        <v>55</v>
      </c>
      <c r="W221">
        <v>0</v>
      </c>
      <c r="X221" t="s">
        <v>115</v>
      </c>
      <c r="Y221" t="s">
        <v>116</v>
      </c>
      <c r="Z221" t="s">
        <v>58</v>
      </c>
      <c r="AA221" t="s">
        <v>59</v>
      </c>
      <c r="AB221" t="s">
        <v>60</v>
      </c>
      <c r="AC221" t="s">
        <v>61</v>
      </c>
      <c r="AD221" t="s">
        <v>49</v>
      </c>
      <c r="AE221" t="s">
        <v>49</v>
      </c>
      <c r="AF221" t="s">
        <v>49</v>
      </c>
      <c r="AG221" t="s">
        <v>49</v>
      </c>
      <c r="AH221" t="s">
        <v>48</v>
      </c>
      <c r="AI221" t="s">
        <v>48</v>
      </c>
      <c r="AJ221" t="s">
        <v>48</v>
      </c>
      <c r="AK221" t="s">
        <v>62</v>
      </c>
      <c r="AL221" t="s">
        <v>63</v>
      </c>
      <c r="AM221" t="s">
        <v>61</v>
      </c>
      <c r="AN221" t="s">
        <v>64</v>
      </c>
      <c r="AO221" t="s">
        <v>117</v>
      </c>
      <c r="AP221">
        <v>1</v>
      </c>
      <c r="AQ221" t="s">
        <v>66</v>
      </c>
      <c r="AR221" t="s">
        <v>67</v>
      </c>
      <c r="AS221">
        <v>1986</v>
      </c>
      <c r="AT221" t="s">
        <v>49</v>
      </c>
      <c r="AU221" t="s">
        <v>48</v>
      </c>
      <c r="AV221" t="s">
        <v>48</v>
      </c>
      <c r="AW221" t="s">
        <v>48</v>
      </c>
    </row>
    <row r="222" spans="1:49" x14ac:dyDescent="0.3">
      <c r="A222" t="s">
        <v>812</v>
      </c>
      <c r="B222" t="s">
        <v>48</v>
      </c>
      <c r="C222" t="s">
        <v>49</v>
      </c>
      <c r="D222">
        <v>409.53</v>
      </c>
      <c r="E222">
        <v>1</v>
      </c>
      <c r="F222">
        <v>5.19</v>
      </c>
      <c r="G222" t="s">
        <v>331</v>
      </c>
      <c r="H222" t="s">
        <v>813</v>
      </c>
      <c r="I222" t="s">
        <v>52</v>
      </c>
      <c r="J222" t="s">
        <v>53</v>
      </c>
      <c r="K222">
        <v>16</v>
      </c>
      <c r="L222" t="s">
        <v>54</v>
      </c>
      <c r="M222">
        <f>DOWNLOAD_2kLRbPnDtawQopEJ_UKtt22ud9U57gk8mqebZIeugNk[[#This Row],[Standard Value]]/DOWNLOAD_2kLRbPnDtawQopEJ_UKtt22ud9U57gk8mqebZIeugNk[[#This Row],[Molecular Weight]]*1000*1000</f>
        <v>39069.176861280015</v>
      </c>
      <c r="N222">
        <f>-LOG(DOWNLOAD_2kLRbPnDtawQopEJ_UKtt22ud9U57gk8mqebZIeugNk[[#This Row],[IC50]]*POWER(10, -9), 10)</f>
        <v>4.4081657387206921</v>
      </c>
      <c r="P222" t="s">
        <v>48</v>
      </c>
      <c r="R222" t="s">
        <v>55</v>
      </c>
      <c r="W222">
        <v>0</v>
      </c>
      <c r="X222" t="s">
        <v>121</v>
      </c>
      <c r="Y222" t="s">
        <v>87</v>
      </c>
      <c r="Z222" t="s">
        <v>58</v>
      </c>
      <c r="AA222" t="s">
        <v>59</v>
      </c>
      <c r="AB222" t="s">
        <v>60</v>
      </c>
      <c r="AC222" t="s">
        <v>61</v>
      </c>
      <c r="AD222" t="s">
        <v>49</v>
      </c>
      <c r="AE222" t="s">
        <v>49</v>
      </c>
      <c r="AF222" t="s">
        <v>49</v>
      </c>
      <c r="AG222" t="s">
        <v>49</v>
      </c>
      <c r="AH222" t="s">
        <v>48</v>
      </c>
      <c r="AI222" t="s">
        <v>48</v>
      </c>
      <c r="AJ222" t="s">
        <v>48</v>
      </c>
      <c r="AK222" t="s">
        <v>62</v>
      </c>
      <c r="AL222" t="s">
        <v>63</v>
      </c>
      <c r="AM222" t="s">
        <v>61</v>
      </c>
      <c r="AN222" t="s">
        <v>64</v>
      </c>
      <c r="AO222" t="s">
        <v>122</v>
      </c>
      <c r="AP222">
        <v>1</v>
      </c>
      <c r="AQ222" t="s">
        <v>66</v>
      </c>
      <c r="AR222" t="s">
        <v>76</v>
      </c>
      <c r="AS222">
        <v>2004</v>
      </c>
      <c r="AT222" t="s">
        <v>49</v>
      </c>
      <c r="AU222" t="s">
        <v>48</v>
      </c>
      <c r="AV222" t="s">
        <v>48</v>
      </c>
      <c r="AW222" t="s">
        <v>48</v>
      </c>
    </row>
    <row r="223" spans="1:49" x14ac:dyDescent="0.3">
      <c r="A223" t="s">
        <v>814</v>
      </c>
      <c r="B223" t="s">
        <v>48</v>
      </c>
      <c r="C223" t="s">
        <v>49</v>
      </c>
      <c r="D223">
        <v>580.30999999999995</v>
      </c>
      <c r="E223">
        <v>1</v>
      </c>
      <c r="F223">
        <v>1.65</v>
      </c>
      <c r="G223" t="s">
        <v>815</v>
      </c>
      <c r="H223" t="s">
        <v>816</v>
      </c>
      <c r="I223" t="s">
        <v>52</v>
      </c>
      <c r="J223" t="s">
        <v>53</v>
      </c>
      <c r="K223">
        <v>2100</v>
      </c>
      <c r="L223" t="s">
        <v>126</v>
      </c>
      <c r="M223">
        <f>DOWNLOAD_2kLRbPnDtawQopEJ_UKtt22ud9U57gk8mqebZIeugNk[[#This Row],[Standard Value]]</f>
        <v>2100</v>
      </c>
      <c r="N223">
        <f>-LOG(DOWNLOAD_2kLRbPnDtawQopEJ_UKtt22ud9U57gk8mqebZIeugNk[[#This Row],[IC50]]*POWER(10, -9), 10)</f>
        <v>5.6777807052660796</v>
      </c>
      <c r="O223">
        <v>5.68</v>
      </c>
      <c r="P223" t="s">
        <v>48</v>
      </c>
      <c r="Q223">
        <v>302802</v>
      </c>
      <c r="R223" t="s">
        <v>127</v>
      </c>
      <c r="S223">
        <v>9.7799999999999994</v>
      </c>
      <c r="T223">
        <v>0.23</v>
      </c>
      <c r="U223">
        <v>4.03</v>
      </c>
      <c r="V223">
        <v>4.3099999999999996</v>
      </c>
      <c r="W223">
        <v>0</v>
      </c>
      <c r="X223" t="s">
        <v>251</v>
      </c>
      <c r="Y223" t="s">
        <v>252</v>
      </c>
      <c r="Z223" t="s">
        <v>58</v>
      </c>
      <c r="AA223" t="s">
        <v>59</v>
      </c>
      <c r="AB223" t="s">
        <v>60</v>
      </c>
      <c r="AC223" t="s">
        <v>61</v>
      </c>
      <c r="AD223" t="s">
        <v>49</v>
      </c>
      <c r="AE223" t="s">
        <v>49</v>
      </c>
      <c r="AF223" t="s">
        <v>49</v>
      </c>
      <c r="AG223" t="s">
        <v>49</v>
      </c>
      <c r="AH223" t="s">
        <v>48</v>
      </c>
      <c r="AI223" t="s">
        <v>48</v>
      </c>
      <c r="AJ223" t="s">
        <v>48</v>
      </c>
      <c r="AK223" t="s">
        <v>62</v>
      </c>
      <c r="AL223" t="s">
        <v>63</v>
      </c>
      <c r="AM223" t="s">
        <v>61</v>
      </c>
      <c r="AN223" t="s">
        <v>64</v>
      </c>
      <c r="AO223" t="s">
        <v>253</v>
      </c>
      <c r="AP223">
        <v>37</v>
      </c>
      <c r="AQ223" t="s">
        <v>254</v>
      </c>
      <c r="AR223" t="s">
        <v>48</v>
      </c>
      <c r="AS223">
        <v>2015</v>
      </c>
      <c r="AT223" t="s">
        <v>49</v>
      </c>
      <c r="AU223" t="s">
        <v>48</v>
      </c>
      <c r="AV223" t="s">
        <v>48</v>
      </c>
      <c r="AW223" t="s">
        <v>48</v>
      </c>
    </row>
    <row r="224" spans="1:49" x14ac:dyDescent="0.3">
      <c r="A224" t="s">
        <v>817</v>
      </c>
      <c r="B224" t="s">
        <v>48</v>
      </c>
      <c r="C224" t="s">
        <v>49</v>
      </c>
      <c r="D224">
        <v>469.43</v>
      </c>
      <c r="E224">
        <v>0</v>
      </c>
      <c r="F224">
        <v>0.75</v>
      </c>
      <c r="G224" t="s">
        <v>818</v>
      </c>
      <c r="H224" t="s">
        <v>819</v>
      </c>
      <c r="I224" t="s">
        <v>52</v>
      </c>
      <c r="J224" t="s">
        <v>53</v>
      </c>
      <c r="K224">
        <v>2000</v>
      </c>
      <c r="L224" t="s">
        <v>126</v>
      </c>
      <c r="M224">
        <f>DOWNLOAD_2kLRbPnDtawQopEJ_UKtt22ud9U57gk8mqebZIeugNk[[#This Row],[Standard Value]]</f>
        <v>2000</v>
      </c>
      <c r="N224">
        <f>-LOG(DOWNLOAD_2kLRbPnDtawQopEJ_UKtt22ud9U57gk8mqebZIeugNk[[#This Row],[IC50]]*POWER(10, -9), 10)</f>
        <v>5.6989700043360179</v>
      </c>
      <c r="O224">
        <v>5.7</v>
      </c>
      <c r="P224" t="s">
        <v>48</v>
      </c>
      <c r="Q224">
        <v>302822</v>
      </c>
      <c r="R224" t="s">
        <v>127</v>
      </c>
      <c r="S224">
        <v>12.14</v>
      </c>
      <c r="T224">
        <v>0.23</v>
      </c>
      <c r="U224">
        <v>4.95</v>
      </c>
      <c r="V224">
        <v>3.94</v>
      </c>
      <c r="W224">
        <v>0</v>
      </c>
      <c r="X224" t="s">
        <v>251</v>
      </c>
      <c r="Y224" t="s">
        <v>252</v>
      </c>
      <c r="Z224" t="s">
        <v>58</v>
      </c>
      <c r="AA224" t="s">
        <v>59</v>
      </c>
      <c r="AB224" t="s">
        <v>60</v>
      </c>
      <c r="AC224" t="s">
        <v>61</v>
      </c>
      <c r="AD224" t="s">
        <v>49</v>
      </c>
      <c r="AE224" t="s">
        <v>49</v>
      </c>
      <c r="AF224" t="s">
        <v>49</v>
      </c>
      <c r="AG224" t="s">
        <v>49</v>
      </c>
      <c r="AH224" t="s">
        <v>48</v>
      </c>
      <c r="AI224" t="s">
        <v>48</v>
      </c>
      <c r="AJ224" t="s">
        <v>48</v>
      </c>
      <c r="AK224" t="s">
        <v>62</v>
      </c>
      <c r="AL224" t="s">
        <v>63</v>
      </c>
      <c r="AM224" t="s">
        <v>61</v>
      </c>
      <c r="AN224" t="s">
        <v>64</v>
      </c>
      <c r="AO224" t="s">
        <v>253</v>
      </c>
      <c r="AP224">
        <v>37</v>
      </c>
      <c r="AQ224" t="s">
        <v>254</v>
      </c>
      <c r="AR224" t="s">
        <v>48</v>
      </c>
      <c r="AS224">
        <v>2015</v>
      </c>
      <c r="AT224" t="s">
        <v>49</v>
      </c>
      <c r="AU224" t="s">
        <v>48</v>
      </c>
      <c r="AV224" t="s">
        <v>48</v>
      </c>
      <c r="AW224" t="s">
        <v>48</v>
      </c>
    </row>
    <row r="225" spans="1:49" x14ac:dyDescent="0.3">
      <c r="A225" t="s">
        <v>820</v>
      </c>
      <c r="B225" t="s">
        <v>48</v>
      </c>
      <c r="C225" t="s">
        <v>49</v>
      </c>
      <c r="D225">
        <v>518.96</v>
      </c>
      <c r="E225">
        <v>1</v>
      </c>
      <c r="F225">
        <v>1.54</v>
      </c>
      <c r="G225" t="s">
        <v>821</v>
      </c>
      <c r="H225" t="s">
        <v>822</v>
      </c>
      <c r="I225" t="s">
        <v>52</v>
      </c>
      <c r="J225" t="s">
        <v>53</v>
      </c>
      <c r="K225">
        <v>31000</v>
      </c>
      <c r="L225" t="s">
        <v>126</v>
      </c>
      <c r="M225">
        <f>DOWNLOAD_2kLRbPnDtawQopEJ_UKtt22ud9U57gk8mqebZIeugNk[[#This Row],[Standard Value]]</f>
        <v>31000</v>
      </c>
      <c r="N225">
        <f>-LOG(DOWNLOAD_2kLRbPnDtawQopEJ_UKtt22ud9U57gk8mqebZIeugNk[[#This Row],[IC50]]*POWER(10, -9), 10)</f>
        <v>4.5086383061657269</v>
      </c>
      <c r="O225">
        <v>4.51</v>
      </c>
      <c r="P225" t="s">
        <v>48</v>
      </c>
      <c r="Q225">
        <v>302901</v>
      </c>
      <c r="R225" t="s">
        <v>127</v>
      </c>
      <c r="S225">
        <v>8.69</v>
      </c>
      <c r="T225">
        <v>0.17</v>
      </c>
      <c r="U225">
        <v>2.97</v>
      </c>
      <c r="V225">
        <v>2.89</v>
      </c>
      <c r="W225">
        <v>0</v>
      </c>
      <c r="X225" t="s">
        <v>251</v>
      </c>
      <c r="Y225" t="s">
        <v>252</v>
      </c>
      <c r="Z225" t="s">
        <v>58</v>
      </c>
      <c r="AA225" t="s">
        <v>59</v>
      </c>
      <c r="AB225" t="s">
        <v>60</v>
      </c>
      <c r="AC225" t="s">
        <v>61</v>
      </c>
      <c r="AD225" t="s">
        <v>49</v>
      </c>
      <c r="AE225" t="s">
        <v>49</v>
      </c>
      <c r="AF225" t="s">
        <v>49</v>
      </c>
      <c r="AG225" t="s">
        <v>49</v>
      </c>
      <c r="AH225" t="s">
        <v>48</v>
      </c>
      <c r="AI225" t="s">
        <v>48</v>
      </c>
      <c r="AJ225" t="s">
        <v>48</v>
      </c>
      <c r="AK225" t="s">
        <v>62</v>
      </c>
      <c r="AL225" t="s">
        <v>63</v>
      </c>
      <c r="AM225" t="s">
        <v>61</v>
      </c>
      <c r="AN225" t="s">
        <v>64</v>
      </c>
      <c r="AO225" t="s">
        <v>253</v>
      </c>
      <c r="AP225">
        <v>37</v>
      </c>
      <c r="AQ225" t="s">
        <v>254</v>
      </c>
      <c r="AR225" t="s">
        <v>48</v>
      </c>
      <c r="AS225">
        <v>2015</v>
      </c>
      <c r="AT225" t="s">
        <v>49</v>
      </c>
      <c r="AU225" t="s">
        <v>48</v>
      </c>
      <c r="AV225" t="s">
        <v>48</v>
      </c>
      <c r="AW225" t="s">
        <v>48</v>
      </c>
    </row>
    <row r="226" spans="1:49" x14ac:dyDescent="0.3">
      <c r="A226" t="s">
        <v>823</v>
      </c>
      <c r="B226" t="s">
        <v>48</v>
      </c>
      <c r="C226" t="s">
        <v>49</v>
      </c>
      <c r="D226">
        <v>460.42</v>
      </c>
      <c r="E226">
        <v>0</v>
      </c>
      <c r="F226">
        <v>1.03</v>
      </c>
      <c r="G226" t="s">
        <v>824</v>
      </c>
      <c r="H226" t="s">
        <v>825</v>
      </c>
      <c r="I226" t="s">
        <v>52</v>
      </c>
      <c r="J226" t="s">
        <v>53</v>
      </c>
      <c r="K226">
        <v>1000</v>
      </c>
      <c r="L226" t="s">
        <v>126</v>
      </c>
      <c r="M226">
        <f>DOWNLOAD_2kLRbPnDtawQopEJ_UKtt22ud9U57gk8mqebZIeugNk[[#This Row],[Standard Value]]</f>
        <v>1000</v>
      </c>
      <c r="N226">
        <f>-LOG(DOWNLOAD_2kLRbPnDtawQopEJ_UKtt22ud9U57gk8mqebZIeugNk[[#This Row],[IC50]]*POWER(10, -9), 10)</f>
        <v>5.9999999999999991</v>
      </c>
      <c r="O226">
        <v>6</v>
      </c>
      <c r="P226" t="s">
        <v>48</v>
      </c>
      <c r="Q226">
        <v>302906</v>
      </c>
      <c r="R226" t="s">
        <v>127</v>
      </c>
      <c r="S226">
        <v>13.03</v>
      </c>
      <c r="T226">
        <v>0.25</v>
      </c>
      <c r="U226">
        <v>4.97</v>
      </c>
      <c r="V226">
        <v>4.28</v>
      </c>
      <c r="W226">
        <v>0</v>
      </c>
      <c r="X226" t="s">
        <v>251</v>
      </c>
      <c r="Y226" t="s">
        <v>252</v>
      </c>
      <c r="Z226" t="s">
        <v>58</v>
      </c>
      <c r="AA226" t="s">
        <v>59</v>
      </c>
      <c r="AB226" t="s">
        <v>60</v>
      </c>
      <c r="AC226" t="s">
        <v>61</v>
      </c>
      <c r="AD226" t="s">
        <v>49</v>
      </c>
      <c r="AE226" t="s">
        <v>49</v>
      </c>
      <c r="AF226" t="s">
        <v>49</v>
      </c>
      <c r="AG226" t="s">
        <v>49</v>
      </c>
      <c r="AH226" t="s">
        <v>48</v>
      </c>
      <c r="AI226" t="s">
        <v>48</v>
      </c>
      <c r="AJ226" t="s">
        <v>48</v>
      </c>
      <c r="AK226" t="s">
        <v>62</v>
      </c>
      <c r="AL226" t="s">
        <v>63</v>
      </c>
      <c r="AM226" t="s">
        <v>61</v>
      </c>
      <c r="AN226" t="s">
        <v>64</v>
      </c>
      <c r="AO226" t="s">
        <v>253</v>
      </c>
      <c r="AP226">
        <v>37</v>
      </c>
      <c r="AQ226" t="s">
        <v>254</v>
      </c>
      <c r="AR226" t="s">
        <v>48</v>
      </c>
      <c r="AS226">
        <v>2015</v>
      </c>
      <c r="AT226" t="s">
        <v>49</v>
      </c>
      <c r="AU226" t="s">
        <v>48</v>
      </c>
      <c r="AV226" t="s">
        <v>48</v>
      </c>
      <c r="AW226" t="s">
        <v>48</v>
      </c>
    </row>
    <row r="227" spans="1:49" x14ac:dyDescent="0.3">
      <c r="A227" t="s">
        <v>826</v>
      </c>
      <c r="B227" t="s">
        <v>48</v>
      </c>
      <c r="C227" t="s">
        <v>49</v>
      </c>
      <c r="D227">
        <v>344.37</v>
      </c>
      <c r="E227">
        <v>0</v>
      </c>
      <c r="F227">
        <v>2.4900000000000002</v>
      </c>
      <c r="G227" t="s">
        <v>211</v>
      </c>
      <c r="H227" t="s">
        <v>827</v>
      </c>
      <c r="I227" t="s">
        <v>52</v>
      </c>
      <c r="J227" t="s">
        <v>53</v>
      </c>
      <c r="K227">
        <v>6200</v>
      </c>
      <c r="L227" t="s">
        <v>126</v>
      </c>
      <c r="M227">
        <f>DOWNLOAD_2kLRbPnDtawQopEJ_UKtt22ud9U57gk8mqebZIeugNk[[#This Row],[Standard Value]]</f>
        <v>6200</v>
      </c>
      <c r="N227">
        <f>-LOG(DOWNLOAD_2kLRbPnDtawQopEJ_UKtt22ud9U57gk8mqebZIeugNk[[#This Row],[IC50]]*POWER(10, -9), 10)</f>
        <v>5.2076083105017457</v>
      </c>
      <c r="O227">
        <v>5.21</v>
      </c>
      <c r="P227" t="s">
        <v>48</v>
      </c>
      <c r="R227" t="s">
        <v>127</v>
      </c>
      <c r="S227">
        <v>15.12</v>
      </c>
      <c r="T227">
        <v>0.28000000000000003</v>
      </c>
      <c r="U227">
        <v>2.72</v>
      </c>
      <c r="V227">
        <v>5.13</v>
      </c>
      <c r="W227">
        <v>0</v>
      </c>
      <c r="X227" t="s">
        <v>128</v>
      </c>
      <c r="Y227" t="s">
        <v>129</v>
      </c>
      <c r="Z227" t="s">
        <v>58</v>
      </c>
      <c r="AA227" t="s">
        <v>59</v>
      </c>
      <c r="AB227" t="s">
        <v>60</v>
      </c>
      <c r="AC227" t="s">
        <v>61</v>
      </c>
      <c r="AD227" t="s">
        <v>49</v>
      </c>
      <c r="AE227" t="s">
        <v>49</v>
      </c>
      <c r="AF227" t="s">
        <v>49</v>
      </c>
      <c r="AG227" t="s">
        <v>49</v>
      </c>
      <c r="AH227" t="s">
        <v>48</v>
      </c>
      <c r="AI227" t="s">
        <v>48</v>
      </c>
      <c r="AJ227" t="s">
        <v>48</v>
      </c>
      <c r="AK227" t="s">
        <v>62</v>
      </c>
      <c r="AL227" t="s">
        <v>63</v>
      </c>
      <c r="AM227" t="s">
        <v>61</v>
      </c>
      <c r="AN227" t="s">
        <v>64</v>
      </c>
      <c r="AO227" t="s">
        <v>130</v>
      </c>
      <c r="AP227">
        <v>1</v>
      </c>
      <c r="AQ227" t="s">
        <v>66</v>
      </c>
      <c r="AR227" t="s">
        <v>131</v>
      </c>
      <c r="AS227">
        <v>2014</v>
      </c>
      <c r="AT227" t="s">
        <v>49</v>
      </c>
      <c r="AU227" t="s">
        <v>48</v>
      </c>
      <c r="AV227" t="s">
        <v>48</v>
      </c>
      <c r="AW227" t="s">
        <v>48</v>
      </c>
    </row>
    <row r="228" spans="1:49" x14ac:dyDescent="0.3">
      <c r="A228" t="s">
        <v>828</v>
      </c>
      <c r="B228" t="s">
        <v>48</v>
      </c>
      <c r="C228" t="s">
        <v>49</v>
      </c>
      <c r="D228">
        <v>390.25</v>
      </c>
      <c r="E228">
        <v>0</v>
      </c>
      <c r="F228">
        <v>2.57</v>
      </c>
      <c r="G228" t="s">
        <v>829</v>
      </c>
      <c r="H228" t="s">
        <v>830</v>
      </c>
      <c r="I228" t="s">
        <v>52</v>
      </c>
      <c r="J228" t="s">
        <v>53</v>
      </c>
      <c r="K228">
        <v>160</v>
      </c>
      <c r="L228" t="s">
        <v>126</v>
      </c>
      <c r="M228">
        <f>DOWNLOAD_2kLRbPnDtawQopEJ_UKtt22ud9U57gk8mqebZIeugNk[[#This Row],[Standard Value]]</f>
        <v>160</v>
      </c>
      <c r="N228">
        <f>-LOG(DOWNLOAD_2kLRbPnDtawQopEJ_UKtt22ud9U57gk8mqebZIeugNk[[#This Row],[IC50]]*POWER(10, -9), 10)</f>
        <v>6.7958800173440741</v>
      </c>
      <c r="O228">
        <v>6.8</v>
      </c>
      <c r="P228" t="s">
        <v>48</v>
      </c>
      <c r="R228" t="s">
        <v>127</v>
      </c>
      <c r="S228">
        <v>17.41</v>
      </c>
      <c r="T228">
        <v>0.39</v>
      </c>
      <c r="U228">
        <v>4.2300000000000004</v>
      </c>
      <c r="V228">
        <v>6.28</v>
      </c>
      <c r="W228">
        <v>0</v>
      </c>
      <c r="X228" t="s">
        <v>716</v>
      </c>
      <c r="Y228" t="s">
        <v>717</v>
      </c>
      <c r="Z228" t="s">
        <v>58</v>
      </c>
      <c r="AA228" t="s">
        <v>59</v>
      </c>
      <c r="AB228" t="s">
        <v>60</v>
      </c>
      <c r="AC228" t="s">
        <v>61</v>
      </c>
      <c r="AD228" t="s">
        <v>49</v>
      </c>
      <c r="AE228" t="s">
        <v>49</v>
      </c>
      <c r="AF228" t="s">
        <v>49</v>
      </c>
      <c r="AG228" t="s">
        <v>49</v>
      </c>
      <c r="AH228" t="s">
        <v>48</v>
      </c>
      <c r="AI228" t="s">
        <v>48</v>
      </c>
      <c r="AJ228" t="s">
        <v>48</v>
      </c>
      <c r="AK228" t="s">
        <v>62</v>
      </c>
      <c r="AL228" t="s">
        <v>63</v>
      </c>
      <c r="AM228" t="s">
        <v>61</v>
      </c>
      <c r="AN228" t="s">
        <v>64</v>
      </c>
      <c r="AO228" t="s">
        <v>718</v>
      </c>
      <c r="AP228">
        <v>1</v>
      </c>
      <c r="AQ228" t="s">
        <v>66</v>
      </c>
      <c r="AR228" t="s">
        <v>131</v>
      </c>
      <c r="AS228">
        <v>2019</v>
      </c>
      <c r="AT228" t="s">
        <v>49</v>
      </c>
      <c r="AU228" t="s">
        <v>299</v>
      </c>
      <c r="AV228" t="s">
        <v>269</v>
      </c>
      <c r="AW228" t="s">
        <v>48</v>
      </c>
    </row>
    <row r="229" spans="1:49" x14ac:dyDescent="0.3">
      <c r="A229" t="s">
        <v>831</v>
      </c>
      <c r="B229" t="s">
        <v>48</v>
      </c>
      <c r="C229" t="s">
        <v>49</v>
      </c>
      <c r="D229">
        <v>519.80999999999995</v>
      </c>
      <c r="E229">
        <v>0</v>
      </c>
      <c r="F229">
        <v>3.22</v>
      </c>
      <c r="G229" t="s">
        <v>832</v>
      </c>
      <c r="H229" t="s">
        <v>833</v>
      </c>
      <c r="I229" t="s">
        <v>52</v>
      </c>
      <c r="J229" t="s">
        <v>53</v>
      </c>
      <c r="K229">
        <v>9.9</v>
      </c>
      <c r="L229" t="s">
        <v>126</v>
      </c>
      <c r="M229">
        <f>DOWNLOAD_2kLRbPnDtawQopEJ_UKtt22ud9U57gk8mqebZIeugNk[[#This Row],[Standard Value]]</f>
        <v>9.9</v>
      </c>
      <c r="N229">
        <f>-LOG(DOWNLOAD_2kLRbPnDtawQopEJ_UKtt22ud9U57gk8mqebZIeugNk[[#This Row],[IC50]]*POWER(10, -9), 10)</f>
        <v>8.0043648054024494</v>
      </c>
      <c r="O229">
        <v>8</v>
      </c>
      <c r="P229" t="s">
        <v>48</v>
      </c>
      <c r="R229" t="s">
        <v>127</v>
      </c>
      <c r="S229">
        <v>16.559999999999999</v>
      </c>
      <c r="T229">
        <v>0.34</v>
      </c>
      <c r="U229">
        <v>4.78</v>
      </c>
      <c r="V229">
        <v>6.04</v>
      </c>
      <c r="W229">
        <v>0</v>
      </c>
      <c r="X229" t="s">
        <v>716</v>
      </c>
      <c r="Y229" t="s">
        <v>717</v>
      </c>
      <c r="Z229" t="s">
        <v>58</v>
      </c>
      <c r="AA229" t="s">
        <v>59</v>
      </c>
      <c r="AB229" t="s">
        <v>60</v>
      </c>
      <c r="AC229" t="s">
        <v>61</v>
      </c>
      <c r="AD229" t="s">
        <v>49</v>
      </c>
      <c r="AE229" t="s">
        <v>49</v>
      </c>
      <c r="AF229" t="s">
        <v>49</v>
      </c>
      <c r="AG229" t="s">
        <v>49</v>
      </c>
      <c r="AH229" t="s">
        <v>48</v>
      </c>
      <c r="AI229" t="s">
        <v>48</v>
      </c>
      <c r="AJ229" t="s">
        <v>48</v>
      </c>
      <c r="AK229" t="s">
        <v>62</v>
      </c>
      <c r="AL229" t="s">
        <v>63</v>
      </c>
      <c r="AM229" t="s">
        <v>61</v>
      </c>
      <c r="AN229" t="s">
        <v>64</v>
      </c>
      <c r="AO229" t="s">
        <v>718</v>
      </c>
      <c r="AP229">
        <v>1</v>
      </c>
      <c r="AQ229" t="s">
        <v>66</v>
      </c>
      <c r="AR229" t="s">
        <v>131</v>
      </c>
      <c r="AS229">
        <v>2019</v>
      </c>
      <c r="AT229" t="s">
        <v>49</v>
      </c>
      <c r="AU229" t="s">
        <v>299</v>
      </c>
      <c r="AV229" t="s">
        <v>269</v>
      </c>
      <c r="AW229" t="s">
        <v>48</v>
      </c>
    </row>
    <row r="230" spans="1:49" x14ac:dyDescent="0.3">
      <c r="A230" t="s">
        <v>834</v>
      </c>
      <c r="B230" t="s">
        <v>48</v>
      </c>
      <c r="C230" t="s">
        <v>49</v>
      </c>
      <c r="D230">
        <v>488.12</v>
      </c>
      <c r="E230">
        <v>0</v>
      </c>
      <c r="F230">
        <v>3.42</v>
      </c>
      <c r="G230" t="s">
        <v>227</v>
      </c>
      <c r="H230" t="s">
        <v>835</v>
      </c>
      <c r="I230" t="s">
        <v>52</v>
      </c>
      <c r="J230" t="s">
        <v>53</v>
      </c>
      <c r="K230">
        <v>58</v>
      </c>
      <c r="L230" t="s">
        <v>126</v>
      </c>
      <c r="M230">
        <f>DOWNLOAD_2kLRbPnDtawQopEJ_UKtt22ud9U57gk8mqebZIeugNk[[#This Row],[Standard Value]]</f>
        <v>58</v>
      </c>
      <c r="N230">
        <f>-LOG(DOWNLOAD_2kLRbPnDtawQopEJ_UKtt22ud9U57gk8mqebZIeugNk[[#This Row],[IC50]]*POWER(10, -9), 10)</f>
        <v>7.2365720064370622</v>
      </c>
      <c r="O230">
        <v>7.24</v>
      </c>
      <c r="P230" t="s">
        <v>48</v>
      </c>
      <c r="R230" t="s">
        <v>127</v>
      </c>
      <c r="S230">
        <v>14.83</v>
      </c>
      <c r="T230">
        <v>0.4</v>
      </c>
      <c r="U230">
        <v>3.82</v>
      </c>
      <c r="V230">
        <v>5.83</v>
      </c>
      <c r="W230">
        <v>0</v>
      </c>
      <c r="X230" t="s">
        <v>684</v>
      </c>
      <c r="Y230" t="s">
        <v>327</v>
      </c>
      <c r="Z230" t="s">
        <v>58</v>
      </c>
      <c r="AA230" t="s">
        <v>59</v>
      </c>
      <c r="AB230" t="s">
        <v>60</v>
      </c>
      <c r="AC230" t="s">
        <v>61</v>
      </c>
      <c r="AD230" t="s">
        <v>49</v>
      </c>
      <c r="AE230" t="s">
        <v>49</v>
      </c>
      <c r="AF230" t="s">
        <v>49</v>
      </c>
      <c r="AG230" t="s">
        <v>49</v>
      </c>
      <c r="AH230" t="s">
        <v>48</v>
      </c>
      <c r="AI230" t="s">
        <v>48</v>
      </c>
      <c r="AJ230" t="s">
        <v>48</v>
      </c>
      <c r="AK230" t="s">
        <v>62</v>
      </c>
      <c r="AL230" t="s">
        <v>63</v>
      </c>
      <c r="AM230" t="s">
        <v>61</v>
      </c>
      <c r="AN230" t="s">
        <v>64</v>
      </c>
      <c r="AO230" t="s">
        <v>685</v>
      </c>
      <c r="AP230">
        <v>1</v>
      </c>
      <c r="AQ230" t="s">
        <v>66</v>
      </c>
      <c r="AR230" t="s">
        <v>686</v>
      </c>
      <c r="AS230">
        <v>2020</v>
      </c>
      <c r="AT230" t="s">
        <v>49</v>
      </c>
      <c r="AU230" t="s">
        <v>299</v>
      </c>
      <c r="AV230" t="s">
        <v>269</v>
      </c>
      <c r="AW230" t="s">
        <v>48</v>
      </c>
    </row>
    <row r="231" spans="1:49" x14ac:dyDescent="0.3">
      <c r="A231" t="s">
        <v>836</v>
      </c>
      <c r="B231" t="s">
        <v>48</v>
      </c>
      <c r="C231" t="s">
        <v>49</v>
      </c>
      <c r="D231">
        <v>434.74</v>
      </c>
      <c r="E231">
        <v>0</v>
      </c>
      <c r="F231">
        <v>3.39</v>
      </c>
      <c r="G231" t="s">
        <v>837</v>
      </c>
      <c r="H231" t="s">
        <v>838</v>
      </c>
      <c r="I231" t="s">
        <v>52</v>
      </c>
      <c r="J231" t="s">
        <v>53</v>
      </c>
      <c r="K231">
        <v>280</v>
      </c>
      <c r="L231" t="s">
        <v>126</v>
      </c>
      <c r="M231">
        <f>DOWNLOAD_2kLRbPnDtawQopEJ_UKtt22ud9U57gk8mqebZIeugNk[[#This Row],[Standard Value]]</f>
        <v>280</v>
      </c>
      <c r="N231">
        <f>-LOG(DOWNLOAD_2kLRbPnDtawQopEJ_UKtt22ud9U57gk8mqebZIeugNk[[#This Row],[IC50]]*POWER(10, -9), 10)</f>
        <v>6.5528419686577797</v>
      </c>
      <c r="O231">
        <v>6.55</v>
      </c>
      <c r="P231" t="s">
        <v>48</v>
      </c>
      <c r="R231" t="s">
        <v>127</v>
      </c>
      <c r="S231">
        <v>16.45</v>
      </c>
      <c r="T231">
        <v>0.36</v>
      </c>
      <c r="U231">
        <v>3.16</v>
      </c>
      <c r="V231">
        <v>5.8</v>
      </c>
      <c r="W231">
        <v>0</v>
      </c>
      <c r="X231" t="s">
        <v>684</v>
      </c>
      <c r="Y231" t="s">
        <v>327</v>
      </c>
      <c r="Z231" t="s">
        <v>58</v>
      </c>
      <c r="AA231" t="s">
        <v>59</v>
      </c>
      <c r="AB231" t="s">
        <v>60</v>
      </c>
      <c r="AC231" t="s">
        <v>61</v>
      </c>
      <c r="AD231" t="s">
        <v>49</v>
      </c>
      <c r="AE231" t="s">
        <v>49</v>
      </c>
      <c r="AF231" t="s">
        <v>49</v>
      </c>
      <c r="AG231" t="s">
        <v>49</v>
      </c>
      <c r="AH231" t="s">
        <v>48</v>
      </c>
      <c r="AI231" t="s">
        <v>48</v>
      </c>
      <c r="AJ231" t="s">
        <v>48</v>
      </c>
      <c r="AK231" t="s">
        <v>62</v>
      </c>
      <c r="AL231" t="s">
        <v>63</v>
      </c>
      <c r="AM231" t="s">
        <v>61</v>
      </c>
      <c r="AN231" t="s">
        <v>64</v>
      </c>
      <c r="AO231" t="s">
        <v>685</v>
      </c>
      <c r="AP231">
        <v>1</v>
      </c>
      <c r="AQ231" t="s">
        <v>66</v>
      </c>
      <c r="AR231" t="s">
        <v>686</v>
      </c>
      <c r="AS231">
        <v>2020</v>
      </c>
      <c r="AT231" t="s">
        <v>49</v>
      </c>
      <c r="AU231" t="s">
        <v>299</v>
      </c>
      <c r="AV231" t="s">
        <v>269</v>
      </c>
      <c r="AW231" t="s">
        <v>48</v>
      </c>
    </row>
    <row r="232" spans="1:49" x14ac:dyDescent="0.3">
      <c r="A232" t="s">
        <v>839</v>
      </c>
      <c r="B232" t="s">
        <v>48</v>
      </c>
      <c r="C232" t="s">
        <v>49</v>
      </c>
      <c r="D232">
        <v>359.4</v>
      </c>
      <c r="E232">
        <v>0</v>
      </c>
      <c r="F232">
        <v>2.35</v>
      </c>
      <c r="G232" t="s">
        <v>840</v>
      </c>
      <c r="H232" t="s">
        <v>841</v>
      </c>
      <c r="I232" t="s">
        <v>52</v>
      </c>
      <c r="J232" t="s">
        <v>53</v>
      </c>
      <c r="K232">
        <v>1</v>
      </c>
      <c r="L232" t="s">
        <v>54</v>
      </c>
      <c r="M232">
        <f>DOWNLOAD_2kLRbPnDtawQopEJ_UKtt22ud9U57gk8mqebZIeugNk[[#This Row],[Standard Value]]/DOWNLOAD_2kLRbPnDtawQopEJ_UKtt22ud9U57gk8mqebZIeugNk[[#This Row],[Molecular Weight]]*1000*1000</f>
        <v>2782.4151363383417</v>
      </c>
      <c r="N232">
        <f>-LOG(DOWNLOAD_2kLRbPnDtawQopEJ_UKtt22ud9U57gk8mqebZIeugNk[[#This Row],[IC50]]*POWER(10, -9), 10)</f>
        <v>5.5555780727729545</v>
      </c>
      <c r="P232" t="s">
        <v>48</v>
      </c>
      <c r="R232" t="s">
        <v>55</v>
      </c>
      <c r="W232">
        <v>0</v>
      </c>
      <c r="X232" t="s">
        <v>80</v>
      </c>
      <c r="Y232" t="s">
        <v>81</v>
      </c>
      <c r="Z232" t="s">
        <v>58</v>
      </c>
      <c r="AA232" t="s">
        <v>59</v>
      </c>
      <c r="AB232" t="s">
        <v>60</v>
      </c>
      <c r="AC232" t="s">
        <v>61</v>
      </c>
      <c r="AD232" t="s">
        <v>49</v>
      </c>
      <c r="AE232" t="s">
        <v>49</v>
      </c>
      <c r="AF232" t="s">
        <v>49</v>
      </c>
      <c r="AG232" t="s">
        <v>49</v>
      </c>
      <c r="AH232" t="s">
        <v>48</v>
      </c>
      <c r="AI232" t="s">
        <v>48</v>
      </c>
      <c r="AJ232" t="s">
        <v>48</v>
      </c>
      <c r="AK232" t="s">
        <v>62</v>
      </c>
      <c r="AL232" t="s">
        <v>63</v>
      </c>
      <c r="AM232" t="s">
        <v>61</v>
      </c>
      <c r="AN232" t="s">
        <v>64</v>
      </c>
      <c r="AO232" t="s">
        <v>82</v>
      </c>
      <c r="AP232">
        <v>1</v>
      </c>
      <c r="AQ232" t="s">
        <v>66</v>
      </c>
      <c r="AR232" t="s">
        <v>67</v>
      </c>
      <c r="AS232">
        <v>1993</v>
      </c>
      <c r="AT232" t="s">
        <v>49</v>
      </c>
      <c r="AU232" t="s">
        <v>48</v>
      </c>
      <c r="AV232" t="s">
        <v>48</v>
      </c>
      <c r="AW232" t="s">
        <v>48</v>
      </c>
    </row>
    <row r="233" spans="1:49" x14ac:dyDescent="0.3">
      <c r="A233" t="s">
        <v>842</v>
      </c>
      <c r="B233" t="s">
        <v>48</v>
      </c>
      <c r="C233" t="s">
        <v>49</v>
      </c>
      <c r="D233">
        <v>399.47</v>
      </c>
      <c r="E233">
        <v>0</v>
      </c>
      <c r="F233">
        <v>3.28</v>
      </c>
      <c r="G233" t="s">
        <v>829</v>
      </c>
      <c r="H233" t="s">
        <v>843</v>
      </c>
      <c r="I233" t="s">
        <v>52</v>
      </c>
      <c r="J233" t="s">
        <v>53</v>
      </c>
      <c r="K233">
        <v>6.3</v>
      </c>
      <c r="L233" t="s">
        <v>54</v>
      </c>
      <c r="M233">
        <f>DOWNLOAD_2kLRbPnDtawQopEJ_UKtt22ud9U57gk8mqebZIeugNk[[#This Row],[Standard Value]]/DOWNLOAD_2kLRbPnDtawQopEJ_UKtt22ud9U57gk8mqebZIeugNk[[#This Row],[Molecular Weight]]*1000*1000</f>
        <v>15770.896437780058</v>
      </c>
      <c r="N233">
        <f>-LOG(DOWNLOAD_2kLRbPnDtawQopEJ_UKtt22ud9U57gk8mqebZIeugNk[[#This Row],[IC50]]*POWER(10, -9), 10)</f>
        <v>4.8021436201196464</v>
      </c>
      <c r="P233" t="s">
        <v>48</v>
      </c>
      <c r="R233" t="s">
        <v>55</v>
      </c>
      <c r="W233">
        <v>0</v>
      </c>
      <c r="X233" t="s">
        <v>98</v>
      </c>
      <c r="Y233" t="s">
        <v>99</v>
      </c>
      <c r="Z233" t="s">
        <v>58</v>
      </c>
      <c r="AA233" t="s">
        <v>59</v>
      </c>
      <c r="AB233" t="s">
        <v>60</v>
      </c>
      <c r="AC233" t="s">
        <v>49</v>
      </c>
      <c r="AD233" t="s">
        <v>49</v>
      </c>
      <c r="AE233" t="s">
        <v>49</v>
      </c>
      <c r="AF233" t="s">
        <v>49</v>
      </c>
      <c r="AG233" t="s">
        <v>49</v>
      </c>
      <c r="AH233" t="s">
        <v>48</v>
      </c>
      <c r="AI233" t="s">
        <v>48</v>
      </c>
      <c r="AJ233" t="s">
        <v>48</v>
      </c>
      <c r="AK233" t="s">
        <v>62</v>
      </c>
      <c r="AL233" t="s">
        <v>63</v>
      </c>
      <c r="AM233" t="s">
        <v>61</v>
      </c>
      <c r="AN233" t="s">
        <v>64</v>
      </c>
      <c r="AO233" t="s">
        <v>100</v>
      </c>
      <c r="AP233">
        <v>1</v>
      </c>
      <c r="AQ233" t="s">
        <v>66</v>
      </c>
      <c r="AR233" t="s">
        <v>67</v>
      </c>
      <c r="AS233">
        <v>1991</v>
      </c>
      <c r="AT233" t="s">
        <v>49</v>
      </c>
      <c r="AU233" t="s">
        <v>48</v>
      </c>
      <c r="AV233" t="s">
        <v>48</v>
      </c>
      <c r="AW233" t="s">
        <v>48</v>
      </c>
    </row>
    <row r="234" spans="1:49" x14ac:dyDescent="0.3">
      <c r="A234" t="s">
        <v>844</v>
      </c>
      <c r="B234" t="s">
        <v>48</v>
      </c>
      <c r="C234" t="s">
        <v>49</v>
      </c>
      <c r="D234">
        <v>326.19</v>
      </c>
      <c r="E234">
        <v>0</v>
      </c>
      <c r="F234">
        <v>1.98</v>
      </c>
      <c r="G234" t="s">
        <v>197</v>
      </c>
      <c r="H234" t="s">
        <v>845</v>
      </c>
      <c r="I234" t="s">
        <v>52</v>
      </c>
      <c r="J234" t="s">
        <v>53</v>
      </c>
      <c r="K234">
        <v>5700</v>
      </c>
      <c r="L234" t="s">
        <v>126</v>
      </c>
      <c r="M234">
        <f>DOWNLOAD_2kLRbPnDtawQopEJ_UKtt22ud9U57gk8mqebZIeugNk[[#This Row],[Standard Value]]</f>
        <v>5700</v>
      </c>
      <c r="N234">
        <f>-LOG(DOWNLOAD_2kLRbPnDtawQopEJ_UKtt22ud9U57gk8mqebZIeugNk[[#This Row],[IC50]]*POWER(10, -9), 10)</f>
        <v>5.2441251443275076</v>
      </c>
      <c r="O234">
        <v>5.24</v>
      </c>
      <c r="P234" t="s">
        <v>48</v>
      </c>
      <c r="R234" t="s">
        <v>127</v>
      </c>
      <c r="S234">
        <v>16.079999999999998</v>
      </c>
      <c r="T234">
        <v>0.34</v>
      </c>
      <c r="U234">
        <v>3.26</v>
      </c>
      <c r="V234">
        <v>5.42</v>
      </c>
      <c r="W234">
        <v>0</v>
      </c>
      <c r="X234" t="s">
        <v>144</v>
      </c>
      <c r="Y234" t="s">
        <v>145</v>
      </c>
      <c r="Z234" t="s">
        <v>58</v>
      </c>
      <c r="AA234" t="s">
        <v>59</v>
      </c>
      <c r="AB234" t="s">
        <v>60</v>
      </c>
      <c r="AC234" t="s">
        <v>61</v>
      </c>
      <c r="AD234" t="s">
        <v>49</v>
      </c>
      <c r="AE234" t="s">
        <v>49</v>
      </c>
      <c r="AF234" t="s">
        <v>49</v>
      </c>
      <c r="AG234" t="s">
        <v>49</v>
      </c>
      <c r="AH234" t="s">
        <v>48</v>
      </c>
      <c r="AI234" t="s">
        <v>48</v>
      </c>
      <c r="AJ234" t="s">
        <v>48</v>
      </c>
      <c r="AK234" t="s">
        <v>62</v>
      </c>
      <c r="AL234" t="s">
        <v>63</v>
      </c>
      <c r="AM234" t="s">
        <v>61</v>
      </c>
      <c r="AN234" t="s">
        <v>64</v>
      </c>
      <c r="AO234" t="s">
        <v>146</v>
      </c>
      <c r="AP234">
        <v>1</v>
      </c>
      <c r="AQ234" t="s">
        <v>66</v>
      </c>
      <c r="AR234" t="s">
        <v>67</v>
      </c>
      <c r="AS234">
        <v>2015</v>
      </c>
      <c r="AT234" t="s">
        <v>49</v>
      </c>
      <c r="AU234" t="s">
        <v>48</v>
      </c>
      <c r="AV234" t="s">
        <v>48</v>
      </c>
      <c r="AW234" t="s">
        <v>48</v>
      </c>
    </row>
    <row r="235" spans="1:49" x14ac:dyDescent="0.3">
      <c r="A235" t="s">
        <v>846</v>
      </c>
      <c r="B235" t="s">
        <v>48</v>
      </c>
      <c r="C235" t="s">
        <v>49</v>
      </c>
      <c r="D235">
        <v>415.09</v>
      </c>
      <c r="E235">
        <v>0</v>
      </c>
      <c r="F235">
        <v>2.2000000000000002</v>
      </c>
      <c r="G235" t="s">
        <v>847</v>
      </c>
      <c r="H235" t="s">
        <v>848</v>
      </c>
      <c r="I235" t="s">
        <v>52</v>
      </c>
      <c r="J235" t="s">
        <v>53</v>
      </c>
      <c r="K235">
        <v>2900</v>
      </c>
      <c r="L235" t="s">
        <v>126</v>
      </c>
      <c r="M235">
        <f>DOWNLOAD_2kLRbPnDtawQopEJ_UKtt22ud9U57gk8mqebZIeugNk[[#This Row],[Standard Value]]</f>
        <v>2900</v>
      </c>
      <c r="N235">
        <f>-LOG(DOWNLOAD_2kLRbPnDtawQopEJ_UKtt22ud9U57gk8mqebZIeugNk[[#This Row],[IC50]]*POWER(10, -9), 10)</f>
        <v>5.5376020021010435</v>
      </c>
      <c r="O235">
        <v>5.54</v>
      </c>
      <c r="P235" t="s">
        <v>48</v>
      </c>
      <c r="R235" t="s">
        <v>127</v>
      </c>
      <c r="S235">
        <v>13.34</v>
      </c>
      <c r="T235">
        <v>0.36</v>
      </c>
      <c r="U235">
        <v>3.34</v>
      </c>
      <c r="V235">
        <v>5.73</v>
      </c>
      <c r="W235">
        <v>0</v>
      </c>
      <c r="X235" t="s">
        <v>144</v>
      </c>
      <c r="Y235" t="s">
        <v>145</v>
      </c>
      <c r="Z235" t="s">
        <v>58</v>
      </c>
      <c r="AA235" t="s">
        <v>59</v>
      </c>
      <c r="AB235" t="s">
        <v>60</v>
      </c>
      <c r="AC235" t="s">
        <v>61</v>
      </c>
      <c r="AD235" t="s">
        <v>49</v>
      </c>
      <c r="AE235" t="s">
        <v>49</v>
      </c>
      <c r="AF235" t="s">
        <v>49</v>
      </c>
      <c r="AG235" t="s">
        <v>49</v>
      </c>
      <c r="AH235" t="s">
        <v>48</v>
      </c>
      <c r="AI235" t="s">
        <v>48</v>
      </c>
      <c r="AJ235" t="s">
        <v>48</v>
      </c>
      <c r="AK235" t="s">
        <v>62</v>
      </c>
      <c r="AL235" t="s">
        <v>63</v>
      </c>
      <c r="AM235" t="s">
        <v>61</v>
      </c>
      <c r="AN235" t="s">
        <v>64</v>
      </c>
      <c r="AO235" t="s">
        <v>146</v>
      </c>
      <c r="AP235">
        <v>1</v>
      </c>
      <c r="AQ235" t="s">
        <v>66</v>
      </c>
      <c r="AR235" t="s">
        <v>67</v>
      </c>
      <c r="AS235">
        <v>2015</v>
      </c>
      <c r="AT235" t="s">
        <v>49</v>
      </c>
      <c r="AU235" t="s">
        <v>48</v>
      </c>
      <c r="AV235" t="s">
        <v>48</v>
      </c>
      <c r="AW235" t="s">
        <v>48</v>
      </c>
    </row>
    <row r="236" spans="1:49" x14ac:dyDescent="0.3">
      <c r="A236" t="s">
        <v>849</v>
      </c>
      <c r="B236" t="s">
        <v>48</v>
      </c>
      <c r="C236" t="s">
        <v>49</v>
      </c>
      <c r="D236">
        <v>485.52</v>
      </c>
      <c r="E236">
        <v>0</v>
      </c>
      <c r="F236">
        <v>2.2400000000000002</v>
      </c>
      <c r="G236" t="s">
        <v>850</v>
      </c>
      <c r="H236" t="s">
        <v>851</v>
      </c>
      <c r="I236" t="s">
        <v>52</v>
      </c>
      <c r="J236" t="s">
        <v>53</v>
      </c>
      <c r="K236">
        <v>3700</v>
      </c>
      <c r="L236" t="s">
        <v>126</v>
      </c>
      <c r="M236">
        <f>DOWNLOAD_2kLRbPnDtawQopEJ_UKtt22ud9U57gk8mqebZIeugNk[[#This Row],[Standard Value]]</f>
        <v>3700</v>
      </c>
      <c r="N236">
        <f>-LOG(DOWNLOAD_2kLRbPnDtawQopEJ_UKtt22ud9U57gk8mqebZIeugNk[[#This Row],[IC50]]*POWER(10, -9), 10)</f>
        <v>5.4317982759330041</v>
      </c>
      <c r="O236">
        <v>5.43</v>
      </c>
      <c r="P236" t="s">
        <v>48</v>
      </c>
      <c r="Q236">
        <v>302793</v>
      </c>
      <c r="R236" t="s">
        <v>127</v>
      </c>
      <c r="S236">
        <v>11.19</v>
      </c>
      <c r="T236">
        <v>0.21</v>
      </c>
      <c r="U236">
        <v>3.19</v>
      </c>
      <c r="V236">
        <v>4.6399999999999997</v>
      </c>
      <c r="W236">
        <v>0</v>
      </c>
      <c r="X236" t="s">
        <v>251</v>
      </c>
      <c r="Y236" t="s">
        <v>252</v>
      </c>
      <c r="Z236" t="s">
        <v>58</v>
      </c>
      <c r="AA236" t="s">
        <v>59</v>
      </c>
      <c r="AB236" t="s">
        <v>60</v>
      </c>
      <c r="AC236" t="s">
        <v>61</v>
      </c>
      <c r="AD236" t="s">
        <v>49</v>
      </c>
      <c r="AE236" t="s">
        <v>49</v>
      </c>
      <c r="AF236" t="s">
        <v>49</v>
      </c>
      <c r="AG236" t="s">
        <v>49</v>
      </c>
      <c r="AH236" t="s">
        <v>48</v>
      </c>
      <c r="AI236" t="s">
        <v>48</v>
      </c>
      <c r="AJ236" t="s">
        <v>48</v>
      </c>
      <c r="AK236" t="s">
        <v>62</v>
      </c>
      <c r="AL236" t="s">
        <v>63</v>
      </c>
      <c r="AM236" t="s">
        <v>61</v>
      </c>
      <c r="AN236" t="s">
        <v>64</v>
      </c>
      <c r="AO236" t="s">
        <v>253</v>
      </c>
      <c r="AP236">
        <v>37</v>
      </c>
      <c r="AQ236" t="s">
        <v>254</v>
      </c>
      <c r="AR236" t="s">
        <v>48</v>
      </c>
      <c r="AS236">
        <v>2015</v>
      </c>
      <c r="AT236" t="s">
        <v>49</v>
      </c>
      <c r="AU236" t="s">
        <v>48</v>
      </c>
      <c r="AV236" t="s">
        <v>48</v>
      </c>
      <c r="AW236" t="s">
        <v>48</v>
      </c>
    </row>
    <row r="237" spans="1:49" x14ac:dyDescent="0.3">
      <c r="A237" t="s">
        <v>743</v>
      </c>
      <c r="B237" t="s">
        <v>48</v>
      </c>
      <c r="C237" t="s">
        <v>49</v>
      </c>
      <c r="D237">
        <v>402.38</v>
      </c>
      <c r="E237">
        <v>0</v>
      </c>
      <c r="F237">
        <v>1.17</v>
      </c>
      <c r="G237" t="s">
        <v>744</v>
      </c>
      <c r="H237" t="s">
        <v>745</v>
      </c>
      <c r="I237" t="s">
        <v>52</v>
      </c>
      <c r="J237" t="s">
        <v>53</v>
      </c>
      <c r="K237">
        <v>400</v>
      </c>
      <c r="L237" t="s">
        <v>126</v>
      </c>
      <c r="M237">
        <f>DOWNLOAD_2kLRbPnDtawQopEJ_UKtt22ud9U57gk8mqebZIeugNk[[#This Row],[Standard Value]]</f>
        <v>400</v>
      </c>
      <c r="N237">
        <f>-LOG(DOWNLOAD_2kLRbPnDtawQopEJ_UKtt22ud9U57gk8mqebZIeugNk[[#This Row],[IC50]]*POWER(10, -9), 10)</f>
        <v>6.3979400086720375</v>
      </c>
      <c r="O237">
        <v>6.4</v>
      </c>
      <c r="P237" t="s">
        <v>48</v>
      </c>
      <c r="Q237">
        <v>302767</v>
      </c>
      <c r="R237" t="s">
        <v>127</v>
      </c>
      <c r="S237">
        <v>15.9</v>
      </c>
      <c r="T237">
        <v>0.3</v>
      </c>
      <c r="U237">
        <v>5.23</v>
      </c>
      <c r="V237">
        <v>5.62</v>
      </c>
      <c r="W237">
        <v>0</v>
      </c>
      <c r="X237" t="s">
        <v>251</v>
      </c>
      <c r="Y237" t="s">
        <v>252</v>
      </c>
      <c r="Z237" t="s">
        <v>58</v>
      </c>
      <c r="AA237" t="s">
        <v>59</v>
      </c>
      <c r="AB237" t="s">
        <v>60</v>
      </c>
      <c r="AC237" t="s">
        <v>61</v>
      </c>
      <c r="AD237" t="s">
        <v>49</v>
      </c>
      <c r="AE237" t="s">
        <v>49</v>
      </c>
      <c r="AF237" t="s">
        <v>49</v>
      </c>
      <c r="AG237" t="s">
        <v>49</v>
      </c>
      <c r="AH237" t="s">
        <v>48</v>
      </c>
      <c r="AI237" t="s">
        <v>48</v>
      </c>
      <c r="AJ237" t="s">
        <v>48</v>
      </c>
      <c r="AK237" t="s">
        <v>62</v>
      </c>
      <c r="AL237" t="s">
        <v>63</v>
      </c>
      <c r="AM237" t="s">
        <v>61</v>
      </c>
      <c r="AN237" t="s">
        <v>64</v>
      </c>
      <c r="AO237" t="s">
        <v>253</v>
      </c>
      <c r="AP237">
        <v>37</v>
      </c>
      <c r="AQ237" t="s">
        <v>254</v>
      </c>
      <c r="AR237" t="s">
        <v>48</v>
      </c>
      <c r="AS237">
        <v>2015</v>
      </c>
      <c r="AT237" t="s">
        <v>49</v>
      </c>
      <c r="AU237" t="s">
        <v>48</v>
      </c>
      <c r="AV237" t="s">
        <v>48</v>
      </c>
      <c r="AW237" t="s">
        <v>48</v>
      </c>
    </row>
    <row r="238" spans="1:49" x14ac:dyDescent="0.3">
      <c r="A238" t="s">
        <v>852</v>
      </c>
      <c r="B238" t="s">
        <v>48</v>
      </c>
      <c r="C238" t="s">
        <v>49</v>
      </c>
      <c r="D238">
        <v>402.38</v>
      </c>
      <c r="E238">
        <v>0</v>
      </c>
      <c r="F238">
        <v>1.17</v>
      </c>
      <c r="G238" t="s">
        <v>853</v>
      </c>
      <c r="H238" t="s">
        <v>854</v>
      </c>
      <c r="I238" t="s">
        <v>52</v>
      </c>
      <c r="J238" t="s">
        <v>53</v>
      </c>
      <c r="K238">
        <v>83000</v>
      </c>
      <c r="L238" t="s">
        <v>126</v>
      </c>
      <c r="M238">
        <f>DOWNLOAD_2kLRbPnDtawQopEJ_UKtt22ud9U57gk8mqebZIeugNk[[#This Row],[Standard Value]]</f>
        <v>83000</v>
      </c>
      <c r="N238">
        <f>-LOG(DOWNLOAD_2kLRbPnDtawQopEJ_UKtt22ud9U57gk8mqebZIeugNk[[#This Row],[IC50]]*POWER(10, -9), 10)</f>
        <v>4.0809219076239254</v>
      </c>
      <c r="O238">
        <v>4.08</v>
      </c>
      <c r="P238" t="s">
        <v>48</v>
      </c>
      <c r="Q238">
        <v>302768</v>
      </c>
      <c r="R238" t="s">
        <v>127</v>
      </c>
      <c r="S238">
        <v>10.14</v>
      </c>
      <c r="T238">
        <v>0.19</v>
      </c>
      <c r="U238">
        <v>2.91</v>
      </c>
      <c r="V238">
        <v>3.59</v>
      </c>
      <c r="W238">
        <v>0</v>
      </c>
      <c r="X238" t="s">
        <v>251</v>
      </c>
      <c r="Y238" t="s">
        <v>252</v>
      </c>
      <c r="Z238" t="s">
        <v>58</v>
      </c>
      <c r="AA238" t="s">
        <v>59</v>
      </c>
      <c r="AB238" t="s">
        <v>60</v>
      </c>
      <c r="AC238" t="s">
        <v>61</v>
      </c>
      <c r="AD238" t="s">
        <v>49</v>
      </c>
      <c r="AE238" t="s">
        <v>49</v>
      </c>
      <c r="AF238" t="s">
        <v>49</v>
      </c>
      <c r="AG238" t="s">
        <v>49</v>
      </c>
      <c r="AH238" t="s">
        <v>48</v>
      </c>
      <c r="AI238" t="s">
        <v>48</v>
      </c>
      <c r="AJ238" t="s">
        <v>48</v>
      </c>
      <c r="AK238" t="s">
        <v>62</v>
      </c>
      <c r="AL238" t="s">
        <v>63</v>
      </c>
      <c r="AM238" t="s">
        <v>61</v>
      </c>
      <c r="AN238" t="s">
        <v>64</v>
      </c>
      <c r="AO238" t="s">
        <v>253</v>
      </c>
      <c r="AP238">
        <v>37</v>
      </c>
      <c r="AQ238" t="s">
        <v>254</v>
      </c>
      <c r="AR238" t="s">
        <v>48</v>
      </c>
      <c r="AS238">
        <v>2015</v>
      </c>
      <c r="AT238" t="s">
        <v>49</v>
      </c>
      <c r="AU238" t="s">
        <v>48</v>
      </c>
      <c r="AV238" t="s">
        <v>48</v>
      </c>
      <c r="AW238" t="s">
        <v>48</v>
      </c>
    </row>
    <row r="239" spans="1:49" x14ac:dyDescent="0.3">
      <c r="A239" t="s">
        <v>855</v>
      </c>
      <c r="B239" t="s">
        <v>48</v>
      </c>
      <c r="C239" t="s">
        <v>49</v>
      </c>
      <c r="D239">
        <v>487.93</v>
      </c>
      <c r="E239">
        <v>0</v>
      </c>
      <c r="F239">
        <v>2.5</v>
      </c>
      <c r="G239" t="s">
        <v>856</v>
      </c>
      <c r="H239" t="s">
        <v>857</v>
      </c>
      <c r="I239" t="s">
        <v>52</v>
      </c>
      <c r="J239" t="s">
        <v>53</v>
      </c>
      <c r="K239">
        <v>800</v>
      </c>
      <c r="L239" t="s">
        <v>126</v>
      </c>
      <c r="M239">
        <f>DOWNLOAD_2kLRbPnDtawQopEJ_UKtt22ud9U57gk8mqebZIeugNk[[#This Row],[Standard Value]]</f>
        <v>800</v>
      </c>
      <c r="N239">
        <f>-LOG(DOWNLOAD_2kLRbPnDtawQopEJ_UKtt22ud9U57gk8mqebZIeugNk[[#This Row],[IC50]]*POWER(10, -9), 10)</f>
        <v>6.0969100130080562</v>
      </c>
      <c r="O239">
        <v>6.1</v>
      </c>
      <c r="P239" t="s">
        <v>48</v>
      </c>
      <c r="Q239">
        <v>302807</v>
      </c>
      <c r="R239" t="s">
        <v>127</v>
      </c>
      <c r="S239">
        <v>12.5</v>
      </c>
      <c r="T239">
        <v>0.25</v>
      </c>
      <c r="U239">
        <v>3.6</v>
      </c>
      <c r="V239">
        <v>4.8099999999999996</v>
      </c>
      <c r="W239">
        <v>0</v>
      </c>
      <c r="X239" t="s">
        <v>251</v>
      </c>
      <c r="Y239" t="s">
        <v>252</v>
      </c>
      <c r="Z239" t="s">
        <v>58</v>
      </c>
      <c r="AA239" t="s">
        <v>59</v>
      </c>
      <c r="AB239" t="s">
        <v>60</v>
      </c>
      <c r="AC239" t="s">
        <v>61</v>
      </c>
      <c r="AD239" t="s">
        <v>49</v>
      </c>
      <c r="AE239" t="s">
        <v>49</v>
      </c>
      <c r="AF239" t="s">
        <v>49</v>
      </c>
      <c r="AG239" t="s">
        <v>49</v>
      </c>
      <c r="AH239" t="s">
        <v>48</v>
      </c>
      <c r="AI239" t="s">
        <v>48</v>
      </c>
      <c r="AJ239" t="s">
        <v>48</v>
      </c>
      <c r="AK239" t="s">
        <v>62</v>
      </c>
      <c r="AL239" t="s">
        <v>63</v>
      </c>
      <c r="AM239" t="s">
        <v>61</v>
      </c>
      <c r="AN239" t="s">
        <v>64</v>
      </c>
      <c r="AO239" t="s">
        <v>253</v>
      </c>
      <c r="AP239">
        <v>37</v>
      </c>
      <c r="AQ239" t="s">
        <v>254</v>
      </c>
      <c r="AR239" t="s">
        <v>48</v>
      </c>
      <c r="AS239">
        <v>2015</v>
      </c>
      <c r="AT239" t="s">
        <v>49</v>
      </c>
      <c r="AU239" t="s">
        <v>48</v>
      </c>
      <c r="AV239" t="s">
        <v>48</v>
      </c>
      <c r="AW239" t="s">
        <v>48</v>
      </c>
    </row>
    <row r="240" spans="1:49" x14ac:dyDescent="0.3">
      <c r="A240" t="s">
        <v>858</v>
      </c>
      <c r="B240" t="s">
        <v>48</v>
      </c>
      <c r="C240" t="s">
        <v>49</v>
      </c>
      <c r="D240">
        <v>481.9</v>
      </c>
      <c r="E240">
        <v>0</v>
      </c>
      <c r="F240">
        <v>2.4300000000000002</v>
      </c>
      <c r="G240" t="s">
        <v>859</v>
      </c>
      <c r="H240" t="s">
        <v>860</v>
      </c>
      <c r="I240" t="s">
        <v>52</v>
      </c>
      <c r="J240" t="s">
        <v>53</v>
      </c>
      <c r="K240">
        <v>1000</v>
      </c>
      <c r="L240" t="s">
        <v>126</v>
      </c>
      <c r="M240">
        <f>DOWNLOAD_2kLRbPnDtawQopEJ_UKtt22ud9U57gk8mqebZIeugNk[[#This Row],[Standard Value]]</f>
        <v>1000</v>
      </c>
      <c r="N240">
        <f>-LOG(DOWNLOAD_2kLRbPnDtawQopEJ_UKtt22ud9U57gk8mqebZIeugNk[[#This Row],[IC50]]*POWER(10, -9), 10)</f>
        <v>5.9999999999999991</v>
      </c>
      <c r="O240">
        <v>6</v>
      </c>
      <c r="P240" t="s">
        <v>48</v>
      </c>
      <c r="Q240">
        <v>302812</v>
      </c>
      <c r="R240" t="s">
        <v>127</v>
      </c>
      <c r="S240">
        <v>12.45</v>
      </c>
      <c r="T240">
        <v>0.24</v>
      </c>
      <c r="U240">
        <v>3.57</v>
      </c>
      <c r="V240">
        <v>4.74</v>
      </c>
      <c r="W240">
        <v>0</v>
      </c>
      <c r="X240" t="s">
        <v>251</v>
      </c>
      <c r="Y240" t="s">
        <v>252</v>
      </c>
      <c r="Z240" t="s">
        <v>58</v>
      </c>
      <c r="AA240" t="s">
        <v>59</v>
      </c>
      <c r="AB240" t="s">
        <v>60</v>
      </c>
      <c r="AC240" t="s">
        <v>61</v>
      </c>
      <c r="AD240" t="s">
        <v>49</v>
      </c>
      <c r="AE240" t="s">
        <v>49</v>
      </c>
      <c r="AF240" t="s">
        <v>49</v>
      </c>
      <c r="AG240" t="s">
        <v>49</v>
      </c>
      <c r="AH240" t="s">
        <v>48</v>
      </c>
      <c r="AI240" t="s">
        <v>48</v>
      </c>
      <c r="AJ240" t="s">
        <v>48</v>
      </c>
      <c r="AK240" t="s">
        <v>62</v>
      </c>
      <c r="AL240" t="s">
        <v>63</v>
      </c>
      <c r="AM240" t="s">
        <v>61</v>
      </c>
      <c r="AN240" t="s">
        <v>64</v>
      </c>
      <c r="AO240" t="s">
        <v>253</v>
      </c>
      <c r="AP240">
        <v>37</v>
      </c>
      <c r="AQ240" t="s">
        <v>254</v>
      </c>
      <c r="AR240" t="s">
        <v>48</v>
      </c>
      <c r="AS240">
        <v>2015</v>
      </c>
      <c r="AT240" t="s">
        <v>49</v>
      </c>
      <c r="AU240" t="s">
        <v>48</v>
      </c>
      <c r="AV240" t="s">
        <v>48</v>
      </c>
      <c r="AW240" t="s">
        <v>48</v>
      </c>
    </row>
    <row r="241" spans="1:49" x14ac:dyDescent="0.3">
      <c r="A241" t="s">
        <v>861</v>
      </c>
      <c r="B241" t="s">
        <v>48</v>
      </c>
      <c r="C241" t="s">
        <v>49</v>
      </c>
      <c r="D241">
        <v>469.43</v>
      </c>
      <c r="E241">
        <v>0</v>
      </c>
      <c r="F241">
        <v>1.82</v>
      </c>
      <c r="G241" t="s">
        <v>862</v>
      </c>
      <c r="H241" t="s">
        <v>863</v>
      </c>
      <c r="I241" t="s">
        <v>52</v>
      </c>
      <c r="J241" t="s">
        <v>53</v>
      </c>
      <c r="K241">
        <v>400</v>
      </c>
      <c r="L241" t="s">
        <v>126</v>
      </c>
      <c r="M241">
        <f>DOWNLOAD_2kLRbPnDtawQopEJ_UKtt22ud9U57gk8mqebZIeugNk[[#This Row],[Standard Value]]</f>
        <v>400</v>
      </c>
      <c r="N241">
        <f>-LOG(DOWNLOAD_2kLRbPnDtawQopEJ_UKtt22ud9U57gk8mqebZIeugNk[[#This Row],[IC50]]*POWER(10, -9), 10)</f>
        <v>6.3979400086720375</v>
      </c>
      <c r="O241">
        <v>6.4</v>
      </c>
      <c r="P241" t="s">
        <v>48</v>
      </c>
      <c r="Q241">
        <v>302834</v>
      </c>
      <c r="R241" t="s">
        <v>127</v>
      </c>
      <c r="S241">
        <v>13.63</v>
      </c>
      <c r="T241">
        <v>0.26</v>
      </c>
      <c r="U241">
        <v>4.58</v>
      </c>
      <c r="V241">
        <v>4.58</v>
      </c>
      <c r="W241">
        <v>0</v>
      </c>
      <c r="X241" t="s">
        <v>251</v>
      </c>
      <c r="Y241" t="s">
        <v>252</v>
      </c>
      <c r="Z241" t="s">
        <v>58</v>
      </c>
      <c r="AA241" t="s">
        <v>59</v>
      </c>
      <c r="AB241" t="s">
        <v>60</v>
      </c>
      <c r="AC241" t="s">
        <v>61</v>
      </c>
      <c r="AD241" t="s">
        <v>49</v>
      </c>
      <c r="AE241" t="s">
        <v>49</v>
      </c>
      <c r="AF241" t="s">
        <v>49</v>
      </c>
      <c r="AG241" t="s">
        <v>49</v>
      </c>
      <c r="AH241" t="s">
        <v>48</v>
      </c>
      <c r="AI241" t="s">
        <v>48</v>
      </c>
      <c r="AJ241" t="s">
        <v>48</v>
      </c>
      <c r="AK241" t="s">
        <v>62</v>
      </c>
      <c r="AL241" t="s">
        <v>63</v>
      </c>
      <c r="AM241" t="s">
        <v>61</v>
      </c>
      <c r="AN241" t="s">
        <v>64</v>
      </c>
      <c r="AO241" t="s">
        <v>253</v>
      </c>
      <c r="AP241">
        <v>37</v>
      </c>
      <c r="AQ241" t="s">
        <v>254</v>
      </c>
      <c r="AR241" t="s">
        <v>48</v>
      </c>
      <c r="AS241">
        <v>2015</v>
      </c>
      <c r="AT241" t="s">
        <v>49</v>
      </c>
      <c r="AU241" t="s">
        <v>48</v>
      </c>
      <c r="AV241" t="s">
        <v>48</v>
      </c>
      <c r="AW241" t="s">
        <v>48</v>
      </c>
    </row>
    <row r="242" spans="1:49" x14ac:dyDescent="0.3">
      <c r="A242" t="s">
        <v>864</v>
      </c>
      <c r="B242" t="s">
        <v>48</v>
      </c>
      <c r="C242" t="s">
        <v>49</v>
      </c>
      <c r="D242">
        <v>468.45</v>
      </c>
      <c r="E242">
        <v>0</v>
      </c>
      <c r="F242">
        <v>1.26</v>
      </c>
      <c r="G242" t="s">
        <v>865</v>
      </c>
      <c r="H242" t="s">
        <v>866</v>
      </c>
      <c r="I242" t="s">
        <v>52</v>
      </c>
      <c r="J242" t="s">
        <v>53</v>
      </c>
      <c r="K242">
        <v>17000</v>
      </c>
      <c r="L242" t="s">
        <v>126</v>
      </c>
      <c r="M242">
        <f>DOWNLOAD_2kLRbPnDtawQopEJ_UKtt22ud9U57gk8mqebZIeugNk[[#This Row],[Standard Value]]</f>
        <v>17000</v>
      </c>
      <c r="N242">
        <f>-LOG(DOWNLOAD_2kLRbPnDtawQopEJ_UKtt22ud9U57gk8mqebZIeugNk[[#This Row],[IC50]]*POWER(10, -9), 10)</f>
        <v>4.7695510786217259</v>
      </c>
      <c r="O242">
        <v>4.7699999999999996</v>
      </c>
      <c r="P242" t="s">
        <v>48</v>
      </c>
      <c r="Q242">
        <v>302837</v>
      </c>
      <c r="R242" t="s">
        <v>127</v>
      </c>
      <c r="S242">
        <v>10.18</v>
      </c>
      <c r="T242">
        <v>0.19</v>
      </c>
      <c r="U242">
        <v>3.51</v>
      </c>
      <c r="V242">
        <v>3.62</v>
      </c>
      <c r="W242">
        <v>0</v>
      </c>
      <c r="X242" t="s">
        <v>251</v>
      </c>
      <c r="Y242" t="s">
        <v>252</v>
      </c>
      <c r="Z242" t="s">
        <v>58</v>
      </c>
      <c r="AA242" t="s">
        <v>59</v>
      </c>
      <c r="AB242" t="s">
        <v>60</v>
      </c>
      <c r="AC242" t="s">
        <v>61</v>
      </c>
      <c r="AD242" t="s">
        <v>49</v>
      </c>
      <c r="AE242" t="s">
        <v>49</v>
      </c>
      <c r="AF242" t="s">
        <v>49</v>
      </c>
      <c r="AG242" t="s">
        <v>49</v>
      </c>
      <c r="AH242" t="s">
        <v>48</v>
      </c>
      <c r="AI242" t="s">
        <v>48</v>
      </c>
      <c r="AJ242" t="s">
        <v>48</v>
      </c>
      <c r="AK242" t="s">
        <v>62</v>
      </c>
      <c r="AL242" t="s">
        <v>63</v>
      </c>
      <c r="AM242" t="s">
        <v>61</v>
      </c>
      <c r="AN242" t="s">
        <v>64</v>
      </c>
      <c r="AO242" t="s">
        <v>253</v>
      </c>
      <c r="AP242">
        <v>37</v>
      </c>
      <c r="AQ242" t="s">
        <v>254</v>
      </c>
      <c r="AR242" t="s">
        <v>48</v>
      </c>
      <c r="AS242">
        <v>2015</v>
      </c>
      <c r="AT242" t="s">
        <v>49</v>
      </c>
      <c r="AU242" t="s">
        <v>48</v>
      </c>
      <c r="AV242" t="s">
        <v>48</v>
      </c>
      <c r="AW242" t="s">
        <v>48</v>
      </c>
    </row>
    <row r="243" spans="1:49" x14ac:dyDescent="0.3">
      <c r="A243" t="s">
        <v>867</v>
      </c>
      <c r="B243" t="s">
        <v>48</v>
      </c>
      <c r="C243" t="s">
        <v>49</v>
      </c>
      <c r="D243">
        <v>469.43</v>
      </c>
      <c r="E243">
        <v>0</v>
      </c>
      <c r="F243">
        <v>0.5</v>
      </c>
      <c r="G243" t="s">
        <v>868</v>
      </c>
      <c r="H243" t="s">
        <v>869</v>
      </c>
      <c r="I243" t="s">
        <v>52</v>
      </c>
      <c r="J243" t="s">
        <v>53</v>
      </c>
      <c r="K243">
        <v>3000</v>
      </c>
      <c r="L243" t="s">
        <v>126</v>
      </c>
      <c r="M243">
        <f>DOWNLOAD_2kLRbPnDtawQopEJ_UKtt22ud9U57gk8mqebZIeugNk[[#This Row],[Standard Value]]</f>
        <v>3000</v>
      </c>
      <c r="N243">
        <f>-LOG(DOWNLOAD_2kLRbPnDtawQopEJ_UKtt22ud9U57gk8mqebZIeugNk[[#This Row],[IC50]]*POWER(10, -9), 10)</f>
        <v>5.5228787452803374</v>
      </c>
      <c r="O243">
        <v>5.52</v>
      </c>
      <c r="P243" t="s">
        <v>48</v>
      </c>
      <c r="Q243">
        <v>302849</v>
      </c>
      <c r="R243" t="s">
        <v>127</v>
      </c>
      <c r="S243">
        <v>11.77</v>
      </c>
      <c r="T243">
        <v>0.22</v>
      </c>
      <c r="U243">
        <v>5.0199999999999996</v>
      </c>
      <c r="V243">
        <v>3.82</v>
      </c>
      <c r="W243">
        <v>0</v>
      </c>
      <c r="X243" t="s">
        <v>251</v>
      </c>
      <c r="Y243" t="s">
        <v>252</v>
      </c>
      <c r="Z243" t="s">
        <v>58</v>
      </c>
      <c r="AA243" t="s">
        <v>59</v>
      </c>
      <c r="AB243" t="s">
        <v>60</v>
      </c>
      <c r="AC243" t="s">
        <v>61</v>
      </c>
      <c r="AD243" t="s">
        <v>49</v>
      </c>
      <c r="AE243" t="s">
        <v>49</v>
      </c>
      <c r="AF243" t="s">
        <v>49</v>
      </c>
      <c r="AG243" t="s">
        <v>49</v>
      </c>
      <c r="AH243" t="s">
        <v>48</v>
      </c>
      <c r="AI243" t="s">
        <v>48</v>
      </c>
      <c r="AJ243" t="s">
        <v>48</v>
      </c>
      <c r="AK243" t="s">
        <v>62</v>
      </c>
      <c r="AL243" t="s">
        <v>63</v>
      </c>
      <c r="AM243" t="s">
        <v>61</v>
      </c>
      <c r="AN243" t="s">
        <v>64</v>
      </c>
      <c r="AO243" t="s">
        <v>253</v>
      </c>
      <c r="AP243">
        <v>37</v>
      </c>
      <c r="AQ243" t="s">
        <v>254</v>
      </c>
      <c r="AR243" t="s">
        <v>48</v>
      </c>
      <c r="AS243">
        <v>2015</v>
      </c>
      <c r="AT243" t="s">
        <v>49</v>
      </c>
      <c r="AU243" t="s">
        <v>48</v>
      </c>
      <c r="AV243" t="s">
        <v>48</v>
      </c>
      <c r="AW243" t="s">
        <v>48</v>
      </c>
    </row>
    <row r="244" spans="1:49" x14ac:dyDescent="0.3">
      <c r="A244" t="s">
        <v>281</v>
      </c>
      <c r="B244" t="s">
        <v>282</v>
      </c>
      <c r="C244" t="s">
        <v>112</v>
      </c>
      <c r="D244">
        <v>331.35</v>
      </c>
      <c r="E244">
        <v>0</v>
      </c>
      <c r="F244">
        <v>1.58</v>
      </c>
      <c r="G244" t="s">
        <v>870</v>
      </c>
      <c r="H244" t="s">
        <v>284</v>
      </c>
      <c r="I244" t="s">
        <v>52</v>
      </c>
      <c r="J244" t="s">
        <v>53</v>
      </c>
      <c r="K244">
        <v>0.68</v>
      </c>
      <c r="L244" t="s">
        <v>54</v>
      </c>
      <c r="M244">
        <f>DOWNLOAD_2kLRbPnDtawQopEJ_UKtt22ud9U57gk8mqebZIeugNk[[#This Row],[Standard Value]]/DOWNLOAD_2kLRbPnDtawQopEJ_UKtt22ud9U57gk8mqebZIeugNk[[#This Row],[Molecular Weight]]*1000*1000</f>
        <v>2052.2106533876563</v>
      </c>
      <c r="N244">
        <f>-LOG(DOWNLOAD_2kLRbPnDtawQopEJ_UKtt22ud9U57gk8mqebZIeugNk[[#This Row],[IC50]]*POWER(10, -9), 10)</f>
        <v>5.6877780622208798</v>
      </c>
      <c r="P244" t="s">
        <v>48</v>
      </c>
      <c r="R244" t="s">
        <v>55</v>
      </c>
      <c r="W244">
        <v>0</v>
      </c>
      <c r="X244" t="s">
        <v>135</v>
      </c>
      <c r="Y244" t="s">
        <v>136</v>
      </c>
      <c r="Z244" t="s">
        <v>58</v>
      </c>
      <c r="AA244" t="s">
        <v>59</v>
      </c>
      <c r="AB244" t="s">
        <v>60</v>
      </c>
      <c r="AC244" t="s">
        <v>61</v>
      </c>
      <c r="AD244" t="s">
        <v>49</v>
      </c>
      <c r="AE244" t="s">
        <v>49</v>
      </c>
      <c r="AF244" t="s">
        <v>49</v>
      </c>
      <c r="AG244" t="s">
        <v>49</v>
      </c>
      <c r="AH244" t="s">
        <v>48</v>
      </c>
      <c r="AI244" t="s">
        <v>48</v>
      </c>
      <c r="AJ244" t="s">
        <v>48</v>
      </c>
      <c r="AK244" t="s">
        <v>62</v>
      </c>
      <c r="AL244" t="s">
        <v>63</v>
      </c>
      <c r="AM244" t="s">
        <v>61</v>
      </c>
      <c r="AN244" t="s">
        <v>64</v>
      </c>
      <c r="AO244" t="s">
        <v>137</v>
      </c>
      <c r="AP244">
        <v>1</v>
      </c>
      <c r="AQ244" t="s">
        <v>66</v>
      </c>
      <c r="AR244" t="s">
        <v>67</v>
      </c>
      <c r="AS244">
        <v>1996</v>
      </c>
      <c r="AT244" t="s">
        <v>49</v>
      </c>
      <c r="AU244" t="s">
        <v>48</v>
      </c>
      <c r="AV244" t="s">
        <v>48</v>
      </c>
      <c r="AW244" t="s">
        <v>48</v>
      </c>
    </row>
    <row r="245" spans="1:49" x14ac:dyDescent="0.3">
      <c r="A245" t="s">
        <v>871</v>
      </c>
      <c r="B245" t="s">
        <v>48</v>
      </c>
      <c r="C245" t="s">
        <v>49</v>
      </c>
      <c r="D245">
        <v>538.41</v>
      </c>
      <c r="E245">
        <v>2</v>
      </c>
      <c r="F245">
        <v>3.15</v>
      </c>
      <c r="G245" t="s">
        <v>203</v>
      </c>
      <c r="H245" t="s">
        <v>872</v>
      </c>
      <c r="I245" t="s">
        <v>52</v>
      </c>
      <c r="J245" t="s">
        <v>53</v>
      </c>
      <c r="K245">
        <v>58</v>
      </c>
      <c r="L245" t="s">
        <v>126</v>
      </c>
      <c r="M245">
        <f>DOWNLOAD_2kLRbPnDtawQopEJ_UKtt22ud9U57gk8mqebZIeugNk[[#This Row],[Standard Value]]</f>
        <v>58</v>
      </c>
      <c r="N245">
        <f>-LOG(DOWNLOAD_2kLRbPnDtawQopEJ_UKtt22ud9U57gk8mqebZIeugNk[[#This Row],[IC50]]*POWER(10, -9), 10)</f>
        <v>7.2365720064370622</v>
      </c>
      <c r="O245">
        <v>7.24</v>
      </c>
      <c r="P245" t="s">
        <v>48</v>
      </c>
      <c r="R245" t="s">
        <v>127</v>
      </c>
      <c r="S245">
        <v>13.44</v>
      </c>
      <c r="T245">
        <v>0.28000000000000003</v>
      </c>
      <c r="U245">
        <v>4.09</v>
      </c>
      <c r="V245">
        <v>4.63</v>
      </c>
      <c r="W245">
        <v>0</v>
      </c>
      <c r="X245" t="s">
        <v>873</v>
      </c>
      <c r="Y245" t="s">
        <v>874</v>
      </c>
      <c r="Z245" t="s">
        <v>58</v>
      </c>
      <c r="AA245" t="s">
        <v>59</v>
      </c>
      <c r="AB245" t="s">
        <v>60</v>
      </c>
      <c r="AC245" t="s">
        <v>61</v>
      </c>
      <c r="AD245" t="s">
        <v>49</v>
      </c>
      <c r="AE245" t="s">
        <v>49</v>
      </c>
      <c r="AF245" t="s">
        <v>49</v>
      </c>
      <c r="AG245" t="s">
        <v>49</v>
      </c>
      <c r="AH245" t="s">
        <v>48</v>
      </c>
      <c r="AI245" t="s">
        <v>48</v>
      </c>
      <c r="AJ245" t="s">
        <v>48</v>
      </c>
      <c r="AK245" t="s">
        <v>62</v>
      </c>
      <c r="AL245" t="s">
        <v>63</v>
      </c>
      <c r="AM245" t="s">
        <v>61</v>
      </c>
      <c r="AN245" t="s">
        <v>64</v>
      </c>
      <c r="AO245" t="s">
        <v>875</v>
      </c>
      <c r="AP245">
        <v>1</v>
      </c>
      <c r="AQ245" t="s">
        <v>66</v>
      </c>
      <c r="AR245" t="s">
        <v>76</v>
      </c>
      <c r="AS245">
        <v>2023</v>
      </c>
      <c r="AT245" t="s">
        <v>49</v>
      </c>
      <c r="AU245" t="s">
        <v>876</v>
      </c>
      <c r="AV245" t="s">
        <v>269</v>
      </c>
      <c r="AW245" t="s">
        <v>48</v>
      </c>
    </row>
    <row r="246" spans="1:49" x14ac:dyDescent="0.3">
      <c r="A246" t="s">
        <v>834</v>
      </c>
      <c r="B246" t="s">
        <v>48</v>
      </c>
      <c r="C246" t="s">
        <v>49</v>
      </c>
      <c r="D246">
        <v>488.12</v>
      </c>
      <c r="E246">
        <v>0</v>
      </c>
      <c r="F246">
        <v>3.42</v>
      </c>
      <c r="G246" t="s">
        <v>720</v>
      </c>
      <c r="H246" t="s">
        <v>835</v>
      </c>
      <c r="I246" t="s">
        <v>52</v>
      </c>
      <c r="J246" t="s">
        <v>53</v>
      </c>
      <c r="K246">
        <v>58</v>
      </c>
      <c r="L246" t="s">
        <v>126</v>
      </c>
      <c r="M246">
        <f>DOWNLOAD_2kLRbPnDtawQopEJ_UKtt22ud9U57gk8mqebZIeugNk[[#This Row],[Standard Value]]</f>
        <v>58</v>
      </c>
      <c r="N246">
        <f>-LOG(DOWNLOAD_2kLRbPnDtawQopEJ_UKtt22ud9U57gk8mqebZIeugNk[[#This Row],[IC50]]*POWER(10, -9), 10)</f>
        <v>7.2365720064370622</v>
      </c>
      <c r="O246">
        <v>7.24</v>
      </c>
      <c r="P246" t="s">
        <v>48</v>
      </c>
      <c r="R246" t="s">
        <v>127</v>
      </c>
      <c r="S246">
        <v>14.83</v>
      </c>
      <c r="T246">
        <v>0.4</v>
      </c>
      <c r="U246">
        <v>3.82</v>
      </c>
      <c r="V246">
        <v>5.83</v>
      </c>
      <c r="W246">
        <v>1</v>
      </c>
      <c r="X246" t="s">
        <v>877</v>
      </c>
      <c r="Y246" t="s">
        <v>878</v>
      </c>
      <c r="Z246" t="s">
        <v>58</v>
      </c>
      <c r="AA246" t="s">
        <v>59</v>
      </c>
      <c r="AB246" t="s">
        <v>60</v>
      </c>
      <c r="AC246" t="s">
        <v>61</v>
      </c>
      <c r="AD246" t="s">
        <v>49</v>
      </c>
      <c r="AE246" t="s">
        <v>49</v>
      </c>
      <c r="AF246" t="s">
        <v>49</v>
      </c>
      <c r="AG246" t="s">
        <v>49</v>
      </c>
      <c r="AH246" t="s">
        <v>48</v>
      </c>
      <c r="AI246" t="s">
        <v>48</v>
      </c>
      <c r="AJ246" t="s">
        <v>48</v>
      </c>
      <c r="AK246" t="s">
        <v>62</v>
      </c>
      <c r="AL246" t="s">
        <v>63</v>
      </c>
      <c r="AM246" t="s">
        <v>61</v>
      </c>
      <c r="AN246" t="s">
        <v>64</v>
      </c>
      <c r="AO246" t="s">
        <v>879</v>
      </c>
      <c r="AP246">
        <v>1</v>
      </c>
      <c r="AQ246" t="s">
        <v>66</v>
      </c>
      <c r="AR246" t="s">
        <v>131</v>
      </c>
      <c r="AS246">
        <v>2020</v>
      </c>
      <c r="AT246" t="s">
        <v>49</v>
      </c>
      <c r="AU246" t="s">
        <v>48</v>
      </c>
      <c r="AV246" t="s">
        <v>269</v>
      </c>
      <c r="AW246" t="s">
        <v>48</v>
      </c>
    </row>
    <row r="247" spans="1:49" x14ac:dyDescent="0.3">
      <c r="A247" t="s">
        <v>880</v>
      </c>
      <c r="B247" t="s">
        <v>48</v>
      </c>
      <c r="C247" t="s">
        <v>49</v>
      </c>
      <c r="D247">
        <v>366.38</v>
      </c>
      <c r="E247">
        <v>0</v>
      </c>
      <c r="F247">
        <v>2.89</v>
      </c>
      <c r="G247" t="s">
        <v>324</v>
      </c>
      <c r="H247" t="s">
        <v>881</v>
      </c>
      <c r="I247" t="s">
        <v>52</v>
      </c>
      <c r="J247" t="s">
        <v>53</v>
      </c>
      <c r="K247">
        <v>8400</v>
      </c>
      <c r="L247" t="s">
        <v>126</v>
      </c>
      <c r="M247">
        <f>DOWNLOAD_2kLRbPnDtawQopEJ_UKtt22ud9U57gk8mqebZIeugNk[[#This Row],[Standard Value]]</f>
        <v>8400</v>
      </c>
      <c r="N247">
        <f>-LOG(DOWNLOAD_2kLRbPnDtawQopEJ_UKtt22ud9U57gk8mqebZIeugNk[[#This Row],[IC50]]*POWER(10, -9), 10)</f>
        <v>5.0757207139381171</v>
      </c>
      <c r="O247">
        <v>5.08</v>
      </c>
      <c r="P247" t="s">
        <v>48</v>
      </c>
      <c r="R247" t="s">
        <v>127</v>
      </c>
      <c r="S247">
        <v>13.85</v>
      </c>
      <c r="T247">
        <v>0.26</v>
      </c>
      <c r="U247">
        <v>2.19</v>
      </c>
      <c r="V247">
        <v>4.4800000000000004</v>
      </c>
      <c r="W247">
        <v>0</v>
      </c>
      <c r="X247" t="s">
        <v>128</v>
      </c>
      <c r="Y247" t="s">
        <v>129</v>
      </c>
      <c r="Z247" t="s">
        <v>58</v>
      </c>
      <c r="AA247" t="s">
        <v>59</v>
      </c>
      <c r="AB247" t="s">
        <v>60</v>
      </c>
      <c r="AC247" t="s">
        <v>61</v>
      </c>
      <c r="AD247" t="s">
        <v>49</v>
      </c>
      <c r="AE247" t="s">
        <v>49</v>
      </c>
      <c r="AF247" t="s">
        <v>49</v>
      </c>
      <c r="AG247" t="s">
        <v>49</v>
      </c>
      <c r="AH247" t="s">
        <v>48</v>
      </c>
      <c r="AI247" t="s">
        <v>48</v>
      </c>
      <c r="AJ247" t="s">
        <v>48</v>
      </c>
      <c r="AK247" t="s">
        <v>62</v>
      </c>
      <c r="AL247" t="s">
        <v>63</v>
      </c>
      <c r="AM247" t="s">
        <v>61</v>
      </c>
      <c r="AN247" t="s">
        <v>64</v>
      </c>
      <c r="AO247" t="s">
        <v>130</v>
      </c>
      <c r="AP247">
        <v>1</v>
      </c>
      <c r="AQ247" t="s">
        <v>66</v>
      </c>
      <c r="AR247" t="s">
        <v>131</v>
      </c>
      <c r="AS247">
        <v>2014</v>
      </c>
      <c r="AT247" t="s">
        <v>49</v>
      </c>
      <c r="AU247" t="s">
        <v>48</v>
      </c>
      <c r="AV247" t="s">
        <v>48</v>
      </c>
      <c r="AW247" t="s">
        <v>48</v>
      </c>
    </row>
    <row r="248" spans="1:49" x14ac:dyDescent="0.3">
      <c r="A248" t="s">
        <v>882</v>
      </c>
      <c r="B248" t="s">
        <v>48</v>
      </c>
      <c r="C248" t="s">
        <v>49</v>
      </c>
      <c r="D248">
        <v>402.38</v>
      </c>
      <c r="E248">
        <v>0</v>
      </c>
      <c r="F248">
        <v>1.17</v>
      </c>
      <c r="G248" t="s">
        <v>883</v>
      </c>
      <c r="H248" t="s">
        <v>884</v>
      </c>
      <c r="I248" t="s">
        <v>52</v>
      </c>
      <c r="J248" t="s">
        <v>53</v>
      </c>
      <c r="K248">
        <v>0.38</v>
      </c>
      <c r="L248" t="s">
        <v>126</v>
      </c>
      <c r="M248">
        <f>DOWNLOAD_2kLRbPnDtawQopEJ_UKtt22ud9U57gk8mqebZIeugNk[[#This Row],[Standard Value]]</f>
        <v>0.38</v>
      </c>
      <c r="N248">
        <f>-LOG(DOWNLOAD_2kLRbPnDtawQopEJ_UKtt22ud9U57gk8mqebZIeugNk[[#This Row],[IC50]]*POWER(10, -9), 10)</f>
        <v>9.4202164033831899</v>
      </c>
      <c r="O248">
        <v>9.42</v>
      </c>
      <c r="P248" t="s">
        <v>48</v>
      </c>
      <c r="R248" t="s">
        <v>127</v>
      </c>
      <c r="S248">
        <v>23.41</v>
      </c>
      <c r="T248">
        <v>0.44</v>
      </c>
      <c r="U248">
        <v>8.25</v>
      </c>
      <c r="V248">
        <v>8.2799999999999994</v>
      </c>
      <c r="W248">
        <v>0</v>
      </c>
      <c r="X248" t="s">
        <v>519</v>
      </c>
      <c r="Y248" t="s">
        <v>520</v>
      </c>
      <c r="Z248" t="s">
        <v>58</v>
      </c>
      <c r="AA248" t="s">
        <v>59</v>
      </c>
      <c r="AB248" t="s">
        <v>60</v>
      </c>
      <c r="AC248" t="s">
        <v>61</v>
      </c>
      <c r="AD248" t="s">
        <v>49</v>
      </c>
      <c r="AE248" t="s">
        <v>49</v>
      </c>
      <c r="AF248" t="s">
        <v>49</v>
      </c>
      <c r="AG248" t="s">
        <v>49</v>
      </c>
      <c r="AH248" t="s">
        <v>48</v>
      </c>
      <c r="AI248" t="s">
        <v>48</v>
      </c>
      <c r="AJ248" t="s">
        <v>48</v>
      </c>
      <c r="AK248" t="s">
        <v>62</v>
      </c>
      <c r="AL248" t="s">
        <v>63</v>
      </c>
      <c r="AM248" t="s">
        <v>61</v>
      </c>
      <c r="AN248" t="s">
        <v>64</v>
      </c>
      <c r="AO248" t="s">
        <v>521</v>
      </c>
      <c r="AP248">
        <v>1</v>
      </c>
      <c r="AQ248" t="s">
        <v>66</v>
      </c>
      <c r="AR248" t="s">
        <v>67</v>
      </c>
      <c r="AS248">
        <v>2014</v>
      </c>
      <c r="AT248" t="s">
        <v>49</v>
      </c>
      <c r="AU248" t="s">
        <v>48</v>
      </c>
      <c r="AV248" t="s">
        <v>48</v>
      </c>
      <c r="AW248" t="s">
        <v>48</v>
      </c>
    </row>
    <row r="249" spans="1:49" x14ac:dyDescent="0.3">
      <c r="A249" t="s">
        <v>885</v>
      </c>
      <c r="B249" t="s">
        <v>48</v>
      </c>
      <c r="C249" t="s">
        <v>49</v>
      </c>
      <c r="D249">
        <v>309.33</v>
      </c>
      <c r="E249">
        <v>0</v>
      </c>
      <c r="F249">
        <v>2.35</v>
      </c>
      <c r="G249" t="s">
        <v>331</v>
      </c>
      <c r="H249" t="s">
        <v>886</v>
      </c>
      <c r="I249" t="s">
        <v>52</v>
      </c>
      <c r="J249" t="s">
        <v>53</v>
      </c>
      <c r="K249">
        <v>3800</v>
      </c>
      <c r="L249" t="s">
        <v>126</v>
      </c>
      <c r="M249">
        <f>DOWNLOAD_2kLRbPnDtawQopEJ_UKtt22ud9U57gk8mqebZIeugNk[[#This Row],[Standard Value]]</f>
        <v>3800</v>
      </c>
      <c r="N249">
        <f>-LOG(DOWNLOAD_2kLRbPnDtawQopEJ_UKtt22ud9U57gk8mqebZIeugNk[[#This Row],[IC50]]*POWER(10, -9), 10)</f>
        <v>5.4202164033831899</v>
      </c>
      <c r="O249">
        <v>5.42</v>
      </c>
      <c r="P249" t="s">
        <v>48</v>
      </c>
      <c r="R249" t="s">
        <v>127</v>
      </c>
      <c r="S249">
        <v>17.52</v>
      </c>
      <c r="T249">
        <v>0.32</v>
      </c>
      <c r="U249">
        <v>3.07</v>
      </c>
      <c r="V249">
        <v>5.07</v>
      </c>
      <c r="W249">
        <v>0</v>
      </c>
      <c r="X249" t="s">
        <v>128</v>
      </c>
      <c r="Y249" t="s">
        <v>129</v>
      </c>
      <c r="Z249" t="s">
        <v>58</v>
      </c>
      <c r="AA249" t="s">
        <v>59</v>
      </c>
      <c r="AB249" t="s">
        <v>60</v>
      </c>
      <c r="AC249" t="s">
        <v>61</v>
      </c>
      <c r="AD249" t="s">
        <v>49</v>
      </c>
      <c r="AE249" t="s">
        <v>49</v>
      </c>
      <c r="AF249" t="s">
        <v>49</v>
      </c>
      <c r="AG249" t="s">
        <v>49</v>
      </c>
      <c r="AH249" t="s">
        <v>48</v>
      </c>
      <c r="AI249" t="s">
        <v>48</v>
      </c>
      <c r="AJ249" t="s">
        <v>48</v>
      </c>
      <c r="AK249" t="s">
        <v>62</v>
      </c>
      <c r="AL249" t="s">
        <v>63</v>
      </c>
      <c r="AM249" t="s">
        <v>61</v>
      </c>
      <c r="AN249" t="s">
        <v>64</v>
      </c>
      <c r="AO249" t="s">
        <v>130</v>
      </c>
      <c r="AP249">
        <v>1</v>
      </c>
      <c r="AQ249" t="s">
        <v>66</v>
      </c>
      <c r="AR249" t="s">
        <v>131</v>
      </c>
      <c r="AS249">
        <v>2014</v>
      </c>
      <c r="AT249" t="s">
        <v>49</v>
      </c>
      <c r="AU249" t="s">
        <v>48</v>
      </c>
      <c r="AV249" t="s">
        <v>48</v>
      </c>
      <c r="AW249" t="s">
        <v>48</v>
      </c>
    </row>
    <row r="250" spans="1:49" x14ac:dyDescent="0.3">
      <c r="A250" t="s">
        <v>887</v>
      </c>
      <c r="B250" t="s">
        <v>48</v>
      </c>
      <c r="C250" t="s">
        <v>49</v>
      </c>
      <c r="D250">
        <v>459.43</v>
      </c>
      <c r="E250">
        <v>0</v>
      </c>
      <c r="F250">
        <v>0.61</v>
      </c>
      <c r="G250" t="s">
        <v>888</v>
      </c>
      <c r="H250" t="s">
        <v>889</v>
      </c>
      <c r="I250" t="s">
        <v>52</v>
      </c>
      <c r="J250" t="s">
        <v>53</v>
      </c>
      <c r="K250">
        <v>1700</v>
      </c>
      <c r="L250" t="s">
        <v>126</v>
      </c>
      <c r="M250">
        <f>DOWNLOAD_2kLRbPnDtawQopEJ_UKtt22ud9U57gk8mqebZIeugNk[[#This Row],[Standard Value]]</f>
        <v>1700</v>
      </c>
      <c r="N250">
        <f>-LOG(DOWNLOAD_2kLRbPnDtawQopEJ_UKtt22ud9U57gk8mqebZIeugNk[[#This Row],[IC50]]*POWER(10, -9), 10)</f>
        <v>5.769551078621725</v>
      </c>
      <c r="O250">
        <v>5.77</v>
      </c>
      <c r="P250" t="s">
        <v>48</v>
      </c>
      <c r="Q250">
        <v>302910</v>
      </c>
      <c r="R250" t="s">
        <v>127</v>
      </c>
      <c r="S250">
        <v>12.56</v>
      </c>
      <c r="T250">
        <v>0.24</v>
      </c>
      <c r="U250">
        <v>5.16</v>
      </c>
      <c r="V250">
        <v>4.04</v>
      </c>
      <c r="W250">
        <v>0</v>
      </c>
      <c r="X250" t="s">
        <v>251</v>
      </c>
      <c r="Y250" t="s">
        <v>252</v>
      </c>
      <c r="Z250" t="s">
        <v>58</v>
      </c>
      <c r="AA250" t="s">
        <v>59</v>
      </c>
      <c r="AB250" t="s">
        <v>60</v>
      </c>
      <c r="AC250" t="s">
        <v>61</v>
      </c>
      <c r="AD250" t="s">
        <v>49</v>
      </c>
      <c r="AE250" t="s">
        <v>49</v>
      </c>
      <c r="AF250" t="s">
        <v>49</v>
      </c>
      <c r="AG250" t="s">
        <v>49</v>
      </c>
      <c r="AH250" t="s">
        <v>48</v>
      </c>
      <c r="AI250" t="s">
        <v>48</v>
      </c>
      <c r="AJ250" t="s">
        <v>48</v>
      </c>
      <c r="AK250" t="s">
        <v>62</v>
      </c>
      <c r="AL250" t="s">
        <v>63</v>
      </c>
      <c r="AM250" t="s">
        <v>61</v>
      </c>
      <c r="AN250" t="s">
        <v>64</v>
      </c>
      <c r="AO250" t="s">
        <v>253</v>
      </c>
      <c r="AP250">
        <v>37</v>
      </c>
      <c r="AQ250" t="s">
        <v>254</v>
      </c>
      <c r="AR250" t="s">
        <v>48</v>
      </c>
      <c r="AS250">
        <v>2015</v>
      </c>
      <c r="AT250" t="s">
        <v>49</v>
      </c>
      <c r="AU250" t="s">
        <v>48</v>
      </c>
      <c r="AV250" t="s">
        <v>48</v>
      </c>
      <c r="AW250" t="s">
        <v>48</v>
      </c>
    </row>
    <row r="251" spans="1:49" x14ac:dyDescent="0.3">
      <c r="A251" t="s">
        <v>890</v>
      </c>
      <c r="B251" t="s">
        <v>891</v>
      </c>
      <c r="C251" t="s">
        <v>112</v>
      </c>
      <c r="D251">
        <v>333.36</v>
      </c>
      <c r="E251">
        <v>0</v>
      </c>
      <c r="F251">
        <v>1.61</v>
      </c>
      <c r="G251" t="s">
        <v>892</v>
      </c>
      <c r="H251" t="s">
        <v>893</v>
      </c>
      <c r="I251" t="s">
        <v>52</v>
      </c>
      <c r="J251" t="s">
        <v>53</v>
      </c>
      <c r="K251">
        <v>5.5</v>
      </c>
      <c r="L251" t="s">
        <v>54</v>
      </c>
      <c r="M251">
        <f>DOWNLOAD_2kLRbPnDtawQopEJ_UKtt22ud9U57gk8mqebZIeugNk[[#This Row],[Standard Value]]/DOWNLOAD_2kLRbPnDtawQopEJ_UKtt22ud9U57gk8mqebZIeugNk[[#This Row],[Molecular Weight]]*1000*1000</f>
        <v>16498.680105591549</v>
      </c>
      <c r="N251">
        <f>-LOG(DOWNLOAD_2kLRbPnDtawQopEJ_UKtt22ud9U57gk8mqebZIeugNk[[#This Row],[IC50]]*POWER(10, -9), 10)</f>
        <v>4.7825507979549773</v>
      </c>
      <c r="P251" t="s">
        <v>48</v>
      </c>
      <c r="R251" t="s">
        <v>55</v>
      </c>
      <c r="W251">
        <v>0</v>
      </c>
      <c r="X251" t="s">
        <v>115</v>
      </c>
      <c r="Y251" t="s">
        <v>116</v>
      </c>
      <c r="Z251" t="s">
        <v>58</v>
      </c>
      <c r="AA251" t="s">
        <v>59</v>
      </c>
      <c r="AB251" t="s">
        <v>60</v>
      </c>
      <c r="AC251" t="s">
        <v>61</v>
      </c>
      <c r="AD251" t="s">
        <v>49</v>
      </c>
      <c r="AE251" t="s">
        <v>49</v>
      </c>
      <c r="AF251" t="s">
        <v>49</v>
      </c>
      <c r="AG251" t="s">
        <v>49</v>
      </c>
      <c r="AH251" t="s">
        <v>48</v>
      </c>
      <c r="AI251" t="s">
        <v>48</v>
      </c>
      <c r="AJ251" t="s">
        <v>48</v>
      </c>
      <c r="AK251" t="s">
        <v>62</v>
      </c>
      <c r="AL251" t="s">
        <v>63</v>
      </c>
      <c r="AM251" t="s">
        <v>61</v>
      </c>
      <c r="AN251" t="s">
        <v>64</v>
      </c>
      <c r="AO251" t="s">
        <v>117</v>
      </c>
      <c r="AP251">
        <v>1</v>
      </c>
      <c r="AQ251" t="s">
        <v>66</v>
      </c>
      <c r="AR251" t="s">
        <v>67</v>
      </c>
      <c r="AS251">
        <v>1986</v>
      </c>
      <c r="AT251" t="s">
        <v>49</v>
      </c>
      <c r="AU251" t="s">
        <v>48</v>
      </c>
      <c r="AV251" t="s">
        <v>48</v>
      </c>
      <c r="AW251" t="s">
        <v>48</v>
      </c>
    </row>
    <row r="252" spans="1:49" x14ac:dyDescent="0.3">
      <c r="A252" t="s">
        <v>762</v>
      </c>
      <c r="B252" t="s">
        <v>763</v>
      </c>
      <c r="C252" t="s">
        <v>112</v>
      </c>
      <c r="D252">
        <v>361.37</v>
      </c>
      <c r="E252">
        <v>0</v>
      </c>
      <c r="F252">
        <v>1.54</v>
      </c>
      <c r="G252" t="s">
        <v>894</v>
      </c>
      <c r="H252" t="s">
        <v>765</v>
      </c>
      <c r="I252" t="s">
        <v>52</v>
      </c>
      <c r="J252" t="s">
        <v>53</v>
      </c>
      <c r="K252">
        <v>1500</v>
      </c>
      <c r="L252" t="s">
        <v>126</v>
      </c>
      <c r="M252">
        <f>DOWNLOAD_2kLRbPnDtawQopEJ_UKtt22ud9U57gk8mqebZIeugNk[[#This Row],[Standard Value]]</f>
        <v>1500</v>
      </c>
      <c r="N252">
        <f>-LOG(DOWNLOAD_2kLRbPnDtawQopEJ_UKtt22ud9U57gk8mqebZIeugNk[[#This Row],[IC50]]*POWER(10, -9), 10)</f>
        <v>5.8239087409443187</v>
      </c>
      <c r="O252">
        <v>5.82</v>
      </c>
      <c r="P252" t="s">
        <v>48</v>
      </c>
      <c r="R252" t="s">
        <v>127</v>
      </c>
      <c r="S252">
        <v>16.12</v>
      </c>
      <c r="T252">
        <v>0.31</v>
      </c>
      <c r="U252">
        <v>4.28</v>
      </c>
      <c r="V252">
        <v>7.76</v>
      </c>
      <c r="W252">
        <v>0</v>
      </c>
      <c r="X252" t="s">
        <v>895</v>
      </c>
      <c r="Y252" t="s">
        <v>896</v>
      </c>
      <c r="Z252" t="s">
        <v>58</v>
      </c>
      <c r="AA252" t="s">
        <v>59</v>
      </c>
      <c r="AB252" t="s">
        <v>60</v>
      </c>
      <c r="AC252" t="s">
        <v>61</v>
      </c>
      <c r="AD252" t="s">
        <v>49</v>
      </c>
      <c r="AE252" t="s">
        <v>49</v>
      </c>
      <c r="AF252" t="s">
        <v>49</v>
      </c>
      <c r="AG252" t="s">
        <v>49</v>
      </c>
      <c r="AH252" t="s">
        <v>48</v>
      </c>
      <c r="AI252" t="s">
        <v>48</v>
      </c>
      <c r="AJ252" t="s">
        <v>48</v>
      </c>
      <c r="AK252" t="s">
        <v>62</v>
      </c>
      <c r="AL252" t="s">
        <v>63</v>
      </c>
      <c r="AM252" t="s">
        <v>61</v>
      </c>
      <c r="AN252" t="s">
        <v>64</v>
      </c>
      <c r="AO252" t="s">
        <v>897</v>
      </c>
      <c r="AP252">
        <v>1</v>
      </c>
      <c r="AQ252" t="s">
        <v>66</v>
      </c>
      <c r="AR252" t="s">
        <v>353</v>
      </c>
      <c r="AS252">
        <v>2008</v>
      </c>
      <c r="AT252" t="s">
        <v>49</v>
      </c>
      <c r="AU252" t="s">
        <v>48</v>
      </c>
      <c r="AV252" t="s">
        <v>48</v>
      </c>
      <c r="AW252" t="s">
        <v>48</v>
      </c>
    </row>
    <row r="253" spans="1:49" x14ac:dyDescent="0.3">
      <c r="A253" t="s">
        <v>181</v>
      </c>
      <c r="B253" t="s">
        <v>182</v>
      </c>
      <c r="C253" t="s">
        <v>112</v>
      </c>
      <c r="D253">
        <v>612.63</v>
      </c>
      <c r="E253">
        <v>2</v>
      </c>
      <c r="F253">
        <v>3.63</v>
      </c>
      <c r="G253" t="s">
        <v>898</v>
      </c>
      <c r="H253" t="s">
        <v>184</v>
      </c>
      <c r="I253" t="s">
        <v>52</v>
      </c>
      <c r="J253" t="s">
        <v>53</v>
      </c>
      <c r="K253">
        <v>0.25</v>
      </c>
      <c r="L253" t="s">
        <v>54</v>
      </c>
      <c r="M253">
        <f>DOWNLOAD_2kLRbPnDtawQopEJ_UKtt22ud9U57gk8mqebZIeugNk[[#This Row],[Standard Value]]/DOWNLOAD_2kLRbPnDtawQopEJ_UKtt22ud9U57gk8mqebZIeugNk[[#This Row],[Molecular Weight]]*1000*1000</f>
        <v>408.07665311852173</v>
      </c>
      <c r="N253">
        <f>-LOG(DOWNLOAD_2kLRbPnDtawQopEJ_UKtt22ud9U57gk8mqebZIeugNk[[#This Row],[IC50]]*POWER(10, -9), 10)</f>
        <v>6.389258251371885</v>
      </c>
      <c r="P253" t="s">
        <v>48</v>
      </c>
      <c r="R253" t="s">
        <v>55</v>
      </c>
      <c r="W253">
        <v>1</v>
      </c>
      <c r="X253" t="s">
        <v>121</v>
      </c>
      <c r="Y253" t="s">
        <v>87</v>
      </c>
      <c r="Z253" t="s">
        <v>58</v>
      </c>
      <c r="AA253" t="s">
        <v>59</v>
      </c>
      <c r="AB253" t="s">
        <v>60</v>
      </c>
      <c r="AC253" t="s">
        <v>61</v>
      </c>
      <c r="AD253" t="s">
        <v>49</v>
      </c>
      <c r="AE253" t="s">
        <v>49</v>
      </c>
      <c r="AF253" t="s">
        <v>49</v>
      </c>
      <c r="AG253" t="s">
        <v>49</v>
      </c>
      <c r="AH253" t="s">
        <v>48</v>
      </c>
      <c r="AI253" t="s">
        <v>48</v>
      </c>
      <c r="AJ253" t="s">
        <v>48</v>
      </c>
      <c r="AK253" t="s">
        <v>62</v>
      </c>
      <c r="AL253" t="s">
        <v>63</v>
      </c>
      <c r="AM253" t="s">
        <v>61</v>
      </c>
      <c r="AN253" t="s">
        <v>64</v>
      </c>
      <c r="AO253" t="s">
        <v>122</v>
      </c>
      <c r="AP253">
        <v>1</v>
      </c>
      <c r="AQ253" t="s">
        <v>66</v>
      </c>
      <c r="AR253" t="s">
        <v>76</v>
      </c>
      <c r="AS253">
        <v>2004</v>
      </c>
      <c r="AT253" t="s">
        <v>49</v>
      </c>
      <c r="AU253" t="s">
        <v>48</v>
      </c>
      <c r="AV253" t="s">
        <v>48</v>
      </c>
      <c r="AW253" t="s">
        <v>48</v>
      </c>
    </row>
    <row r="254" spans="1:49" x14ac:dyDescent="0.3">
      <c r="A254" t="s">
        <v>899</v>
      </c>
      <c r="B254" t="s">
        <v>900</v>
      </c>
      <c r="C254" t="s">
        <v>112</v>
      </c>
      <c r="D254">
        <v>320.32</v>
      </c>
      <c r="E254">
        <v>0</v>
      </c>
      <c r="F254">
        <v>0.66</v>
      </c>
      <c r="G254" t="s">
        <v>239</v>
      </c>
      <c r="H254" t="s">
        <v>901</v>
      </c>
      <c r="I254" t="s">
        <v>52</v>
      </c>
      <c r="J254" t="s">
        <v>53</v>
      </c>
      <c r="K254">
        <v>28</v>
      </c>
      <c r="L254" t="s">
        <v>54</v>
      </c>
      <c r="M254">
        <f>DOWNLOAD_2kLRbPnDtawQopEJ_UKtt22ud9U57gk8mqebZIeugNk[[#This Row],[Standard Value]]/DOWNLOAD_2kLRbPnDtawQopEJ_UKtt22ud9U57gk8mqebZIeugNk[[#This Row],[Molecular Weight]]*1000*1000</f>
        <v>87412.587412587411</v>
      </c>
      <c r="N254">
        <f>-LOG(DOWNLOAD_2kLRbPnDtawQopEJ_UKtt22ud9U57gk8mqebZIeugNk[[#This Row],[IC50]]*POWER(10, -9), 10)</f>
        <v>4.0584260244570043</v>
      </c>
      <c r="P254" t="s">
        <v>48</v>
      </c>
      <c r="R254" t="s">
        <v>55</v>
      </c>
      <c r="W254">
        <v>0</v>
      </c>
      <c r="X254" t="s">
        <v>115</v>
      </c>
      <c r="Y254" t="s">
        <v>116</v>
      </c>
      <c r="Z254" t="s">
        <v>58</v>
      </c>
      <c r="AA254" t="s">
        <v>59</v>
      </c>
      <c r="AB254" t="s">
        <v>60</v>
      </c>
      <c r="AC254" t="s">
        <v>61</v>
      </c>
      <c r="AD254" t="s">
        <v>49</v>
      </c>
      <c r="AE254" t="s">
        <v>49</v>
      </c>
      <c r="AF254" t="s">
        <v>49</v>
      </c>
      <c r="AG254" t="s">
        <v>49</v>
      </c>
      <c r="AH254" t="s">
        <v>48</v>
      </c>
      <c r="AI254" t="s">
        <v>48</v>
      </c>
      <c r="AJ254" t="s">
        <v>48</v>
      </c>
      <c r="AK254" t="s">
        <v>62</v>
      </c>
      <c r="AL254" t="s">
        <v>63</v>
      </c>
      <c r="AM254" t="s">
        <v>61</v>
      </c>
      <c r="AN254" t="s">
        <v>64</v>
      </c>
      <c r="AO254" t="s">
        <v>117</v>
      </c>
      <c r="AP254">
        <v>1</v>
      </c>
      <c r="AQ254" t="s">
        <v>66</v>
      </c>
      <c r="AR254" t="s">
        <v>67</v>
      </c>
      <c r="AS254">
        <v>1986</v>
      </c>
      <c r="AT254" t="s">
        <v>49</v>
      </c>
      <c r="AU254" t="s">
        <v>48</v>
      </c>
      <c r="AV254" t="s">
        <v>48</v>
      </c>
      <c r="AW254" t="s">
        <v>48</v>
      </c>
    </row>
    <row r="255" spans="1:49" x14ac:dyDescent="0.3">
      <c r="A255" t="s">
        <v>902</v>
      </c>
      <c r="B255" t="s">
        <v>48</v>
      </c>
      <c r="C255" t="s">
        <v>49</v>
      </c>
      <c r="D255">
        <v>360.39</v>
      </c>
      <c r="E255">
        <v>0</v>
      </c>
      <c r="F255">
        <v>1.74</v>
      </c>
      <c r="G255" t="s">
        <v>903</v>
      </c>
      <c r="H255" t="s">
        <v>904</v>
      </c>
      <c r="I255" t="s">
        <v>52</v>
      </c>
      <c r="J255" t="s">
        <v>53</v>
      </c>
      <c r="K255">
        <v>2.5</v>
      </c>
      <c r="L255" t="s">
        <v>54</v>
      </c>
      <c r="M255">
        <f>DOWNLOAD_2kLRbPnDtawQopEJ_UKtt22ud9U57gk8mqebZIeugNk[[#This Row],[Standard Value]]/DOWNLOAD_2kLRbPnDtawQopEJ_UKtt22ud9U57gk8mqebZIeugNk[[#This Row],[Molecular Weight]]*1000*1000</f>
        <v>6936.9294375537611</v>
      </c>
      <c r="N255">
        <f>-LOG(DOWNLOAD_2kLRbPnDtawQopEJ_UKtt22ud9U57gk8mqebZIeugNk[[#This Row],[IC50]]*POWER(10, -9), 10)</f>
        <v>5.1588327231214697</v>
      </c>
      <c r="P255" t="s">
        <v>48</v>
      </c>
      <c r="R255" t="s">
        <v>55</v>
      </c>
      <c r="W255">
        <v>0</v>
      </c>
      <c r="X255" t="s">
        <v>80</v>
      </c>
      <c r="Y255" t="s">
        <v>81</v>
      </c>
      <c r="Z255" t="s">
        <v>58</v>
      </c>
      <c r="AA255" t="s">
        <v>59</v>
      </c>
      <c r="AB255" t="s">
        <v>60</v>
      </c>
      <c r="AC255" t="s">
        <v>61</v>
      </c>
      <c r="AD255" t="s">
        <v>49</v>
      </c>
      <c r="AE255" t="s">
        <v>49</v>
      </c>
      <c r="AF255" t="s">
        <v>49</v>
      </c>
      <c r="AG255" t="s">
        <v>49</v>
      </c>
      <c r="AH255" t="s">
        <v>48</v>
      </c>
      <c r="AI255" t="s">
        <v>48</v>
      </c>
      <c r="AJ255" t="s">
        <v>48</v>
      </c>
      <c r="AK255" t="s">
        <v>62</v>
      </c>
      <c r="AL255" t="s">
        <v>63</v>
      </c>
      <c r="AM255" t="s">
        <v>61</v>
      </c>
      <c r="AN255" t="s">
        <v>64</v>
      </c>
      <c r="AO255" t="s">
        <v>82</v>
      </c>
      <c r="AP255">
        <v>1</v>
      </c>
      <c r="AQ255" t="s">
        <v>66</v>
      </c>
      <c r="AR255" t="s">
        <v>67</v>
      </c>
      <c r="AS255">
        <v>1993</v>
      </c>
      <c r="AT255" t="s">
        <v>49</v>
      </c>
      <c r="AU255" t="s">
        <v>48</v>
      </c>
      <c r="AV255" t="s">
        <v>48</v>
      </c>
      <c r="AW255" t="s">
        <v>48</v>
      </c>
    </row>
    <row r="256" spans="1:49" x14ac:dyDescent="0.3">
      <c r="A256" t="s">
        <v>905</v>
      </c>
      <c r="B256" t="s">
        <v>906</v>
      </c>
      <c r="C256" t="s">
        <v>49</v>
      </c>
      <c r="D256">
        <v>254.24</v>
      </c>
      <c r="E256">
        <v>0</v>
      </c>
      <c r="F256">
        <v>2.87</v>
      </c>
      <c r="G256" t="s">
        <v>907</v>
      </c>
      <c r="H256" t="s">
        <v>908</v>
      </c>
      <c r="I256" t="s">
        <v>52</v>
      </c>
      <c r="J256" t="s">
        <v>71</v>
      </c>
      <c r="K256">
        <v>500</v>
      </c>
      <c r="L256" t="s">
        <v>54</v>
      </c>
      <c r="M256">
        <f>DOWNLOAD_2kLRbPnDtawQopEJ_UKtt22ud9U57gk8mqebZIeugNk[[#This Row],[Standard Value]]/DOWNLOAD_2kLRbPnDtawQopEJ_UKtt22ud9U57gk8mqebZIeugNk[[#This Row],[Molecular Weight]]*1000*1000</f>
        <v>1966645.6891126493</v>
      </c>
      <c r="N256">
        <f>-LOG(DOWNLOAD_2kLRbPnDtawQopEJ_UKtt22ud9U57gk8mqebZIeugNk[[#This Row],[IC50]]*POWER(10, -9), 10)</f>
        <v>2.7062738755272853</v>
      </c>
      <c r="P256" t="s">
        <v>72</v>
      </c>
      <c r="R256" t="s">
        <v>55</v>
      </c>
      <c r="W256">
        <v>0</v>
      </c>
      <c r="X256" t="s">
        <v>314</v>
      </c>
      <c r="Y256" t="s">
        <v>315</v>
      </c>
      <c r="Z256" t="s">
        <v>58</v>
      </c>
      <c r="AA256" t="s">
        <v>59</v>
      </c>
      <c r="AB256" t="s">
        <v>60</v>
      </c>
      <c r="AC256" t="s">
        <v>61</v>
      </c>
      <c r="AD256" t="s">
        <v>49</v>
      </c>
      <c r="AE256" t="s">
        <v>49</v>
      </c>
      <c r="AF256" t="s">
        <v>49</v>
      </c>
      <c r="AG256" t="s">
        <v>49</v>
      </c>
      <c r="AH256" t="s">
        <v>48</v>
      </c>
      <c r="AI256" t="s">
        <v>48</v>
      </c>
      <c r="AJ256" t="s">
        <v>48</v>
      </c>
      <c r="AK256" t="s">
        <v>62</v>
      </c>
      <c r="AL256" t="s">
        <v>63</v>
      </c>
      <c r="AM256" t="s">
        <v>61</v>
      </c>
      <c r="AN256" t="s">
        <v>64</v>
      </c>
      <c r="AO256" t="s">
        <v>316</v>
      </c>
      <c r="AP256">
        <v>1</v>
      </c>
      <c r="AQ256" t="s">
        <v>66</v>
      </c>
      <c r="AR256" t="s">
        <v>76</v>
      </c>
      <c r="AS256">
        <v>1993</v>
      </c>
      <c r="AT256" t="s">
        <v>49</v>
      </c>
      <c r="AU256" t="s">
        <v>48</v>
      </c>
      <c r="AV256" t="s">
        <v>48</v>
      </c>
      <c r="AW256" t="s">
        <v>48</v>
      </c>
    </row>
    <row r="257" spans="1:49" x14ac:dyDescent="0.3">
      <c r="A257" t="s">
        <v>909</v>
      </c>
      <c r="B257" t="s">
        <v>48</v>
      </c>
      <c r="C257" t="s">
        <v>49</v>
      </c>
      <c r="D257">
        <v>278.35000000000002</v>
      </c>
      <c r="E257">
        <v>0</v>
      </c>
      <c r="F257">
        <v>3.79</v>
      </c>
      <c r="G257" t="s">
        <v>486</v>
      </c>
      <c r="H257" t="s">
        <v>910</v>
      </c>
      <c r="I257" t="s">
        <v>52</v>
      </c>
      <c r="J257" t="s">
        <v>71</v>
      </c>
      <c r="K257">
        <v>1000000</v>
      </c>
      <c r="L257" t="s">
        <v>126</v>
      </c>
      <c r="M257">
        <f>DOWNLOAD_2kLRbPnDtawQopEJ_UKtt22ud9U57gk8mqebZIeugNk[[#This Row],[Standard Value]]</f>
        <v>1000000</v>
      </c>
      <c r="N257">
        <f>-LOG(DOWNLOAD_2kLRbPnDtawQopEJ_UKtt22ud9U57gk8mqebZIeugNk[[#This Row],[IC50]]*POWER(10, -9), 10)</f>
        <v>2.9999999999999996</v>
      </c>
      <c r="P257" t="s">
        <v>72</v>
      </c>
      <c r="R257" t="s">
        <v>127</v>
      </c>
      <c r="W257">
        <v>0</v>
      </c>
      <c r="X257" t="s">
        <v>590</v>
      </c>
      <c r="Y257" t="s">
        <v>591</v>
      </c>
      <c r="Z257" t="s">
        <v>58</v>
      </c>
      <c r="AA257" t="s">
        <v>59</v>
      </c>
      <c r="AB257" t="s">
        <v>60</v>
      </c>
      <c r="AC257" t="s">
        <v>61</v>
      </c>
      <c r="AD257" t="s">
        <v>49</v>
      </c>
      <c r="AE257" t="s">
        <v>49</v>
      </c>
      <c r="AF257" t="s">
        <v>49</v>
      </c>
      <c r="AG257" t="s">
        <v>49</v>
      </c>
      <c r="AH257" t="s">
        <v>48</v>
      </c>
      <c r="AI257" t="s">
        <v>48</v>
      </c>
      <c r="AJ257" t="s">
        <v>48</v>
      </c>
      <c r="AK257" t="s">
        <v>62</v>
      </c>
      <c r="AL257" t="s">
        <v>63</v>
      </c>
      <c r="AM257" t="s">
        <v>61</v>
      </c>
      <c r="AN257" t="s">
        <v>64</v>
      </c>
      <c r="AO257" t="s">
        <v>592</v>
      </c>
      <c r="AP257">
        <v>1</v>
      </c>
      <c r="AQ257" t="s">
        <v>66</v>
      </c>
      <c r="AR257" t="s">
        <v>67</v>
      </c>
      <c r="AS257">
        <v>2014</v>
      </c>
      <c r="AT257" t="s">
        <v>49</v>
      </c>
      <c r="AU257" t="s">
        <v>48</v>
      </c>
      <c r="AV257" t="s">
        <v>48</v>
      </c>
      <c r="AW257" t="s">
        <v>48</v>
      </c>
    </row>
    <row r="258" spans="1:49" x14ac:dyDescent="0.3">
      <c r="A258" t="s">
        <v>911</v>
      </c>
      <c r="B258" t="s">
        <v>912</v>
      </c>
      <c r="C258" t="s">
        <v>913</v>
      </c>
      <c r="D258">
        <v>302.24</v>
      </c>
      <c r="E258">
        <v>0</v>
      </c>
      <c r="F258">
        <v>1.99</v>
      </c>
      <c r="G258" t="s">
        <v>227</v>
      </c>
      <c r="H258" t="s">
        <v>914</v>
      </c>
      <c r="I258" t="s">
        <v>52</v>
      </c>
      <c r="J258" t="s">
        <v>53</v>
      </c>
      <c r="K258">
        <v>47</v>
      </c>
      <c r="L258" t="s">
        <v>54</v>
      </c>
      <c r="M258">
        <f>DOWNLOAD_2kLRbPnDtawQopEJ_UKtt22ud9U57gk8mqebZIeugNk[[#This Row],[Standard Value]]/DOWNLOAD_2kLRbPnDtawQopEJ_UKtt22ud9U57gk8mqebZIeugNk[[#This Row],[Molecular Weight]]*1000*1000</f>
        <v>155505.55849655901</v>
      </c>
      <c r="N258">
        <f>-LOG(DOWNLOAD_2kLRbPnDtawQopEJ_UKtt22ud9U57gk8mqebZIeugNk[[#This Row],[IC50]]*POWER(10, -9), 10)</f>
        <v>3.8082540826420401</v>
      </c>
      <c r="P258" t="s">
        <v>48</v>
      </c>
      <c r="R258" t="s">
        <v>55</v>
      </c>
      <c r="W258">
        <v>0</v>
      </c>
      <c r="X258" t="s">
        <v>314</v>
      </c>
      <c r="Y258" t="s">
        <v>315</v>
      </c>
      <c r="Z258" t="s">
        <v>58</v>
      </c>
      <c r="AA258" t="s">
        <v>59</v>
      </c>
      <c r="AB258" t="s">
        <v>60</v>
      </c>
      <c r="AC258" t="s">
        <v>61</v>
      </c>
      <c r="AD258" t="s">
        <v>49</v>
      </c>
      <c r="AE258" t="s">
        <v>49</v>
      </c>
      <c r="AF258" t="s">
        <v>49</v>
      </c>
      <c r="AG258" t="s">
        <v>49</v>
      </c>
      <c r="AH258" t="s">
        <v>48</v>
      </c>
      <c r="AI258" t="s">
        <v>48</v>
      </c>
      <c r="AJ258" t="s">
        <v>48</v>
      </c>
      <c r="AK258" t="s">
        <v>62</v>
      </c>
      <c r="AL258" t="s">
        <v>63</v>
      </c>
      <c r="AM258" t="s">
        <v>61</v>
      </c>
      <c r="AN258" t="s">
        <v>64</v>
      </c>
      <c r="AO258" t="s">
        <v>316</v>
      </c>
      <c r="AP258">
        <v>1</v>
      </c>
      <c r="AQ258" t="s">
        <v>66</v>
      </c>
      <c r="AR258" t="s">
        <v>76</v>
      </c>
      <c r="AS258">
        <v>1993</v>
      </c>
      <c r="AT258" t="s">
        <v>49</v>
      </c>
      <c r="AU258" t="s">
        <v>48</v>
      </c>
      <c r="AV258" t="s">
        <v>48</v>
      </c>
      <c r="AW258" t="s">
        <v>48</v>
      </c>
    </row>
    <row r="259" spans="1:49" x14ac:dyDescent="0.3">
      <c r="A259" t="s">
        <v>915</v>
      </c>
      <c r="B259" t="s">
        <v>48</v>
      </c>
      <c r="C259" t="s">
        <v>49</v>
      </c>
      <c r="D259">
        <v>457.46</v>
      </c>
      <c r="E259">
        <v>0</v>
      </c>
      <c r="F259">
        <v>1.68</v>
      </c>
      <c r="G259" t="s">
        <v>916</v>
      </c>
      <c r="H259" t="s">
        <v>917</v>
      </c>
      <c r="I259" t="s">
        <v>52</v>
      </c>
      <c r="J259" t="s">
        <v>53</v>
      </c>
      <c r="K259">
        <v>1400</v>
      </c>
      <c r="L259" t="s">
        <v>126</v>
      </c>
      <c r="M259">
        <f>DOWNLOAD_2kLRbPnDtawQopEJ_UKtt22ud9U57gk8mqebZIeugNk[[#This Row],[Standard Value]]</f>
        <v>1400</v>
      </c>
      <c r="N259">
        <f>-LOG(DOWNLOAD_2kLRbPnDtawQopEJ_UKtt22ud9U57gk8mqebZIeugNk[[#This Row],[IC50]]*POWER(10, -9), 10)</f>
        <v>5.8538719643217618</v>
      </c>
      <c r="O259">
        <v>5.85</v>
      </c>
      <c r="P259" t="s">
        <v>48</v>
      </c>
      <c r="Q259">
        <v>302784</v>
      </c>
      <c r="R259" t="s">
        <v>127</v>
      </c>
      <c r="S259">
        <v>12.8</v>
      </c>
      <c r="T259">
        <v>0.24</v>
      </c>
      <c r="U259">
        <v>4.17</v>
      </c>
      <c r="V259">
        <v>4.6500000000000004</v>
      </c>
      <c r="W259">
        <v>0</v>
      </c>
      <c r="X259" t="s">
        <v>251</v>
      </c>
      <c r="Y259" t="s">
        <v>252</v>
      </c>
      <c r="Z259" t="s">
        <v>58</v>
      </c>
      <c r="AA259" t="s">
        <v>59</v>
      </c>
      <c r="AB259" t="s">
        <v>60</v>
      </c>
      <c r="AC259" t="s">
        <v>61</v>
      </c>
      <c r="AD259" t="s">
        <v>49</v>
      </c>
      <c r="AE259" t="s">
        <v>49</v>
      </c>
      <c r="AF259" t="s">
        <v>49</v>
      </c>
      <c r="AG259" t="s">
        <v>49</v>
      </c>
      <c r="AH259" t="s">
        <v>48</v>
      </c>
      <c r="AI259" t="s">
        <v>48</v>
      </c>
      <c r="AJ259" t="s">
        <v>48</v>
      </c>
      <c r="AK259" t="s">
        <v>62</v>
      </c>
      <c r="AL259" t="s">
        <v>63</v>
      </c>
      <c r="AM259" t="s">
        <v>61</v>
      </c>
      <c r="AN259" t="s">
        <v>64</v>
      </c>
      <c r="AO259" t="s">
        <v>253</v>
      </c>
      <c r="AP259">
        <v>37</v>
      </c>
      <c r="AQ259" t="s">
        <v>254</v>
      </c>
      <c r="AR259" t="s">
        <v>48</v>
      </c>
      <c r="AS259">
        <v>2015</v>
      </c>
      <c r="AT259" t="s">
        <v>49</v>
      </c>
      <c r="AU259" t="s">
        <v>48</v>
      </c>
      <c r="AV259" t="s">
        <v>48</v>
      </c>
      <c r="AW259" t="s">
        <v>48</v>
      </c>
    </row>
    <row r="260" spans="1:49" x14ac:dyDescent="0.3">
      <c r="A260" t="s">
        <v>918</v>
      </c>
      <c r="B260" t="s">
        <v>48</v>
      </c>
      <c r="C260" t="s">
        <v>49</v>
      </c>
      <c r="D260">
        <v>518.45000000000005</v>
      </c>
      <c r="E260">
        <v>1</v>
      </c>
      <c r="F260">
        <v>2.29</v>
      </c>
      <c r="G260" t="s">
        <v>919</v>
      </c>
      <c r="H260" t="s">
        <v>920</v>
      </c>
      <c r="I260" t="s">
        <v>52</v>
      </c>
      <c r="J260" t="s">
        <v>53</v>
      </c>
      <c r="K260">
        <v>5400</v>
      </c>
      <c r="L260" t="s">
        <v>126</v>
      </c>
      <c r="M260">
        <f>DOWNLOAD_2kLRbPnDtawQopEJ_UKtt22ud9U57gk8mqebZIeugNk[[#This Row],[Standard Value]]</f>
        <v>5400</v>
      </c>
      <c r="N260">
        <f>-LOG(DOWNLOAD_2kLRbPnDtawQopEJ_UKtt22ud9U57gk8mqebZIeugNk[[#This Row],[IC50]]*POWER(10, -9), 10)</f>
        <v>5.2676062401770309</v>
      </c>
      <c r="O260">
        <v>5.27</v>
      </c>
      <c r="P260" t="s">
        <v>48</v>
      </c>
      <c r="Q260">
        <v>302796</v>
      </c>
      <c r="R260" t="s">
        <v>127</v>
      </c>
      <c r="S260">
        <v>10.16</v>
      </c>
      <c r="T260">
        <v>0.19</v>
      </c>
      <c r="U260">
        <v>2.98</v>
      </c>
      <c r="V260">
        <v>4</v>
      </c>
      <c r="W260">
        <v>0</v>
      </c>
      <c r="X260" t="s">
        <v>251</v>
      </c>
      <c r="Y260" t="s">
        <v>252</v>
      </c>
      <c r="Z260" t="s">
        <v>58</v>
      </c>
      <c r="AA260" t="s">
        <v>59</v>
      </c>
      <c r="AB260" t="s">
        <v>60</v>
      </c>
      <c r="AC260" t="s">
        <v>61</v>
      </c>
      <c r="AD260" t="s">
        <v>49</v>
      </c>
      <c r="AE260" t="s">
        <v>49</v>
      </c>
      <c r="AF260" t="s">
        <v>49</v>
      </c>
      <c r="AG260" t="s">
        <v>49</v>
      </c>
      <c r="AH260" t="s">
        <v>48</v>
      </c>
      <c r="AI260" t="s">
        <v>48</v>
      </c>
      <c r="AJ260" t="s">
        <v>48</v>
      </c>
      <c r="AK260" t="s">
        <v>62</v>
      </c>
      <c r="AL260" t="s">
        <v>63</v>
      </c>
      <c r="AM260" t="s">
        <v>61</v>
      </c>
      <c r="AN260" t="s">
        <v>64</v>
      </c>
      <c r="AO260" t="s">
        <v>253</v>
      </c>
      <c r="AP260">
        <v>37</v>
      </c>
      <c r="AQ260" t="s">
        <v>254</v>
      </c>
      <c r="AR260" t="s">
        <v>48</v>
      </c>
      <c r="AS260">
        <v>2015</v>
      </c>
      <c r="AT260" t="s">
        <v>49</v>
      </c>
      <c r="AU260" t="s">
        <v>48</v>
      </c>
      <c r="AV260" t="s">
        <v>48</v>
      </c>
      <c r="AW260" t="s">
        <v>48</v>
      </c>
    </row>
    <row r="261" spans="1:49" x14ac:dyDescent="0.3">
      <c r="A261" t="s">
        <v>921</v>
      </c>
      <c r="B261" t="s">
        <v>48</v>
      </c>
      <c r="C261" t="s">
        <v>49</v>
      </c>
      <c r="D261">
        <v>385.46</v>
      </c>
      <c r="E261">
        <v>0</v>
      </c>
      <c r="F261">
        <v>2.61</v>
      </c>
      <c r="G261" t="s">
        <v>922</v>
      </c>
      <c r="H261" t="s">
        <v>923</v>
      </c>
      <c r="I261" t="s">
        <v>52</v>
      </c>
      <c r="J261" t="s">
        <v>53</v>
      </c>
      <c r="K261">
        <v>12.8</v>
      </c>
      <c r="L261" t="s">
        <v>54</v>
      </c>
      <c r="M261">
        <f>DOWNLOAD_2kLRbPnDtawQopEJ_UKtt22ud9U57gk8mqebZIeugNk[[#This Row],[Standard Value]]/DOWNLOAD_2kLRbPnDtawQopEJ_UKtt22ud9U57gk8mqebZIeugNk[[#This Row],[Molecular Weight]]*1000*1000</f>
        <v>33207.077258340687</v>
      </c>
      <c r="N261">
        <f>-LOG(DOWNLOAD_2kLRbPnDtawQopEJ_UKtt22ud9U57gk8mqebZIeugNk[[#This Row],[IC50]]*POWER(10, -9), 10)</f>
        <v>4.4787693474197861</v>
      </c>
      <c r="P261" t="s">
        <v>48</v>
      </c>
      <c r="R261" t="s">
        <v>55</v>
      </c>
      <c r="W261">
        <v>0</v>
      </c>
      <c r="X261" t="s">
        <v>92</v>
      </c>
      <c r="Y261" t="s">
        <v>93</v>
      </c>
      <c r="Z261" t="s">
        <v>58</v>
      </c>
      <c r="AA261" t="s">
        <v>59</v>
      </c>
      <c r="AB261" t="s">
        <v>60</v>
      </c>
      <c r="AC261" t="s">
        <v>61</v>
      </c>
      <c r="AD261" t="s">
        <v>49</v>
      </c>
      <c r="AE261" t="s">
        <v>49</v>
      </c>
      <c r="AF261" t="s">
        <v>49</v>
      </c>
      <c r="AG261" t="s">
        <v>49</v>
      </c>
      <c r="AH261" t="s">
        <v>48</v>
      </c>
      <c r="AI261" t="s">
        <v>48</v>
      </c>
      <c r="AJ261" t="s">
        <v>48</v>
      </c>
      <c r="AK261" t="s">
        <v>62</v>
      </c>
      <c r="AL261" t="s">
        <v>63</v>
      </c>
      <c r="AM261" t="s">
        <v>61</v>
      </c>
      <c r="AN261" t="s">
        <v>64</v>
      </c>
      <c r="AO261" t="s">
        <v>94</v>
      </c>
      <c r="AP261">
        <v>1</v>
      </c>
      <c r="AQ261" t="s">
        <v>66</v>
      </c>
      <c r="AR261" t="s">
        <v>67</v>
      </c>
      <c r="AS261">
        <v>2003</v>
      </c>
      <c r="AT261" t="s">
        <v>49</v>
      </c>
      <c r="AU261" t="s">
        <v>48</v>
      </c>
      <c r="AV261" t="s">
        <v>48</v>
      </c>
      <c r="AW261" t="s">
        <v>48</v>
      </c>
    </row>
    <row r="262" spans="1:49" x14ac:dyDescent="0.3">
      <c r="A262" t="s">
        <v>369</v>
      </c>
      <c r="B262" t="s">
        <v>48</v>
      </c>
      <c r="C262" t="s">
        <v>49</v>
      </c>
      <c r="D262">
        <v>357.41</v>
      </c>
      <c r="E262">
        <v>0</v>
      </c>
      <c r="F262">
        <v>1.97</v>
      </c>
      <c r="G262" t="s">
        <v>370</v>
      </c>
      <c r="H262" t="s">
        <v>371</v>
      </c>
      <c r="I262" t="s">
        <v>52</v>
      </c>
      <c r="J262" t="s">
        <v>53</v>
      </c>
      <c r="K262">
        <v>6.4</v>
      </c>
      <c r="L262" t="s">
        <v>54</v>
      </c>
      <c r="M262">
        <f>DOWNLOAD_2kLRbPnDtawQopEJ_UKtt22ud9U57gk8mqebZIeugNk[[#This Row],[Standard Value]]/DOWNLOAD_2kLRbPnDtawQopEJ_UKtt22ud9U57gk8mqebZIeugNk[[#This Row],[Molecular Weight]]*1000*1000</f>
        <v>17906.605858817602</v>
      </c>
      <c r="N262">
        <f>-LOG(DOWNLOAD_2kLRbPnDtawQopEJ_UKtt22ud9U57gk8mqebZIeugNk[[#This Row],[IC50]]*POWER(10, -9), 10)</f>
        <v>4.7469867255121576</v>
      </c>
      <c r="P262" t="s">
        <v>48</v>
      </c>
      <c r="R262" t="s">
        <v>55</v>
      </c>
      <c r="W262">
        <v>0</v>
      </c>
      <c r="X262" t="s">
        <v>372</v>
      </c>
      <c r="Y262" t="s">
        <v>373</v>
      </c>
      <c r="Z262" t="s">
        <v>58</v>
      </c>
      <c r="AA262" t="s">
        <v>59</v>
      </c>
      <c r="AB262" t="s">
        <v>60</v>
      </c>
      <c r="AC262" t="s">
        <v>61</v>
      </c>
      <c r="AD262" t="s">
        <v>49</v>
      </c>
      <c r="AE262" t="s">
        <v>49</v>
      </c>
      <c r="AF262" t="s">
        <v>49</v>
      </c>
      <c r="AG262" t="s">
        <v>49</v>
      </c>
      <c r="AH262" t="s">
        <v>48</v>
      </c>
      <c r="AI262" t="s">
        <v>48</v>
      </c>
      <c r="AJ262" t="s">
        <v>48</v>
      </c>
      <c r="AK262" t="s">
        <v>62</v>
      </c>
      <c r="AL262" t="s">
        <v>63</v>
      </c>
      <c r="AM262" t="s">
        <v>61</v>
      </c>
      <c r="AN262" t="s">
        <v>64</v>
      </c>
      <c r="AO262" t="s">
        <v>94</v>
      </c>
      <c r="AP262">
        <v>1</v>
      </c>
      <c r="AQ262" t="s">
        <v>66</v>
      </c>
      <c r="AR262" t="s">
        <v>67</v>
      </c>
      <c r="AS262">
        <v>2003</v>
      </c>
      <c r="AT262" t="s">
        <v>49</v>
      </c>
      <c r="AU262" t="s">
        <v>48</v>
      </c>
      <c r="AV262" t="s">
        <v>48</v>
      </c>
      <c r="AW262" t="s">
        <v>48</v>
      </c>
    </row>
    <row r="263" spans="1:49" x14ac:dyDescent="0.3">
      <c r="A263" t="s">
        <v>924</v>
      </c>
      <c r="B263" t="s">
        <v>48</v>
      </c>
      <c r="C263" t="s">
        <v>49</v>
      </c>
      <c r="D263">
        <v>369.4</v>
      </c>
      <c r="E263">
        <v>0</v>
      </c>
      <c r="F263">
        <v>1.93</v>
      </c>
      <c r="G263" t="s">
        <v>211</v>
      </c>
      <c r="H263" t="s">
        <v>925</v>
      </c>
      <c r="I263" t="s">
        <v>52</v>
      </c>
      <c r="J263" t="s">
        <v>53</v>
      </c>
      <c r="K263">
        <v>700</v>
      </c>
      <c r="L263" t="s">
        <v>126</v>
      </c>
      <c r="M263">
        <f>DOWNLOAD_2kLRbPnDtawQopEJ_UKtt22ud9U57gk8mqebZIeugNk[[#This Row],[Standard Value]]</f>
        <v>700</v>
      </c>
      <c r="N263">
        <f>-LOG(DOWNLOAD_2kLRbPnDtawQopEJ_UKtt22ud9U57gk8mqebZIeugNk[[#This Row],[IC50]]*POWER(10, -9), 10)</f>
        <v>6.1549019599857431</v>
      </c>
      <c r="O263">
        <v>6.16</v>
      </c>
      <c r="P263" t="s">
        <v>48</v>
      </c>
      <c r="R263" t="s">
        <v>127</v>
      </c>
      <c r="S263">
        <v>16.66</v>
      </c>
      <c r="T263">
        <v>0.31</v>
      </c>
      <c r="U263">
        <v>4.22</v>
      </c>
      <c r="V263">
        <v>9.36</v>
      </c>
      <c r="W263">
        <v>0</v>
      </c>
      <c r="X263" t="s">
        <v>926</v>
      </c>
      <c r="Y263" t="s">
        <v>927</v>
      </c>
      <c r="Z263" t="s">
        <v>58</v>
      </c>
      <c r="AA263" t="s">
        <v>59</v>
      </c>
      <c r="AB263" t="s">
        <v>60</v>
      </c>
      <c r="AC263" t="s">
        <v>61</v>
      </c>
      <c r="AD263" t="s">
        <v>49</v>
      </c>
      <c r="AE263" t="s">
        <v>49</v>
      </c>
      <c r="AF263" t="s">
        <v>49</v>
      </c>
      <c r="AG263" t="s">
        <v>49</v>
      </c>
      <c r="AH263" t="s">
        <v>48</v>
      </c>
      <c r="AI263" t="s">
        <v>48</v>
      </c>
      <c r="AJ263" t="s">
        <v>48</v>
      </c>
      <c r="AK263" t="s">
        <v>62</v>
      </c>
      <c r="AL263" t="s">
        <v>63</v>
      </c>
      <c r="AM263" t="s">
        <v>61</v>
      </c>
      <c r="AN263" t="s">
        <v>64</v>
      </c>
      <c r="AO263" t="s">
        <v>928</v>
      </c>
      <c r="AP263">
        <v>1</v>
      </c>
      <c r="AQ263" t="s">
        <v>66</v>
      </c>
      <c r="AR263" t="s">
        <v>67</v>
      </c>
      <c r="AS263">
        <v>2020</v>
      </c>
      <c r="AT263" t="s">
        <v>49</v>
      </c>
      <c r="AU263" t="s">
        <v>299</v>
      </c>
      <c r="AV263" t="s">
        <v>269</v>
      </c>
      <c r="AW263" t="s">
        <v>48</v>
      </c>
    </row>
    <row r="264" spans="1:49" x14ac:dyDescent="0.3">
      <c r="A264" t="s">
        <v>929</v>
      </c>
      <c r="B264" t="s">
        <v>48</v>
      </c>
      <c r="C264" t="s">
        <v>49</v>
      </c>
      <c r="D264">
        <v>375.38</v>
      </c>
      <c r="E264">
        <v>0</v>
      </c>
      <c r="F264">
        <v>2.21</v>
      </c>
      <c r="G264" t="s">
        <v>142</v>
      </c>
      <c r="H264" t="s">
        <v>930</v>
      </c>
      <c r="I264" t="s">
        <v>52</v>
      </c>
      <c r="J264" t="s">
        <v>53</v>
      </c>
      <c r="K264">
        <v>2.9</v>
      </c>
      <c r="L264" t="s">
        <v>54</v>
      </c>
      <c r="M264">
        <f>DOWNLOAD_2kLRbPnDtawQopEJ_UKtt22ud9U57gk8mqebZIeugNk[[#This Row],[Standard Value]]/DOWNLOAD_2kLRbPnDtawQopEJ_UKtt22ud9U57gk8mqebZIeugNk[[#This Row],[Molecular Weight]]*1000*1000</f>
        <v>7725.5048217805952</v>
      </c>
      <c r="N264">
        <f>-LOG(DOWNLOAD_2kLRbPnDtawQopEJ_UKtt22ud9U57gk8mqebZIeugNk[[#This Row],[IC50]]*POWER(10, -9), 10)</f>
        <v>5.1120731320778381</v>
      </c>
      <c r="P264" t="s">
        <v>48</v>
      </c>
      <c r="R264" t="s">
        <v>55</v>
      </c>
      <c r="W264">
        <v>0</v>
      </c>
      <c r="X264" t="s">
        <v>98</v>
      </c>
      <c r="Y264" t="s">
        <v>99</v>
      </c>
      <c r="Z264" t="s">
        <v>58</v>
      </c>
      <c r="AA264" t="s">
        <v>59</v>
      </c>
      <c r="AB264" t="s">
        <v>60</v>
      </c>
      <c r="AC264" t="s">
        <v>49</v>
      </c>
      <c r="AD264" t="s">
        <v>49</v>
      </c>
      <c r="AE264" t="s">
        <v>49</v>
      </c>
      <c r="AF264" t="s">
        <v>49</v>
      </c>
      <c r="AG264" t="s">
        <v>49</v>
      </c>
      <c r="AH264" t="s">
        <v>48</v>
      </c>
      <c r="AI264" t="s">
        <v>48</v>
      </c>
      <c r="AJ264" t="s">
        <v>48</v>
      </c>
      <c r="AK264" t="s">
        <v>62</v>
      </c>
      <c r="AL264" t="s">
        <v>63</v>
      </c>
      <c r="AM264" t="s">
        <v>61</v>
      </c>
      <c r="AN264" t="s">
        <v>64</v>
      </c>
      <c r="AO264" t="s">
        <v>100</v>
      </c>
      <c r="AP264">
        <v>1</v>
      </c>
      <c r="AQ264" t="s">
        <v>66</v>
      </c>
      <c r="AR264" t="s">
        <v>67</v>
      </c>
      <c r="AS264">
        <v>1991</v>
      </c>
      <c r="AT264" t="s">
        <v>49</v>
      </c>
      <c r="AU264" t="s">
        <v>48</v>
      </c>
      <c r="AV264" t="s">
        <v>48</v>
      </c>
      <c r="AW264" t="s">
        <v>48</v>
      </c>
    </row>
    <row r="265" spans="1:49" x14ac:dyDescent="0.3">
      <c r="A265" t="s">
        <v>931</v>
      </c>
      <c r="B265" t="s">
        <v>48</v>
      </c>
      <c r="C265" t="s">
        <v>49</v>
      </c>
      <c r="D265">
        <v>408.55</v>
      </c>
      <c r="E265">
        <v>0</v>
      </c>
      <c r="F265">
        <v>3.25</v>
      </c>
      <c r="G265" t="s">
        <v>932</v>
      </c>
      <c r="H265" t="s">
        <v>933</v>
      </c>
      <c r="I265" t="s">
        <v>52</v>
      </c>
      <c r="J265" t="s">
        <v>53</v>
      </c>
      <c r="K265">
        <v>32</v>
      </c>
      <c r="L265" t="s">
        <v>54</v>
      </c>
      <c r="M265">
        <f>DOWNLOAD_2kLRbPnDtawQopEJ_UKtt22ud9U57gk8mqebZIeugNk[[#This Row],[Standard Value]]/DOWNLOAD_2kLRbPnDtawQopEJ_UKtt22ud9U57gk8mqebZIeugNk[[#This Row],[Molecular Weight]]*1000*1000</f>
        <v>78325.786317464212</v>
      </c>
      <c r="N265">
        <f>-LOG(DOWNLOAD_2kLRbPnDtawQopEJ_UKtt22ud9U57gk8mqebZIeugNk[[#This Row],[IC50]]*POWER(10, -9), 10)</f>
        <v>4.1060952365149248</v>
      </c>
      <c r="P265" t="s">
        <v>48</v>
      </c>
      <c r="R265" t="s">
        <v>55</v>
      </c>
      <c r="W265">
        <v>0</v>
      </c>
      <c r="X265" t="s">
        <v>121</v>
      </c>
      <c r="Y265" t="s">
        <v>87</v>
      </c>
      <c r="Z265" t="s">
        <v>58</v>
      </c>
      <c r="AA265" t="s">
        <v>59</v>
      </c>
      <c r="AB265" t="s">
        <v>60</v>
      </c>
      <c r="AC265" t="s">
        <v>61</v>
      </c>
      <c r="AD265" t="s">
        <v>49</v>
      </c>
      <c r="AE265" t="s">
        <v>49</v>
      </c>
      <c r="AF265" t="s">
        <v>49</v>
      </c>
      <c r="AG265" t="s">
        <v>49</v>
      </c>
      <c r="AH265" t="s">
        <v>48</v>
      </c>
      <c r="AI265" t="s">
        <v>48</v>
      </c>
      <c r="AJ265" t="s">
        <v>48</v>
      </c>
      <c r="AK265" t="s">
        <v>62</v>
      </c>
      <c r="AL265" t="s">
        <v>63</v>
      </c>
      <c r="AM265" t="s">
        <v>61</v>
      </c>
      <c r="AN265" t="s">
        <v>64</v>
      </c>
      <c r="AO265" t="s">
        <v>122</v>
      </c>
      <c r="AP265">
        <v>1</v>
      </c>
      <c r="AQ265" t="s">
        <v>66</v>
      </c>
      <c r="AR265" t="s">
        <v>76</v>
      </c>
      <c r="AS265">
        <v>2004</v>
      </c>
      <c r="AT265" t="s">
        <v>49</v>
      </c>
      <c r="AU265" t="s">
        <v>48</v>
      </c>
      <c r="AV265" t="s">
        <v>48</v>
      </c>
      <c r="AW265" t="s">
        <v>48</v>
      </c>
    </row>
    <row r="266" spans="1:49" x14ac:dyDescent="0.3">
      <c r="A266" t="s">
        <v>934</v>
      </c>
      <c r="B266" t="s">
        <v>48</v>
      </c>
      <c r="C266" t="s">
        <v>49</v>
      </c>
      <c r="D266">
        <v>389.4</v>
      </c>
      <c r="E266">
        <v>0</v>
      </c>
      <c r="F266">
        <v>2.64</v>
      </c>
      <c r="G266" t="s">
        <v>233</v>
      </c>
      <c r="H266" t="s">
        <v>935</v>
      </c>
      <c r="I266" t="s">
        <v>52</v>
      </c>
      <c r="J266" t="s">
        <v>53</v>
      </c>
      <c r="K266">
        <v>2.9</v>
      </c>
      <c r="L266" t="s">
        <v>54</v>
      </c>
      <c r="M266">
        <f>DOWNLOAD_2kLRbPnDtawQopEJ_UKtt22ud9U57gk8mqebZIeugNk[[#This Row],[Standard Value]]/DOWNLOAD_2kLRbPnDtawQopEJ_UKtt22ud9U57gk8mqebZIeugNk[[#This Row],[Molecular Weight]]*1000*1000</f>
        <v>7447.354904982024</v>
      </c>
      <c r="N266">
        <f>-LOG(DOWNLOAD_2kLRbPnDtawQopEJ_UKtt22ud9U57gk8mqebZIeugNk[[#This Row],[IC50]]*POWER(10, -9), 10)</f>
        <v>5.1279979492850565</v>
      </c>
      <c r="P266" t="s">
        <v>48</v>
      </c>
      <c r="R266" t="s">
        <v>55</v>
      </c>
      <c r="W266">
        <v>0</v>
      </c>
      <c r="X266" t="s">
        <v>98</v>
      </c>
      <c r="Y266" t="s">
        <v>99</v>
      </c>
      <c r="Z266" t="s">
        <v>58</v>
      </c>
      <c r="AA266" t="s">
        <v>59</v>
      </c>
      <c r="AB266" t="s">
        <v>60</v>
      </c>
      <c r="AC266" t="s">
        <v>49</v>
      </c>
      <c r="AD266" t="s">
        <v>49</v>
      </c>
      <c r="AE266" t="s">
        <v>49</v>
      </c>
      <c r="AF266" t="s">
        <v>49</v>
      </c>
      <c r="AG266" t="s">
        <v>49</v>
      </c>
      <c r="AH266" t="s">
        <v>48</v>
      </c>
      <c r="AI266" t="s">
        <v>48</v>
      </c>
      <c r="AJ266" t="s">
        <v>48</v>
      </c>
      <c r="AK266" t="s">
        <v>62</v>
      </c>
      <c r="AL266" t="s">
        <v>63</v>
      </c>
      <c r="AM266" t="s">
        <v>61</v>
      </c>
      <c r="AN266" t="s">
        <v>64</v>
      </c>
      <c r="AO266" t="s">
        <v>100</v>
      </c>
      <c r="AP266">
        <v>1</v>
      </c>
      <c r="AQ266" t="s">
        <v>66</v>
      </c>
      <c r="AR266" t="s">
        <v>67</v>
      </c>
      <c r="AS266">
        <v>1991</v>
      </c>
      <c r="AT266" t="s">
        <v>49</v>
      </c>
      <c r="AU266" t="s">
        <v>48</v>
      </c>
      <c r="AV266" t="s">
        <v>48</v>
      </c>
      <c r="AW266" t="s">
        <v>48</v>
      </c>
    </row>
    <row r="267" spans="1:49" x14ac:dyDescent="0.3">
      <c r="A267" t="s">
        <v>936</v>
      </c>
      <c r="B267" t="s">
        <v>48</v>
      </c>
      <c r="C267" t="s">
        <v>49</v>
      </c>
      <c r="D267">
        <v>330.36</v>
      </c>
      <c r="E267">
        <v>0</v>
      </c>
      <c r="F267">
        <v>2.64</v>
      </c>
      <c r="G267" t="s">
        <v>227</v>
      </c>
      <c r="H267" t="s">
        <v>937</v>
      </c>
      <c r="I267" t="s">
        <v>52</v>
      </c>
      <c r="J267" t="s">
        <v>53</v>
      </c>
      <c r="K267">
        <v>3.8</v>
      </c>
      <c r="L267" t="s">
        <v>54</v>
      </c>
      <c r="M267">
        <f>DOWNLOAD_2kLRbPnDtawQopEJ_UKtt22ud9U57gk8mqebZIeugNk[[#This Row],[Standard Value]]/DOWNLOAD_2kLRbPnDtawQopEJ_UKtt22ud9U57gk8mqebZIeugNk[[#This Row],[Molecular Weight]]*1000*1000</f>
        <v>11502.603220728901</v>
      </c>
      <c r="N267">
        <f>-LOG(DOWNLOAD_2kLRbPnDtawQopEJ_UKtt22ud9U57gk8mqebZIeugNk[[#This Row],[IC50]]*POWER(10, -9), 10)</f>
        <v>4.9392038608241444</v>
      </c>
      <c r="P267" t="s">
        <v>48</v>
      </c>
      <c r="R267" t="s">
        <v>55</v>
      </c>
      <c r="W267">
        <v>0</v>
      </c>
      <c r="X267" t="s">
        <v>359</v>
      </c>
      <c r="Y267" t="s">
        <v>360</v>
      </c>
      <c r="Z267" t="s">
        <v>168</v>
      </c>
      <c r="AA267" t="s">
        <v>169</v>
      </c>
      <c r="AB267" t="s">
        <v>170</v>
      </c>
      <c r="AC267" t="s">
        <v>61</v>
      </c>
      <c r="AD267" t="s">
        <v>49</v>
      </c>
      <c r="AE267" t="s">
        <v>49</v>
      </c>
      <c r="AF267" t="s">
        <v>49</v>
      </c>
      <c r="AG267" t="s">
        <v>49</v>
      </c>
      <c r="AH267" t="s">
        <v>48</v>
      </c>
      <c r="AI267" t="s">
        <v>48</v>
      </c>
      <c r="AJ267" t="s">
        <v>48</v>
      </c>
      <c r="AK267" t="s">
        <v>62</v>
      </c>
      <c r="AL267" t="s">
        <v>63</v>
      </c>
      <c r="AM267" t="s">
        <v>61</v>
      </c>
      <c r="AN267" t="s">
        <v>64</v>
      </c>
      <c r="AO267" t="s">
        <v>361</v>
      </c>
      <c r="AP267">
        <v>1</v>
      </c>
      <c r="AQ267" t="s">
        <v>66</v>
      </c>
      <c r="AR267" t="s">
        <v>67</v>
      </c>
      <c r="AS267">
        <v>1993</v>
      </c>
      <c r="AT267" t="s">
        <v>49</v>
      </c>
      <c r="AU267" t="s">
        <v>48</v>
      </c>
      <c r="AV267" t="s">
        <v>48</v>
      </c>
      <c r="AW267" t="s">
        <v>48</v>
      </c>
    </row>
    <row r="268" spans="1:49" x14ac:dyDescent="0.3">
      <c r="A268" t="s">
        <v>899</v>
      </c>
      <c r="B268" t="s">
        <v>900</v>
      </c>
      <c r="C268" t="s">
        <v>112</v>
      </c>
      <c r="D268">
        <v>320.32</v>
      </c>
      <c r="E268">
        <v>0</v>
      </c>
      <c r="F268">
        <v>0.66</v>
      </c>
      <c r="G268" t="s">
        <v>938</v>
      </c>
      <c r="H268" t="s">
        <v>901</v>
      </c>
      <c r="I268" t="s">
        <v>52</v>
      </c>
      <c r="J268" t="s">
        <v>53</v>
      </c>
      <c r="K268">
        <v>14000</v>
      </c>
      <c r="L268" t="s">
        <v>126</v>
      </c>
      <c r="M268">
        <f>DOWNLOAD_2kLRbPnDtawQopEJ_UKtt22ud9U57gk8mqebZIeugNk[[#This Row],[Standard Value]]</f>
        <v>14000</v>
      </c>
      <c r="N268">
        <f>-LOG(DOWNLOAD_2kLRbPnDtawQopEJ_UKtt22ud9U57gk8mqebZIeugNk[[#This Row],[IC50]]*POWER(10, -9), 10)</f>
        <v>4.8538719643217609</v>
      </c>
      <c r="O268">
        <v>4.8499999999999996</v>
      </c>
      <c r="P268" t="s">
        <v>48</v>
      </c>
      <c r="R268" t="s">
        <v>127</v>
      </c>
      <c r="S268">
        <v>15.15</v>
      </c>
      <c r="T268">
        <v>0.28999999999999998</v>
      </c>
      <c r="U268">
        <v>4.1900000000000004</v>
      </c>
      <c r="V268">
        <v>5.55</v>
      </c>
      <c r="W268">
        <v>0</v>
      </c>
      <c r="X268" t="s">
        <v>895</v>
      </c>
      <c r="Y268" t="s">
        <v>896</v>
      </c>
      <c r="Z268" t="s">
        <v>58</v>
      </c>
      <c r="AA268" t="s">
        <v>59</v>
      </c>
      <c r="AB268" t="s">
        <v>60</v>
      </c>
      <c r="AC268" t="s">
        <v>61</v>
      </c>
      <c r="AD268" t="s">
        <v>49</v>
      </c>
      <c r="AE268" t="s">
        <v>49</v>
      </c>
      <c r="AF268" t="s">
        <v>49</v>
      </c>
      <c r="AG268" t="s">
        <v>49</v>
      </c>
      <c r="AH268" t="s">
        <v>48</v>
      </c>
      <c r="AI268" t="s">
        <v>48</v>
      </c>
      <c r="AJ268" t="s">
        <v>48</v>
      </c>
      <c r="AK268" t="s">
        <v>62</v>
      </c>
      <c r="AL268" t="s">
        <v>63</v>
      </c>
      <c r="AM268" t="s">
        <v>61</v>
      </c>
      <c r="AN268" t="s">
        <v>64</v>
      </c>
      <c r="AO268" t="s">
        <v>897</v>
      </c>
      <c r="AP268">
        <v>1</v>
      </c>
      <c r="AQ268" t="s">
        <v>66</v>
      </c>
      <c r="AR268" t="s">
        <v>353</v>
      </c>
      <c r="AS268">
        <v>2008</v>
      </c>
      <c r="AT268" t="s">
        <v>49</v>
      </c>
      <c r="AU268" t="s">
        <v>48</v>
      </c>
      <c r="AV268" t="s">
        <v>48</v>
      </c>
      <c r="AW268" t="s">
        <v>48</v>
      </c>
    </row>
    <row r="269" spans="1:49" x14ac:dyDescent="0.3">
      <c r="A269" t="s">
        <v>181</v>
      </c>
      <c r="B269" t="s">
        <v>182</v>
      </c>
      <c r="C269" t="s">
        <v>112</v>
      </c>
      <c r="D269">
        <v>612.63</v>
      </c>
      <c r="E269">
        <v>2</v>
      </c>
      <c r="F269">
        <v>3.63</v>
      </c>
      <c r="G269" t="s">
        <v>183</v>
      </c>
      <c r="H269" t="s">
        <v>184</v>
      </c>
      <c r="I269" t="s">
        <v>52</v>
      </c>
      <c r="J269" t="s">
        <v>53</v>
      </c>
      <c r="K269">
        <v>168</v>
      </c>
      <c r="L269" t="s">
        <v>126</v>
      </c>
      <c r="M269">
        <f>DOWNLOAD_2kLRbPnDtawQopEJ_UKtt22ud9U57gk8mqebZIeugNk[[#This Row],[Standard Value]]</f>
        <v>168</v>
      </c>
      <c r="N269">
        <f>-LOG(DOWNLOAD_2kLRbPnDtawQopEJ_UKtt22ud9U57gk8mqebZIeugNk[[#This Row],[IC50]]*POWER(10, -9), 10)</f>
        <v>6.7746907182741367</v>
      </c>
      <c r="O269">
        <v>6.78</v>
      </c>
      <c r="P269" t="s">
        <v>48</v>
      </c>
      <c r="R269" t="s">
        <v>127</v>
      </c>
      <c r="S269">
        <v>11.06</v>
      </c>
      <c r="T269">
        <v>0.21</v>
      </c>
      <c r="U269">
        <v>3.14</v>
      </c>
      <c r="V269">
        <v>3.39</v>
      </c>
      <c r="W269">
        <v>0</v>
      </c>
      <c r="X269" t="s">
        <v>684</v>
      </c>
      <c r="Y269" t="s">
        <v>327</v>
      </c>
      <c r="Z269" t="s">
        <v>58</v>
      </c>
      <c r="AA269" t="s">
        <v>59</v>
      </c>
      <c r="AB269" t="s">
        <v>60</v>
      </c>
      <c r="AC269" t="s">
        <v>61</v>
      </c>
      <c r="AD269" t="s">
        <v>49</v>
      </c>
      <c r="AE269" t="s">
        <v>49</v>
      </c>
      <c r="AF269" t="s">
        <v>49</v>
      </c>
      <c r="AG269" t="s">
        <v>49</v>
      </c>
      <c r="AH269" t="s">
        <v>48</v>
      </c>
      <c r="AI269" t="s">
        <v>48</v>
      </c>
      <c r="AJ269" t="s">
        <v>48</v>
      </c>
      <c r="AK269" t="s">
        <v>62</v>
      </c>
      <c r="AL269" t="s">
        <v>63</v>
      </c>
      <c r="AM269" t="s">
        <v>61</v>
      </c>
      <c r="AN269" t="s">
        <v>64</v>
      </c>
      <c r="AO269" t="s">
        <v>685</v>
      </c>
      <c r="AP269">
        <v>1</v>
      </c>
      <c r="AQ269" t="s">
        <v>66</v>
      </c>
      <c r="AR269" t="s">
        <v>686</v>
      </c>
      <c r="AS269">
        <v>2020</v>
      </c>
      <c r="AT269" t="s">
        <v>49</v>
      </c>
      <c r="AU269" t="s">
        <v>299</v>
      </c>
      <c r="AV269" t="s">
        <v>269</v>
      </c>
      <c r="AW269" t="s">
        <v>48</v>
      </c>
    </row>
    <row r="270" spans="1:49" x14ac:dyDescent="0.3">
      <c r="A270" t="s">
        <v>939</v>
      </c>
      <c r="B270" t="s">
        <v>48</v>
      </c>
      <c r="C270" t="s">
        <v>49</v>
      </c>
      <c r="D270">
        <v>383.26</v>
      </c>
      <c r="E270">
        <v>0</v>
      </c>
      <c r="F270">
        <v>4.45</v>
      </c>
      <c r="G270" t="s">
        <v>832</v>
      </c>
      <c r="H270" t="s">
        <v>940</v>
      </c>
      <c r="I270" t="s">
        <v>52</v>
      </c>
      <c r="J270" t="s">
        <v>53</v>
      </c>
      <c r="K270">
        <v>66</v>
      </c>
      <c r="L270" t="s">
        <v>126</v>
      </c>
      <c r="M270">
        <f>DOWNLOAD_2kLRbPnDtawQopEJ_UKtt22ud9U57gk8mqebZIeugNk[[#This Row],[Standard Value]]</f>
        <v>66</v>
      </c>
      <c r="N270">
        <f>-LOG(DOWNLOAD_2kLRbPnDtawQopEJ_UKtt22ud9U57gk8mqebZIeugNk[[#This Row],[IC50]]*POWER(10, -9), 10)</f>
        <v>7.1804560644581317</v>
      </c>
      <c r="O270">
        <v>7.18</v>
      </c>
      <c r="P270" t="s">
        <v>48</v>
      </c>
      <c r="R270" t="s">
        <v>127</v>
      </c>
      <c r="S270">
        <v>18.739999999999998</v>
      </c>
      <c r="T270">
        <v>0.41</v>
      </c>
      <c r="U270">
        <v>2.73</v>
      </c>
      <c r="V270">
        <v>8.26</v>
      </c>
      <c r="W270">
        <v>0</v>
      </c>
      <c r="X270" t="s">
        <v>684</v>
      </c>
      <c r="Y270" t="s">
        <v>327</v>
      </c>
      <c r="Z270" t="s">
        <v>58</v>
      </c>
      <c r="AA270" t="s">
        <v>59</v>
      </c>
      <c r="AB270" t="s">
        <v>60</v>
      </c>
      <c r="AC270" t="s">
        <v>61</v>
      </c>
      <c r="AD270" t="s">
        <v>49</v>
      </c>
      <c r="AE270" t="s">
        <v>49</v>
      </c>
      <c r="AF270" t="s">
        <v>49</v>
      </c>
      <c r="AG270" t="s">
        <v>49</v>
      </c>
      <c r="AH270" t="s">
        <v>48</v>
      </c>
      <c r="AI270" t="s">
        <v>48</v>
      </c>
      <c r="AJ270" t="s">
        <v>48</v>
      </c>
      <c r="AK270" t="s">
        <v>62</v>
      </c>
      <c r="AL270" t="s">
        <v>63</v>
      </c>
      <c r="AM270" t="s">
        <v>61</v>
      </c>
      <c r="AN270" t="s">
        <v>64</v>
      </c>
      <c r="AO270" t="s">
        <v>685</v>
      </c>
      <c r="AP270">
        <v>1</v>
      </c>
      <c r="AQ270" t="s">
        <v>66</v>
      </c>
      <c r="AR270" t="s">
        <v>686</v>
      </c>
      <c r="AS270">
        <v>2020</v>
      </c>
      <c r="AT270" t="s">
        <v>49</v>
      </c>
      <c r="AU270" t="s">
        <v>299</v>
      </c>
      <c r="AV270" t="s">
        <v>269</v>
      </c>
      <c r="AW270" t="s">
        <v>48</v>
      </c>
    </row>
    <row r="271" spans="1:49" x14ac:dyDescent="0.3">
      <c r="A271" t="s">
        <v>941</v>
      </c>
      <c r="B271" t="s">
        <v>942</v>
      </c>
      <c r="C271" t="s">
        <v>112</v>
      </c>
      <c r="D271">
        <v>337.35</v>
      </c>
      <c r="E271">
        <v>0</v>
      </c>
      <c r="F271">
        <v>1.1200000000000001</v>
      </c>
      <c r="G271" t="s">
        <v>943</v>
      </c>
      <c r="H271" t="s">
        <v>944</v>
      </c>
      <c r="I271" t="s">
        <v>52</v>
      </c>
      <c r="J271" t="s">
        <v>71</v>
      </c>
      <c r="K271">
        <v>32000</v>
      </c>
      <c r="L271" t="s">
        <v>126</v>
      </c>
      <c r="M271">
        <f>DOWNLOAD_2kLRbPnDtawQopEJ_UKtt22ud9U57gk8mqebZIeugNk[[#This Row],[Standard Value]]</f>
        <v>32000</v>
      </c>
      <c r="N271">
        <f>-LOG(DOWNLOAD_2kLRbPnDtawQopEJ_UKtt22ud9U57gk8mqebZIeugNk[[#This Row],[IC50]]*POWER(10, -9), 10)</f>
        <v>4.4948500216800928</v>
      </c>
      <c r="P271" t="s">
        <v>48</v>
      </c>
      <c r="R271" t="s">
        <v>127</v>
      </c>
      <c r="W271">
        <v>0</v>
      </c>
      <c r="X271" t="s">
        <v>519</v>
      </c>
      <c r="Y271" t="s">
        <v>520</v>
      </c>
      <c r="Z271" t="s">
        <v>58</v>
      </c>
      <c r="AA271" t="s">
        <v>59</v>
      </c>
      <c r="AB271" t="s">
        <v>60</v>
      </c>
      <c r="AC271" t="s">
        <v>61</v>
      </c>
      <c r="AD271" t="s">
        <v>49</v>
      </c>
      <c r="AE271" t="s">
        <v>49</v>
      </c>
      <c r="AF271" t="s">
        <v>49</v>
      </c>
      <c r="AG271" t="s">
        <v>49</v>
      </c>
      <c r="AH271" t="s">
        <v>48</v>
      </c>
      <c r="AI271" t="s">
        <v>48</v>
      </c>
      <c r="AJ271" t="s">
        <v>48</v>
      </c>
      <c r="AK271" t="s">
        <v>62</v>
      </c>
      <c r="AL271" t="s">
        <v>63</v>
      </c>
      <c r="AM271" t="s">
        <v>61</v>
      </c>
      <c r="AN271" t="s">
        <v>64</v>
      </c>
      <c r="AO271" t="s">
        <v>521</v>
      </c>
      <c r="AP271">
        <v>1</v>
      </c>
      <c r="AQ271" t="s">
        <v>66</v>
      </c>
      <c r="AR271" t="s">
        <v>67</v>
      </c>
      <c r="AS271">
        <v>2014</v>
      </c>
      <c r="AT271" t="s">
        <v>49</v>
      </c>
      <c r="AU271" t="s">
        <v>48</v>
      </c>
      <c r="AV271" t="s">
        <v>48</v>
      </c>
      <c r="AW271" t="s">
        <v>48</v>
      </c>
    </row>
    <row r="272" spans="1:49" x14ac:dyDescent="0.3">
      <c r="A272" t="s">
        <v>945</v>
      </c>
      <c r="B272" t="s">
        <v>48</v>
      </c>
      <c r="C272" t="s">
        <v>49</v>
      </c>
      <c r="D272">
        <v>326.39999999999998</v>
      </c>
      <c r="E272">
        <v>0</v>
      </c>
      <c r="F272">
        <v>3.33</v>
      </c>
      <c r="G272" t="s">
        <v>946</v>
      </c>
      <c r="H272" t="s">
        <v>947</v>
      </c>
      <c r="I272" t="s">
        <v>52</v>
      </c>
      <c r="J272" t="s">
        <v>53</v>
      </c>
      <c r="K272">
        <v>3.3</v>
      </c>
      <c r="L272" t="s">
        <v>54</v>
      </c>
      <c r="M272">
        <f>DOWNLOAD_2kLRbPnDtawQopEJ_UKtt22ud9U57gk8mqebZIeugNk[[#This Row],[Standard Value]]/DOWNLOAD_2kLRbPnDtawQopEJ_UKtt22ud9U57gk8mqebZIeugNk[[#This Row],[Molecular Weight]]*1000*1000</f>
        <v>10110.294117647059</v>
      </c>
      <c r="N272">
        <f>-LOG(DOWNLOAD_2kLRbPnDtawQopEJ_UKtt22ud9U57gk8mqebZIeugNk[[#This Row],[IC50]]*POWER(10, -9), 10)</f>
        <v>4.9952362102039354</v>
      </c>
      <c r="P272" t="s">
        <v>48</v>
      </c>
      <c r="R272" t="s">
        <v>55</v>
      </c>
      <c r="W272">
        <v>0</v>
      </c>
      <c r="X272" t="s">
        <v>135</v>
      </c>
      <c r="Y272" t="s">
        <v>136</v>
      </c>
      <c r="Z272" t="s">
        <v>58</v>
      </c>
      <c r="AA272" t="s">
        <v>59</v>
      </c>
      <c r="AB272" t="s">
        <v>60</v>
      </c>
      <c r="AC272" t="s">
        <v>61</v>
      </c>
      <c r="AD272" t="s">
        <v>49</v>
      </c>
      <c r="AE272" t="s">
        <v>49</v>
      </c>
      <c r="AF272" t="s">
        <v>49</v>
      </c>
      <c r="AG272" t="s">
        <v>49</v>
      </c>
      <c r="AH272" t="s">
        <v>48</v>
      </c>
      <c r="AI272" t="s">
        <v>48</v>
      </c>
      <c r="AJ272" t="s">
        <v>48</v>
      </c>
      <c r="AK272" t="s">
        <v>62</v>
      </c>
      <c r="AL272" t="s">
        <v>63</v>
      </c>
      <c r="AM272" t="s">
        <v>61</v>
      </c>
      <c r="AN272" t="s">
        <v>64</v>
      </c>
      <c r="AO272" t="s">
        <v>137</v>
      </c>
      <c r="AP272">
        <v>1</v>
      </c>
      <c r="AQ272" t="s">
        <v>66</v>
      </c>
      <c r="AR272" t="s">
        <v>67</v>
      </c>
      <c r="AS272">
        <v>1996</v>
      </c>
      <c r="AT272" t="s">
        <v>49</v>
      </c>
      <c r="AU272" t="s">
        <v>48</v>
      </c>
      <c r="AV272" t="s">
        <v>48</v>
      </c>
      <c r="AW272" t="s">
        <v>48</v>
      </c>
    </row>
    <row r="273" spans="1:49" x14ac:dyDescent="0.3">
      <c r="A273" t="s">
        <v>948</v>
      </c>
      <c r="B273" t="s">
        <v>48</v>
      </c>
      <c r="C273" t="s">
        <v>49</v>
      </c>
      <c r="D273">
        <v>360.32</v>
      </c>
      <c r="E273">
        <v>0</v>
      </c>
      <c r="F273">
        <v>2.6</v>
      </c>
      <c r="G273" t="s">
        <v>949</v>
      </c>
      <c r="H273" t="s">
        <v>950</v>
      </c>
      <c r="I273" t="s">
        <v>52</v>
      </c>
      <c r="J273" t="s">
        <v>71</v>
      </c>
      <c r="K273">
        <v>500</v>
      </c>
      <c r="L273" t="s">
        <v>54</v>
      </c>
      <c r="M273">
        <f>DOWNLOAD_2kLRbPnDtawQopEJ_UKtt22ud9U57gk8mqebZIeugNk[[#This Row],[Standard Value]]/DOWNLOAD_2kLRbPnDtawQopEJ_UKtt22ud9U57gk8mqebZIeugNk[[#This Row],[Molecular Weight]]*1000*1000</f>
        <v>1387655.4174067497</v>
      </c>
      <c r="N273">
        <f>-LOG(DOWNLOAD_2kLRbPnDtawQopEJ_UKtt22ud9U57gk8mqebZIeugNk[[#This Row],[IC50]]*POWER(10, -9), 10)</f>
        <v>2.8577183644992141</v>
      </c>
      <c r="P273" t="s">
        <v>72</v>
      </c>
      <c r="R273" t="s">
        <v>55</v>
      </c>
      <c r="W273">
        <v>0</v>
      </c>
      <c r="X273" t="s">
        <v>314</v>
      </c>
      <c r="Y273" t="s">
        <v>315</v>
      </c>
      <c r="Z273" t="s">
        <v>58</v>
      </c>
      <c r="AA273" t="s">
        <v>59</v>
      </c>
      <c r="AB273" t="s">
        <v>60</v>
      </c>
      <c r="AC273" t="s">
        <v>61</v>
      </c>
      <c r="AD273" t="s">
        <v>49</v>
      </c>
      <c r="AE273" t="s">
        <v>49</v>
      </c>
      <c r="AF273" t="s">
        <v>49</v>
      </c>
      <c r="AG273" t="s">
        <v>49</v>
      </c>
      <c r="AH273" t="s">
        <v>48</v>
      </c>
      <c r="AI273" t="s">
        <v>48</v>
      </c>
      <c r="AJ273" t="s">
        <v>48</v>
      </c>
      <c r="AK273" t="s">
        <v>62</v>
      </c>
      <c r="AL273" t="s">
        <v>63</v>
      </c>
      <c r="AM273" t="s">
        <v>61</v>
      </c>
      <c r="AN273" t="s">
        <v>64</v>
      </c>
      <c r="AO273" t="s">
        <v>316</v>
      </c>
      <c r="AP273">
        <v>1</v>
      </c>
      <c r="AQ273" t="s">
        <v>66</v>
      </c>
      <c r="AR273" t="s">
        <v>76</v>
      </c>
      <c r="AS273">
        <v>1993</v>
      </c>
      <c r="AT273" t="s">
        <v>49</v>
      </c>
      <c r="AU273" t="s">
        <v>48</v>
      </c>
      <c r="AV273" t="s">
        <v>48</v>
      </c>
      <c r="AW273" t="s">
        <v>48</v>
      </c>
    </row>
    <row r="274" spans="1:49" x14ac:dyDescent="0.3">
      <c r="A274" t="s">
        <v>951</v>
      </c>
      <c r="B274" t="s">
        <v>48</v>
      </c>
      <c r="C274" t="s">
        <v>49</v>
      </c>
      <c r="D274">
        <v>569.66</v>
      </c>
      <c r="E274">
        <v>1</v>
      </c>
      <c r="F274">
        <v>3.04</v>
      </c>
      <c r="G274" t="s">
        <v>952</v>
      </c>
      <c r="H274" t="s">
        <v>953</v>
      </c>
      <c r="I274" t="s">
        <v>52</v>
      </c>
      <c r="J274" t="s">
        <v>53</v>
      </c>
      <c r="K274">
        <v>0.16</v>
      </c>
      <c r="L274" t="s">
        <v>54</v>
      </c>
      <c r="M274">
        <f>DOWNLOAD_2kLRbPnDtawQopEJ_UKtt22ud9U57gk8mqebZIeugNk[[#This Row],[Standard Value]]/DOWNLOAD_2kLRbPnDtawQopEJ_UKtt22ud9U57gk8mqebZIeugNk[[#This Row],[Molecular Weight]]*1000*1000</f>
        <v>280.86929045395499</v>
      </c>
      <c r="N274">
        <f>-LOG(DOWNLOAD_2kLRbPnDtawQopEJ_UKtt22ud9U57gk8mqebZIeugNk[[#This Row],[IC50]]*POWER(10, -9), 10)</f>
        <v>6.5514957428755975</v>
      </c>
      <c r="P274" t="s">
        <v>48</v>
      </c>
      <c r="R274" t="s">
        <v>55</v>
      </c>
      <c r="W274">
        <v>0</v>
      </c>
      <c r="X274" t="s">
        <v>86</v>
      </c>
      <c r="Y274" t="s">
        <v>87</v>
      </c>
      <c r="Z274" t="s">
        <v>58</v>
      </c>
      <c r="AA274" t="s">
        <v>59</v>
      </c>
      <c r="AB274" t="s">
        <v>60</v>
      </c>
      <c r="AC274" t="s">
        <v>61</v>
      </c>
      <c r="AD274" t="s">
        <v>49</v>
      </c>
      <c r="AE274" t="s">
        <v>49</v>
      </c>
      <c r="AF274" t="s">
        <v>49</v>
      </c>
      <c r="AG274" t="s">
        <v>49</v>
      </c>
      <c r="AH274" t="s">
        <v>48</v>
      </c>
      <c r="AI274" t="s">
        <v>48</v>
      </c>
      <c r="AJ274" t="s">
        <v>48</v>
      </c>
      <c r="AK274" t="s">
        <v>62</v>
      </c>
      <c r="AL274" t="s">
        <v>63</v>
      </c>
      <c r="AM274" t="s">
        <v>61</v>
      </c>
      <c r="AN274" t="s">
        <v>64</v>
      </c>
      <c r="AO274" t="s">
        <v>88</v>
      </c>
      <c r="AP274">
        <v>1</v>
      </c>
      <c r="AQ274" t="s">
        <v>66</v>
      </c>
      <c r="AR274" t="s">
        <v>76</v>
      </c>
      <c r="AS274">
        <v>2001</v>
      </c>
      <c r="AT274" t="s">
        <v>49</v>
      </c>
      <c r="AU274" t="s">
        <v>48</v>
      </c>
      <c r="AV274" t="s">
        <v>48</v>
      </c>
      <c r="AW274" t="s">
        <v>48</v>
      </c>
    </row>
    <row r="275" spans="1:49" x14ac:dyDescent="0.3">
      <c r="A275" t="s">
        <v>954</v>
      </c>
      <c r="B275" t="s">
        <v>48</v>
      </c>
      <c r="C275" t="s">
        <v>49</v>
      </c>
      <c r="D275">
        <v>541.16</v>
      </c>
      <c r="E275">
        <v>1</v>
      </c>
      <c r="F275">
        <v>3.65</v>
      </c>
      <c r="G275" t="s">
        <v>479</v>
      </c>
      <c r="H275" t="s">
        <v>955</v>
      </c>
      <c r="I275" t="s">
        <v>52</v>
      </c>
      <c r="J275" t="s">
        <v>53</v>
      </c>
      <c r="K275">
        <v>86</v>
      </c>
      <c r="L275" t="s">
        <v>126</v>
      </c>
      <c r="M275">
        <f>DOWNLOAD_2kLRbPnDtawQopEJ_UKtt22ud9U57gk8mqebZIeugNk[[#This Row],[Standard Value]]</f>
        <v>86</v>
      </c>
      <c r="N275">
        <f>-LOG(DOWNLOAD_2kLRbPnDtawQopEJ_UKtt22ud9U57gk8mqebZIeugNk[[#This Row],[IC50]]*POWER(10, -9), 10)</f>
        <v>7.0655015487564325</v>
      </c>
      <c r="O275">
        <v>7.07</v>
      </c>
      <c r="P275" t="s">
        <v>48</v>
      </c>
      <c r="R275" t="s">
        <v>127</v>
      </c>
      <c r="S275">
        <v>13.06</v>
      </c>
      <c r="T275">
        <v>0.32</v>
      </c>
      <c r="U275">
        <v>3.42</v>
      </c>
      <c r="V275">
        <v>5.08</v>
      </c>
      <c r="W275">
        <v>0</v>
      </c>
      <c r="X275" t="s">
        <v>326</v>
      </c>
      <c r="Y275" t="s">
        <v>327</v>
      </c>
      <c r="Z275" t="s">
        <v>58</v>
      </c>
      <c r="AA275" t="s">
        <v>59</v>
      </c>
      <c r="AB275" t="s">
        <v>60</v>
      </c>
      <c r="AC275" t="s">
        <v>61</v>
      </c>
      <c r="AD275" t="s">
        <v>49</v>
      </c>
      <c r="AE275" t="s">
        <v>49</v>
      </c>
      <c r="AF275" t="s">
        <v>49</v>
      </c>
      <c r="AG275" t="s">
        <v>49</v>
      </c>
      <c r="AH275" t="s">
        <v>48</v>
      </c>
      <c r="AI275" t="s">
        <v>48</v>
      </c>
      <c r="AJ275" t="s">
        <v>48</v>
      </c>
      <c r="AK275" t="s">
        <v>62</v>
      </c>
      <c r="AL275" t="s">
        <v>63</v>
      </c>
      <c r="AM275" t="s">
        <v>61</v>
      </c>
      <c r="AN275" t="s">
        <v>64</v>
      </c>
      <c r="AO275" t="s">
        <v>328</v>
      </c>
      <c r="AP275">
        <v>1</v>
      </c>
      <c r="AQ275" t="s">
        <v>66</v>
      </c>
      <c r="AR275" t="s">
        <v>329</v>
      </c>
      <c r="AS275">
        <v>2019</v>
      </c>
      <c r="AT275" t="s">
        <v>49</v>
      </c>
      <c r="AU275" t="s">
        <v>48</v>
      </c>
      <c r="AV275" t="s">
        <v>48</v>
      </c>
      <c r="AW275" t="s">
        <v>48</v>
      </c>
    </row>
    <row r="276" spans="1:49" x14ac:dyDescent="0.3">
      <c r="A276" t="s">
        <v>956</v>
      </c>
      <c r="B276" t="s">
        <v>48</v>
      </c>
      <c r="C276" t="s">
        <v>49</v>
      </c>
      <c r="D276">
        <v>424.27</v>
      </c>
      <c r="E276">
        <v>0</v>
      </c>
      <c r="F276">
        <v>1.72</v>
      </c>
      <c r="G276" t="s">
        <v>561</v>
      </c>
      <c r="H276" t="s">
        <v>957</v>
      </c>
      <c r="I276" t="s">
        <v>52</v>
      </c>
      <c r="J276" t="s">
        <v>53</v>
      </c>
      <c r="K276">
        <v>1.9</v>
      </c>
      <c r="L276" t="s">
        <v>54</v>
      </c>
      <c r="M276">
        <f>DOWNLOAD_2kLRbPnDtawQopEJ_UKtt22ud9U57gk8mqebZIeugNk[[#This Row],[Standard Value]]/DOWNLOAD_2kLRbPnDtawQopEJ_UKtt22ud9U57gk8mqebZIeugNk[[#This Row],[Molecular Weight]]*1000*1000</f>
        <v>4478.2803403493062</v>
      </c>
      <c r="N276">
        <f>-LOG(DOWNLOAD_2kLRbPnDtawQopEJ_UKtt22ud9U57gk8mqebZIeugNk[[#This Row],[IC50]]*POWER(10, -9), 10)</f>
        <v>5.348888723071437</v>
      </c>
      <c r="P276" t="s">
        <v>48</v>
      </c>
      <c r="R276" t="s">
        <v>55</v>
      </c>
      <c r="W276">
        <v>0</v>
      </c>
      <c r="X276" t="s">
        <v>98</v>
      </c>
      <c r="Y276" t="s">
        <v>99</v>
      </c>
      <c r="Z276" t="s">
        <v>58</v>
      </c>
      <c r="AA276" t="s">
        <v>59</v>
      </c>
      <c r="AB276" t="s">
        <v>60</v>
      </c>
      <c r="AC276" t="s">
        <v>49</v>
      </c>
      <c r="AD276" t="s">
        <v>49</v>
      </c>
      <c r="AE276" t="s">
        <v>49</v>
      </c>
      <c r="AF276" t="s">
        <v>49</v>
      </c>
      <c r="AG276" t="s">
        <v>49</v>
      </c>
      <c r="AH276" t="s">
        <v>48</v>
      </c>
      <c r="AI276" t="s">
        <v>48</v>
      </c>
      <c r="AJ276" t="s">
        <v>48</v>
      </c>
      <c r="AK276" t="s">
        <v>62</v>
      </c>
      <c r="AL276" t="s">
        <v>63</v>
      </c>
      <c r="AM276" t="s">
        <v>61</v>
      </c>
      <c r="AN276" t="s">
        <v>64</v>
      </c>
      <c r="AO276" t="s">
        <v>100</v>
      </c>
      <c r="AP276">
        <v>1</v>
      </c>
      <c r="AQ276" t="s">
        <v>66</v>
      </c>
      <c r="AR276" t="s">
        <v>67</v>
      </c>
      <c r="AS276">
        <v>1991</v>
      </c>
      <c r="AT276" t="s">
        <v>49</v>
      </c>
      <c r="AU276" t="s">
        <v>48</v>
      </c>
      <c r="AV276" t="s">
        <v>48</v>
      </c>
      <c r="AW276" t="s">
        <v>48</v>
      </c>
    </row>
    <row r="277" spans="1:49" x14ac:dyDescent="0.3">
      <c r="A277" t="s">
        <v>958</v>
      </c>
      <c r="B277" t="s">
        <v>48</v>
      </c>
      <c r="C277" t="s">
        <v>49</v>
      </c>
      <c r="D277">
        <v>328.34</v>
      </c>
      <c r="E277">
        <v>0</v>
      </c>
      <c r="F277">
        <v>2.68</v>
      </c>
      <c r="G277" t="s">
        <v>470</v>
      </c>
      <c r="H277" t="s">
        <v>959</v>
      </c>
      <c r="I277" t="s">
        <v>52</v>
      </c>
      <c r="J277" t="s">
        <v>53</v>
      </c>
      <c r="K277">
        <v>2.8</v>
      </c>
      <c r="L277" t="s">
        <v>54</v>
      </c>
      <c r="M277">
        <f>DOWNLOAD_2kLRbPnDtawQopEJ_UKtt22ud9U57gk8mqebZIeugNk[[#This Row],[Standard Value]]/DOWNLOAD_2kLRbPnDtawQopEJ_UKtt22ud9U57gk8mqebZIeugNk[[#This Row],[Molecular Weight]]*1000*1000</f>
        <v>8527.7456295303655</v>
      </c>
      <c r="N277">
        <f>-LOG(DOWNLOAD_2kLRbPnDtawQopEJ_UKtt22ud9U57gk8mqebZIeugNk[[#This Row],[IC50]]*POWER(10, -9), 10)</f>
        <v>5.069165762508276</v>
      </c>
      <c r="P277" t="s">
        <v>48</v>
      </c>
      <c r="R277" t="s">
        <v>55</v>
      </c>
      <c r="W277">
        <v>0</v>
      </c>
      <c r="X277" t="s">
        <v>359</v>
      </c>
      <c r="Y277" t="s">
        <v>360</v>
      </c>
      <c r="Z277" t="s">
        <v>168</v>
      </c>
      <c r="AA277" t="s">
        <v>169</v>
      </c>
      <c r="AB277" t="s">
        <v>170</v>
      </c>
      <c r="AC277" t="s">
        <v>61</v>
      </c>
      <c r="AD277" t="s">
        <v>49</v>
      </c>
      <c r="AE277" t="s">
        <v>49</v>
      </c>
      <c r="AF277" t="s">
        <v>49</v>
      </c>
      <c r="AG277" t="s">
        <v>49</v>
      </c>
      <c r="AH277" t="s">
        <v>48</v>
      </c>
      <c r="AI277" t="s">
        <v>48</v>
      </c>
      <c r="AJ277" t="s">
        <v>48</v>
      </c>
      <c r="AK277" t="s">
        <v>62</v>
      </c>
      <c r="AL277" t="s">
        <v>63</v>
      </c>
      <c r="AM277" t="s">
        <v>61</v>
      </c>
      <c r="AN277" t="s">
        <v>64</v>
      </c>
      <c r="AO277" t="s">
        <v>361</v>
      </c>
      <c r="AP277">
        <v>1</v>
      </c>
      <c r="AQ277" t="s">
        <v>66</v>
      </c>
      <c r="AR277" t="s">
        <v>67</v>
      </c>
      <c r="AS277">
        <v>1993</v>
      </c>
      <c r="AT277" t="s">
        <v>49</v>
      </c>
      <c r="AU277" t="s">
        <v>48</v>
      </c>
      <c r="AV277" t="s">
        <v>48</v>
      </c>
      <c r="AW277" t="s">
        <v>48</v>
      </c>
    </row>
    <row r="278" spans="1:49" x14ac:dyDescent="0.3">
      <c r="A278" t="s">
        <v>960</v>
      </c>
      <c r="B278" t="s">
        <v>48</v>
      </c>
      <c r="C278" t="s">
        <v>49</v>
      </c>
      <c r="D278">
        <v>389.88</v>
      </c>
      <c r="E278">
        <v>0</v>
      </c>
      <c r="F278">
        <v>3.25</v>
      </c>
      <c r="G278" t="s">
        <v>961</v>
      </c>
      <c r="H278" t="s">
        <v>962</v>
      </c>
      <c r="I278" t="s">
        <v>52</v>
      </c>
      <c r="J278" t="s">
        <v>53</v>
      </c>
      <c r="K278">
        <v>3.2</v>
      </c>
      <c r="L278" t="s">
        <v>54</v>
      </c>
      <c r="M278">
        <f>DOWNLOAD_2kLRbPnDtawQopEJ_UKtt22ud9U57gk8mqebZIeugNk[[#This Row],[Standard Value]]/DOWNLOAD_2kLRbPnDtawQopEJ_UKtt22ud9U57gk8mqebZIeugNk[[#This Row],[Molecular Weight]]*1000*1000</f>
        <v>8207.6536370165177</v>
      </c>
      <c r="N278">
        <f>-LOG(DOWNLOAD_2kLRbPnDtawQopEJ_UKtt22ud9U57gk8mqebZIeugNk[[#This Row],[IC50]]*POWER(10, -9), 10)</f>
        <v>5.0857809790727009</v>
      </c>
      <c r="P278" t="s">
        <v>48</v>
      </c>
      <c r="R278" t="s">
        <v>55</v>
      </c>
      <c r="W278">
        <v>0</v>
      </c>
      <c r="X278" t="s">
        <v>92</v>
      </c>
      <c r="Y278" t="s">
        <v>93</v>
      </c>
      <c r="Z278" t="s">
        <v>58</v>
      </c>
      <c r="AA278" t="s">
        <v>59</v>
      </c>
      <c r="AB278" t="s">
        <v>60</v>
      </c>
      <c r="AC278" t="s">
        <v>61</v>
      </c>
      <c r="AD278" t="s">
        <v>49</v>
      </c>
      <c r="AE278" t="s">
        <v>49</v>
      </c>
      <c r="AF278" t="s">
        <v>49</v>
      </c>
      <c r="AG278" t="s">
        <v>49</v>
      </c>
      <c r="AH278" t="s">
        <v>48</v>
      </c>
      <c r="AI278" t="s">
        <v>48</v>
      </c>
      <c r="AJ278" t="s">
        <v>48</v>
      </c>
      <c r="AK278" t="s">
        <v>62</v>
      </c>
      <c r="AL278" t="s">
        <v>63</v>
      </c>
      <c r="AM278" t="s">
        <v>61</v>
      </c>
      <c r="AN278" t="s">
        <v>64</v>
      </c>
      <c r="AO278" t="s">
        <v>94</v>
      </c>
      <c r="AP278">
        <v>1</v>
      </c>
      <c r="AQ278" t="s">
        <v>66</v>
      </c>
      <c r="AR278" t="s">
        <v>67</v>
      </c>
      <c r="AS278">
        <v>2003</v>
      </c>
      <c r="AT278" t="s">
        <v>49</v>
      </c>
      <c r="AU278" t="s">
        <v>48</v>
      </c>
      <c r="AV278" t="s">
        <v>48</v>
      </c>
      <c r="AW278" t="s">
        <v>48</v>
      </c>
    </row>
    <row r="279" spans="1:49" x14ac:dyDescent="0.3">
      <c r="A279" t="s">
        <v>963</v>
      </c>
      <c r="B279" t="s">
        <v>48</v>
      </c>
      <c r="C279" t="s">
        <v>49</v>
      </c>
      <c r="D279">
        <v>433.49</v>
      </c>
      <c r="E279">
        <v>0</v>
      </c>
      <c r="F279">
        <v>-0.09</v>
      </c>
      <c r="G279" t="s">
        <v>964</v>
      </c>
      <c r="H279" t="s">
        <v>965</v>
      </c>
      <c r="I279" t="s">
        <v>52</v>
      </c>
      <c r="J279" t="s">
        <v>71</v>
      </c>
      <c r="K279">
        <v>50000</v>
      </c>
      <c r="L279" t="s">
        <v>126</v>
      </c>
      <c r="M279">
        <f>DOWNLOAD_2kLRbPnDtawQopEJ_UKtt22ud9U57gk8mqebZIeugNk[[#This Row],[Standard Value]]</f>
        <v>50000</v>
      </c>
      <c r="N279">
        <f>-LOG(DOWNLOAD_2kLRbPnDtawQopEJ_UKtt22ud9U57gk8mqebZIeugNk[[#This Row],[IC50]]*POWER(10, -9), 10)</f>
        <v>4.3010299956639804</v>
      </c>
      <c r="P279" t="s">
        <v>48</v>
      </c>
      <c r="R279" t="s">
        <v>127</v>
      </c>
      <c r="W279">
        <v>0</v>
      </c>
      <c r="X279" t="s">
        <v>652</v>
      </c>
      <c r="Y279" t="s">
        <v>653</v>
      </c>
      <c r="Z279" t="s">
        <v>58</v>
      </c>
      <c r="AA279" t="s">
        <v>59</v>
      </c>
      <c r="AB279" t="s">
        <v>60</v>
      </c>
      <c r="AC279" t="s">
        <v>61</v>
      </c>
      <c r="AD279" t="s">
        <v>49</v>
      </c>
      <c r="AE279" t="s">
        <v>49</v>
      </c>
      <c r="AF279" t="s">
        <v>49</v>
      </c>
      <c r="AG279" t="s">
        <v>49</v>
      </c>
      <c r="AH279" t="s">
        <v>48</v>
      </c>
      <c r="AI279" t="s">
        <v>48</v>
      </c>
      <c r="AJ279" t="s">
        <v>48</v>
      </c>
      <c r="AK279" t="s">
        <v>62</v>
      </c>
      <c r="AL279" t="s">
        <v>63</v>
      </c>
      <c r="AM279" t="s">
        <v>61</v>
      </c>
      <c r="AN279" t="s">
        <v>64</v>
      </c>
      <c r="AO279" t="s">
        <v>654</v>
      </c>
      <c r="AP279">
        <v>1</v>
      </c>
      <c r="AQ279" t="s">
        <v>66</v>
      </c>
      <c r="AR279" t="s">
        <v>267</v>
      </c>
      <c r="AS279">
        <v>2020</v>
      </c>
      <c r="AT279" t="s">
        <v>49</v>
      </c>
      <c r="AU279" t="s">
        <v>48</v>
      </c>
      <c r="AV279" t="s">
        <v>48</v>
      </c>
      <c r="AW279" t="s">
        <v>48</v>
      </c>
    </row>
    <row r="280" spans="1:49" x14ac:dyDescent="0.3">
      <c r="A280" t="s">
        <v>966</v>
      </c>
      <c r="B280" t="s">
        <v>48</v>
      </c>
      <c r="C280" t="s">
        <v>49</v>
      </c>
      <c r="D280">
        <v>367.41</v>
      </c>
      <c r="E280">
        <v>0</v>
      </c>
      <c r="F280">
        <v>3.63</v>
      </c>
      <c r="G280" t="s">
        <v>324</v>
      </c>
      <c r="H280" t="s">
        <v>967</v>
      </c>
      <c r="I280" t="s">
        <v>52</v>
      </c>
      <c r="J280" t="s">
        <v>53</v>
      </c>
      <c r="K280">
        <v>300</v>
      </c>
      <c r="L280" t="s">
        <v>126</v>
      </c>
      <c r="M280">
        <f>DOWNLOAD_2kLRbPnDtawQopEJ_UKtt22ud9U57gk8mqebZIeugNk[[#This Row],[Standard Value]]</f>
        <v>300</v>
      </c>
      <c r="N280">
        <f>-LOG(DOWNLOAD_2kLRbPnDtawQopEJ_UKtt22ud9U57gk8mqebZIeugNk[[#This Row],[IC50]]*POWER(10, -9), 10)</f>
        <v>6.5228787452803365</v>
      </c>
      <c r="O280">
        <v>6.52</v>
      </c>
      <c r="P280" t="s">
        <v>48</v>
      </c>
      <c r="R280" t="s">
        <v>127</v>
      </c>
      <c r="S280">
        <v>17.75</v>
      </c>
      <c r="T280">
        <v>0.34</v>
      </c>
      <c r="U280">
        <v>2.89</v>
      </c>
      <c r="V280">
        <v>8.06</v>
      </c>
      <c r="W280">
        <v>0</v>
      </c>
      <c r="X280" t="s">
        <v>334</v>
      </c>
      <c r="Y280" t="s">
        <v>335</v>
      </c>
      <c r="Z280" t="s">
        <v>58</v>
      </c>
      <c r="AA280" t="s">
        <v>59</v>
      </c>
      <c r="AB280" t="s">
        <v>60</v>
      </c>
      <c r="AC280" t="s">
        <v>61</v>
      </c>
      <c r="AD280" t="s">
        <v>49</v>
      </c>
      <c r="AE280" t="s">
        <v>49</v>
      </c>
      <c r="AF280" t="s">
        <v>49</v>
      </c>
      <c r="AG280" t="s">
        <v>49</v>
      </c>
      <c r="AH280" t="s">
        <v>48</v>
      </c>
      <c r="AI280" t="s">
        <v>48</v>
      </c>
      <c r="AJ280" t="s">
        <v>48</v>
      </c>
      <c r="AK280" t="s">
        <v>62</v>
      </c>
      <c r="AL280" t="s">
        <v>63</v>
      </c>
      <c r="AM280" t="s">
        <v>61</v>
      </c>
      <c r="AN280" t="s">
        <v>64</v>
      </c>
      <c r="AO280" t="s">
        <v>336</v>
      </c>
      <c r="AP280">
        <v>1</v>
      </c>
      <c r="AQ280" t="s">
        <v>66</v>
      </c>
      <c r="AR280" t="s">
        <v>76</v>
      </c>
      <c r="AS280">
        <v>2006</v>
      </c>
      <c r="AT280" t="s">
        <v>49</v>
      </c>
      <c r="AU280" t="s">
        <v>48</v>
      </c>
      <c r="AV280" t="s">
        <v>48</v>
      </c>
      <c r="AW280" t="s">
        <v>48</v>
      </c>
    </row>
    <row r="281" spans="1:49" x14ac:dyDescent="0.3">
      <c r="A281" t="s">
        <v>968</v>
      </c>
      <c r="B281" t="s">
        <v>48</v>
      </c>
      <c r="C281" t="s">
        <v>49</v>
      </c>
      <c r="D281">
        <v>461.53</v>
      </c>
      <c r="E281">
        <v>0</v>
      </c>
      <c r="F281">
        <v>3.45</v>
      </c>
      <c r="G281" t="s">
        <v>969</v>
      </c>
      <c r="H281" t="s">
        <v>970</v>
      </c>
      <c r="I281" t="s">
        <v>52</v>
      </c>
      <c r="J281" t="s">
        <v>53</v>
      </c>
      <c r="K281">
        <v>110</v>
      </c>
      <c r="L281" t="s">
        <v>126</v>
      </c>
      <c r="M281">
        <f>DOWNLOAD_2kLRbPnDtawQopEJ_UKtt22ud9U57gk8mqebZIeugNk[[#This Row],[Standard Value]]</f>
        <v>110</v>
      </c>
      <c r="N281">
        <f>-LOG(DOWNLOAD_2kLRbPnDtawQopEJ_UKtt22ud9U57gk8mqebZIeugNk[[#This Row],[IC50]]*POWER(10, -9), 10)</f>
        <v>6.9586073148417746</v>
      </c>
      <c r="O281">
        <v>6.96</v>
      </c>
      <c r="P281" t="s">
        <v>48</v>
      </c>
      <c r="R281" t="s">
        <v>127</v>
      </c>
      <c r="S281">
        <v>15.08</v>
      </c>
      <c r="T281">
        <v>0.28000000000000003</v>
      </c>
      <c r="U281">
        <v>3.51</v>
      </c>
      <c r="V281">
        <v>5.77</v>
      </c>
      <c r="W281">
        <v>0</v>
      </c>
      <c r="X281" t="s">
        <v>128</v>
      </c>
      <c r="Y281" t="s">
        <v>129</v>
      </c>
      <c r="Z281" t="s">
        <v>58</v>
      </c>
      <c r="AA281" t="s">
        <v>59</v>
      </c>
      <c r="AB281" t="s">
        <v>60</v>
      </c>
      <c r="AC281" t="s">
        <v>61</v>
      </c>
      <c r="AD281" t="s">
        <v>49</v>
      </c>
      <c r="AE281" t="s">
        <v>49</v>
      </c>
      <c r="AF281" t="s">
        <v>49</v>
      </c>
      <c r="AG281" t="s">
        <v>49</v>
      </c>
      <c r="AH281" t="s">
        <v>48</v>
      </c>
      <c r="AI281" t="s">
        <v>48</v>
      </c>
      <c r="AJ281" t="s">
        <v>48</v>
      </c>
      <c r="AK281" t="s">
        <v>62</v>
      </c>
      <c r="AL281" t="s">
        <v>63</v>
      </c>
      <c r="AM281" t="s">
        <v>61</v>
      </c>
      <c r="AN281" t="s">
        <v>64</v>
      </c>
      <c r="AO281" t="s">
        <v>130</v>
      </c>
      <c r="AP281">
        <v>1</v>
      </c>
      <c r="AQ281" t="s">
        <v>66</v>
      </c>
      <c r="AR281" t="s">
        <v>131</v>
      </c>
      <c r="AS281">
        <v>2014</v>
      </c>
      <c r="AT281" t="s">
        <v>49</v>
      </c>
      <c r="AU281" t="s">
        <v>48</v>
      </c>
      <c r="AV281" t="s">
        <v>48</v>
      </c>
      <c r="AW281" t="s">
        <v>48</v>
      </c>
    </row>
    <row r="282" spans="1:49" x14ac:dyDescent="0.3">
      <c r="A282" t="s">
        <v>971</v>
      </c>
      <c r="B282" t="s">
        <v>48</v>
      </c>
      <c r="C282" t="s">
        <v>49</v>
      </c>
      <c r="D282">
        <v>391.44</v>
      </c>
      <c r="E282">
        <v>0</v>
      </c>
      <c r="F282">
        <v>2.88</v>
      </c>
      <c r="G282" t="s">
        <v>972</v>
      </c>
      <c r="H282" t="s">
        <v>973</v>
      </c>
      <c r="I282" t="s">
        <v>52</v>
      </c>
      <c r="J282" t="s">
        <v>53</v>
      </c>
      <c r="K282">
        <v>660</v>
      </c>
      <c r="L282" t="s">
        <v>126</v>
      </c>
      <c r="M282">
        <f>DOWNLOAD_2kLRbPnDtawQopEJ_UKtt22ud9U57gk8mqebZIeugNk[[#This Row],[Standard Value]]</f>
        <v>660</v>
      </c>
      <c r="N282">
        <f>-LOG(DOWNLOAD_2kLRbPnDtawQopEJ_UKtt22ud9U57gk8mqebZIeugNk[[#This Row],[IC50]]*POWER(10, -9), 10)</f>
        <v>6.1804560644581308</v>
      </c>
      <c r="O282">
        <v>6.18</v>
      </c>
      <c r="P282" t="s">
        <v>48</v>
      </c>
      <c r="R282" t="s">
        <v>127</v>
      </c>
      <c r="S282">
        <v>15.79</v>
      </c>
      <c r="T282">
        <v>0.28999999999999998</v>
      </c>
      <c r="U282">
        <v>3.3</v>
      </c>
      <c r="V282">
        <v>5.1100000000000003</v>
      </c>
      <c r="W282">
        <v>0</v>
      </c>
      <c r="X282" t="s">
        <v>128</v>
      </c>
      <c r="Y282" t="s">
        <v>129</v>
      </c>
      <c r="Z282" t="s">
        <v>58</v>
      </c>
      <c r="AA282" t="s">
        <v>59</v>
      </c>
      <c r="AB282" t="s">
        <v>60</v>
      </c>
      <c r="AC282" t="s">
        <v>61</v>
      </c>
      <c r="AD282" t="s">
        <v>49</v>
      </c>
      <c r="AE282" t="s">
        <v>49</v>
      </c>
      <c r="AF282" t="s">
        <v>49</v>
      </c>
      <c r="AG282" t="s">
        <v>49</v>
      </c>
      <c r="AH282" t="s">
        <v>48</v>
      </c>
      <c r="AI282" t="s">
        <v>48</v>
      </c>
      <c r="AJ282" t="s">
        <v>48</v>
      </c>
      <c r="AK282" t="s">
        <v>62</v>
      </c>
      <c r="AL282" t="s">
        <v>63</v>
      </c>
      <c r="AM282" t="s">
        <v>61</v>
      </c>
      <c r="AN282" t="s">
        <v>64</v>
      </c>
      <c r="AO282" t="s">
        <v>130</v>
      </c>
      <c r="AP282">
        <v>1</v>
      </c>
      <c r="AQ282" t="s">
        <v>66</v>
      </c>
      <c r="AR282" t="s">
        <v>131</v>
      </c>
      <c r="AS282">
        <v>2014</v>
      </c>
      <c r="AT282" t="s">
        <v>49</v>
      </c>
      <c r="AU282" t="s">
        <v>48</v>
      </c>
      <c r="AV282" t="s">
        <v>48</v>
      </c>
      <c r="AW282" t="s">
        <v>48</v>
      </c>
    </row>
    <row r="283" spans="1:49" x14ac:dyDescent="0.3">
      <c r="A283" t="s">
        <v>974</v>
      </c>
      <c r="B283" t="s">
        <v>48</v>
      </c>
      <c r="C283" t="s">
        <v>49</v>
      </c>
      <c r="D283">
        <v>416.91</v>
      </c>
      <c r="E283">
        <v>0</v>
      </c>
      <c r="F283">
        <v>2.88</v>
      </c>
      <c r="G283" t="s">
        <v>975</v>
      </c>
      <c r="H283" t="s">
        <v>976</v>
      </c>
      <c r="I283" t="s">
        <v>52</v>
      </c>
      <c r="J283" t="s">
        <v>53</v>
      </c>
      <c r="K283">
        <v>5140</v>
      </c>
      <c r="L283" t="s">
        <v>126</v>
      </c>
      <c r="M283">
        <f>DOWNLOAD_2kLRbPnDtawQopEJ_UKtt22ud9U57gk8mqebZIeugNk[[#This Row],[Standard Value]]</f>
        <v>5140</v>
      </c>
      <c r="N283">
        <f>-LOG(DOWNLOAD_2kLRbPnDtawQopEJ_UKtt22ud9U57gk8mqebZIeugNk[[#This Row],[IC50]]*POWER(10, -9), 10)</f>
        <v>5.2890368810047237</v>
      </c>
      <c r="O283">
        <v>5.29</v>
      </c>
      <c r="P283" t="s">
        <v>48</v>
      </c>
      <c r="R283" t="s">
        <v>127</v>
      </c>
      <c r="S283">
        <v>12.69</v>
      </c>
      <c r="T283">
        <v>0.25</v>
      </c>
      <c r="U283">
        <v>2.41</v>
      </c>
      <c r="V283">
        <v>5.9</v>
      </c>
      <c r="W283">
        <v>0</v>
      </c>
      <c r="X283" t="s">
        <v>128</v>
      </c>
      <c r="Y283" t="s">
        <v>129</v>
      </c>
      <c r="Z283" t="s">
        <v>58</v>
      </c>
      <c r="AA283" t="s">
        <v>59</v>
      </c>
      <c r="AB283" t="s">
        <v>60</v>
      </c>
      <c r="AC283" t="s">
        <v>61</v>
      </c>
      <c r="AD283" t="s">
        <v>49</v>
      </c>
      <c r="AE283" t="s">
        <v>49</v>
      </c>
      <c r="AF283" t="s">
        <v>49</v>
      </c>
      <c r="AG283" t="s">
        <v>49</v>
      </c>
      <c r="AH283" t="s">
        <v>48</v>
      </c>
      <c r="AI283" t="s">
        <v>48</v>
      </c>
      <c r="AJ283" t="s">
        <v>48</v>
      </c>
      <c r="AK283" t="s">
        <v>62</v>
      </c>
      <c r="AL283" t="s">
        <v>63</v>
      </c>
      <c r="AM283" t="s">
        <v>61</v>
      </c>
      <c r="AN283" t="s">
        <v>64</v>
      </c>
      <c r="AO283" t="s">
        <v>130</v>
      </c>
      <c r="AP283">
        <v>1</v>
      </c>
      <c r="AQ283" t="s">
        <v>66</v>
      </c>
      <c r="AR283" t="s">
        <v>131</v>
      </c>
      <c r="AS283">
        <v>2014</v>
      </c>
      <c r="AT283" t="s">
        <v>49</v>
      </c>
      <c r="AU283" t="s">
        <v>48</v>
      </c>
      <c r="AV283" t="s">
        <v>48</v>
      </c>
      <c r="AW283" t="s">
        <v>48</v>
      </c>
    </row>
    <row r="284" spans="1:49" x14ac:dyDescent="0.3">
      <c r="A284" t="s">
        <v>977</v>
      </c>
      <c r="B284" t="s">
        <v>48</v>
      </c>
      <c r="C284" t="s">
        <v>49</v>
      </c>
      <c r="D284">
        <v>290.37</v>
      </c>
      <c r="E284">
        <v>0</v>
      </c>
      <c r="F284">
        <v>2.29</v>
      </c>
      <c r="G284" t="s">
        <v>396</v>
      </c>
      <c r="H284" t="s">
        <v>978</v>
      </c>
      <c r="I284" t="s">
        <v>52</v>
      </c>
      <c r="J284" t="s">
        <v>53</v>
      </c>
      <c r="K284">
        <v>23100</v>
      </c>
      <c r="L284" t="s">
        <v>126</v>
      </c>
      <c r="M284">
        <f>DOWNLOAD_2kLRbPnDtawQopEJ_UKtt22ud9U57gk8mqebZIeugNk[[#This Row],[Standard Value]]</f>
        <v>23100</v>
      </c>
      <c r="N284">
        <f>-LOG(DOWNLOAD_2kLRbPnDtawQopEJ_UKtt22ud9U57gk8mqebZIeugNk[[#This Row],[IC50]]*POWER(10, -9), 10)</f>
        <v>4.6363880201078551</v>
      </c>
      <c r="O284">
        <v>4.6399999999999997</v>
      </c>
      <c r="P284" t="s">
        <v>48</v>
      </c>
      <c r="R284" t="s">
        <v>127</v>
      </c>
      <c r="S284">
        <v>15.97</v>
      </c>
      <c r="T284">
        <v>0.3</v>
      </c>
      <c r="U284">
        <v>2.35</v>
      </c>
      <c r="V284">
        <v>5.58</v>
      </c>
      <c r="W284">
        <v>0</v>
      </c>
      <c r="X284" t="s">
        <v>128</v>
      </c>
      <c r="Y284" t="s">
        <v>129</v>
      </c>
      <c r="Z284" t="s">
        <v>58</v>
      </c>
      <c r="AA284" t="s">
        <v>59</v>
      </c>
      <c r="AB284" t="s">
        <v>60</v>
      </c>
      <c r="AC284" t="s">
        <v>61</v>
      </c>
      <c r="AD284" t="s">
        <v>49</v>
      </c>
      <c r="AE284" t="s">
        <v>49</v>
      </c>
      <c r="AF284" t="s">
        <v>49</v>
      </c>
      <c r="AG284" t="s">
        <v>49</v>
      </c>
      <c r="AH284" t="s">
        <v>48</v>
      </c>
      <c r="AI284" t="s">
        <v>48</v>
      </c>
      <c r="AJ284" t="s">
        <v>48</v>
      </c>
      <c r="AK284" t="s">
        <v>62</v>
      </c>
      <c r="AL284" t="s">
        <v>63</v>
      </c>
      <c r="AM284" t="s">
        <v>61</v>
      </c>
      <c r="AN284" t="s">
        <v>64</v>
      </c>
      <c r="AO284" t="s">
        <v>130</v>
      </c>
      <c r="AP284">
        <v>1</v>
      </c>
      <c r="AQ284" t="s">
        <v>66</v>
      </c>
      <c r="AR284" t="s">
        <v>131</v>
      </c>
      <c r="AS284">
        <v>2014</v>
      </c>
      <c r="AT284" t="s">
        <v>49</v>
      </c>
      <c r="AU284" t="s">
        <v>48</v>
      </c>
      <c r="AV284" t="s">
        <v>48</v>
      </c>
      <c r="AW284" t="s">
        <v>48</v>
      </c>
    </row>
    <row r="285" spans="1:49" x14ac:dyDescent="0.3">
      <c r="A285" t="s">
        <v>979</v>
      </c>
      <c r="B285" t="s">
        <v>48</v>
      </c>
      <c r="C285" t="s">
        <v>49</v>
      </c>
      <c r="D285">
        <v>335.35</v>
      </c>
      <c r="E285">
        <v>0</v>
      </c>
      <c r="F285">
        <v>1.63</v>
      </c>
      <c r="G285" t="s">
        <v>142</v>
      </c>
      <c r="H285" t="s">
        <v>980</v>
      </c>
      <c r="I285" t="s">
        <v>52</v>
      </c>
      <c r="J285" t="s">
        <v>53</v>
      </c>
      <c r="K285">
        <v>960</v>
      </c>
      <c r="L285" t="s">
        <v>126</v>
      </c>
      <c r="M285">
        <f>DOWNLOAD_2kLRbPnDtawQopEJ_UKtt22ud9U57gk8mqebZIeugNk[[#This Row],[Standard Value]]</f>
        <v>960</v>
      </c>
      <c r="N285">
        <f>-LOG(DOWNLOAD_2kLRbPnDtawQopEJ_UKtt22ud9U57gk8mqebZIeugNk[[#This Row],[IC50]]*POWER(10, -9), 10)</f>
        <v>6.0177287669604311</v>
      </c>
      <c r="O285">
        <v>6.02</v>
      </c>
      <c r="P285" t="s">
        <v>48</v>
      </c>
      <c r="R285" t="s">
        <v>127</v>
      </c>
      <c r="S285">
        <v>17.940000000000001</v>
      </c>
      <c r="T285">
        <v>0.36</v>
      </c>
      <c r="U285">
        <v>4.3899999999999997</v>
      </c>
      <c r="V285">
        <v>4.51</v>
      </c>
      <c r="W285">
        <v>0</v>
      </c>
      <c r="X285" t="s">
        <v>128</v>
      </c>
      <c r="Y285" t="s">
        <v>129</v>
      </c>
      <c r="Z285" t="s">
        <v>58</v>
      </c>
      <c r="AA285" t="s">
        <v>59</v>
      </c>
      <c r="AB285" t="s">
        <v>60</v>
      </c>
      <c r="AC285" t="s">
        <v>61</v>
      </c>
      <c r="AD285" t="s">
        <v>49</v>
      </c>
      <c r="AE285" t="s">
        <v>49</v>
      </c>
      <c r="AF285" t="s">
        <v>49</v>
      </c>
      <c r="AG285" t="s">
        <v>49</v>
      </c>
      <c r="AH285" t="s">
        <v>48</v>
      </c>
      <c r="AI285" t="s">
        <v>48</v>
      </c>
      <c r="AJ285" t="s">
        <v>48</v>
      </c>
      <c r="AK285" t="s">
        <v>62</v>
      </c>
      <c r="AL285" t="s">
        <v>63</v>
      </c>
      <c r="AM285" t="s">
        <v>61</v>
      </c>
      <c r="AN285" t="s">
        <v>64</v>
      </c>
      <c r="AO285" t="s">
        <v>130</v>
      </c>
      <c r="AP285">
        <v>1</v>
      </c>
      <c r="AQ285" t="s">
        <v>66</v>
      </c>
      <c r="AR285" t="s">
        <v>131</v>
      </c>
      <c r="AS285">
        <v>2014</v>
      </c>
      <c r="AT285" t="s">
        <v>49</v>
      </c>
      <c r="AU285" t="s">
        <v>48</v>
      </c>
      <c r="AV285" t="s">
        <v>48</v>
      </c>
      <c r="AW285" t="s">
        <v>48</v>
      </c>
    </row>
    <row r="286" spans="1:49" x14ac:dyDescent="0.3">
      <c r="A286" t="s">
        <v>981</v>
      </c>
      <c r="B286" t="s">
        <v>48</v>
      </c>
      <c r="C286" t="s">
        <v>49</v>
      </c>
      <c r="D286">
        <v>284.32</v>
      </c>
      <c r="E286">
        <v>0</v>
      </c>
      <c r="F286">
        <v>2.48</v>
      </c>
      <c r="G286" t="s">
        <v>203</v>
      </c>
      <c r="H286" t="s">
        <v>982</v>
      </c>
      <c r="I286" t="s">
        <v>52</v>
      </c>
      <c r="J286" t="s">
        <v>53</v>
      </c>
      <c r="K286">
        <v>7700</v>
      </c>
      <c r="L286" t="s">
        <v>126</v>
      </c>
      <c r="M286">
        <f>DOWNLOAD_2kLRbPnDtawQopEJ_UKtt22ud9U57gk8mqebZIeugNk[[#This Row],[Standard Value]]</f>
        <v>7700</v>
      </c>
      <c r="N286">
        <f>-LOG(DOWNLOAD_2kLRbPnDtawQopEJ_UKtt22ud9U57gk8mqebZIeugNk[[#This Row],[IC50]]*POWER(10, -9), 10)</f>
        <v>5.1135092748275177</v>
      </c>
      <c r="O286">
        <v>5.1100000000000003</v>
      </c>
      <c r="P286" t="s">
        <v>48</v>
      </c>
      <c r="R286" t="s">
        <v>127</v>
      </c>
      <c r="S286">
        <v>17.989999999999998</v>
      </c>
      <c r="T286">
        <v>0.33</v>
      </c>
      <c r="U286">
        <v>2.63</v>
      </c>
      <c r="V286">
        <v>6.15</v>
      </c>
      <c r="W286">
        <v>0</v>
      </c>
      <c r="X286" t="s">
        <v>128</v>
      </c>
      <c r="Y286" t="s">
        <v>129</v>
      </c>
      <c r="Z286" t="s">
        <v>58</v>
      </c>
      <c r="AA286" t="s">
        <v>59</v>
      </c>
      <c r="AB286" t="s">
        <v>60</v>
      </c>
      <c r="AC286" t="s">
        <v>61</v>
      </c>
      <c r="AD286" t="s">
        <v>49</v>
      </c>
      <c r="AE286" t="s">
        <v>49</v>
      </c>
      <c r="AF286" t="s">
        <v>49</v>
      </c>
      <c r="AG286" t="s">
        <v>49</v>
      </c>
      <c r="AH286" t="s">
        <v>48</v>
      </c>
      <c r="AI286" t="s">
        <v>48</v>
      </c>
      <c r="AJ286" t="s">
        <v>48</v>
      </c>
      <c r="AK286" t="s">
        <v>62</v>
      </c>
      <c r="AL286" t="s">
        <v>63</v>
      </c>
      <c r="AM286" t="s">
        <v>61</v>
      </c>
      <c r="AN286" t="s">
        <v>64</v>
      </c>
      <c r="AO286" t="s">
        <v>130</v>
      </c>
      <c r="AP286">
        <v>1</v>
      </c>
      <c r="AQ286" t="s">
        <v>66</v>
      </c>
      <c r="AR286" t="s">
        <v>131</v>
      </c>
      <c r="AS286">
        <v>2014</v>
      </c>
      <c r="AT286" t="s">
        <v>49</v>
      </c>
      <c r="AU286" t="s">
        <v>48</v>
      </c>
      <c r="AV286" t="s">
        <v>48</v>
      </c>
      <c r="AW286" t="s">
        <v>48</v>
      </c>
    </row>
    <row r="287" spans="1:49" x14ac:dyDescent="0.3">
      <c r="A287" t="s">
        <v>983</v>
      </c>
      <c r="B287" t="s">
        <v>48</v>
      </c>
      <c r="C287" t="s">
        <v>49</v>
      </c>
      <c r="D287">
        <v>330.36</v>
      </c>
      <c r="E287">
        <v>0</v>
      </c>
      <c r="F287">
        <v>3.16</v>
      </c>
      <c r="G287" t="s">
        <v>832</v>
      </c>
      <c r="H287" t="s">
        <v>984</v>
      </c>
      <c r="I287" t="s">
        <v>52</v>
      </c>
      <c r="J287" t="s">
        <v>53</v>
      </c>
      <c r="K287">
        <v>32.1</v>
      </c>
      <c r="L287" t="s">
        <v>54</v>
      </c>
      <c r="M287">
        <f>DOWNLOAD_2kLRbPnDtawQopEJ_UKtt22ud9U57gk8mqebZIeugNk[[#This Row],[Standard Value]]/DOWNLOAD_2kLRbPnDtawQopEJ_UKtt22ud9U57gk8mqebZIeugNk[[#This Row],[Molecular Weight]]*1000*1000</f>
        <v>97166.727206683616</v>
      </c>
      <c r="N287">
        <f>-LOG(DOWNLOAD_2kLRbPnDtawQopEJ_UKtt22ud9U57gk8mqebZIeugNk[[#This Row],[IC50]]*POWER(10, -9), 10)</f>
        <v>4.0124824250360822</v>
      </c>
      <c r="P287" t="s">
        <v>48</v>
      </c>
      <c r="R287" t="s">
        <v>55</v>
      </c>
      <c r="W287">
        <v>0</v>
      </c>
      <c r="X287" t="s">
        <v>135</v>
      </c>
      <c r="Y287" t="s">
        <v>136</v>
      </c>
      <c r="Z287" t="s">
        <v>58</v>
      </c>
      <c r="AA287" t="s">
        <v>59</v>
      </c>
      <c r="AB287" t="s">
        <v>60</v>
      </c>
      <c r="AC287" t="s">
        <v>61</v>
      </c>
      <c r="AD287" t="s">
        <v>49</v>
      </c>
      <c r="AE287" t="s">
        <v>49</v>
      </c>
      <c r="AF287" t="s">
        <v>49</v>
      </c>
      <c r="AG287" t="s">
        <v>49</v>
      </c>
      <c r="AH287" t="s">
        <v>48</v>
      </c>
      <c r="AI287" t="s">
        <v>48</v>
      </c>
      <c r="AJ287" t="s">
        <v>48</v>
      </c>
      <c r="AK287" t="s">
        <v>62</v>
      </c>
      <c r="AL287" t="s">
        <v>63</v>
      </c>
      <c r="AM287" t="s">
        <v>61</v>
      </c>
      <c r="AN287" t="s">
        <v>64</v>
      </c>
      <c r="AO287" t="s">
        <v>137</v>
      </c>
      <c r="AP287">
        <v>1</v>
      </c>
      <c r="AQ287" t="s">
        <v>66</v>
      </c>
      <c r="AR287" t="s">
        <v>67</v>
      </c>
      <c r="AS287">
        <v>1996</v>
      </c>
      <c r="AT287" t="s">
        <v>49</v>
      </c>
      <c r="AU287" t="s">
        <v>48</v>
      </c>
      <c r="AV287" t="s">
        <v>48</v>
      </c>
      <c r="AW287" t="s">
        <v>48</v>
      </c>
    </row>
    <row r="288" spans="1:49" x14ac:dyDescent="0.3">
      <c r="A288" t="s">
        <v>985</v>
      </c>
      <c r="B288" t="s">
        <v>48</v>
      </c>
      <c r="C288" t="s">
        <v>49</v>
      </c>
      <c r="D288">
        <v>436.56</v>
      </c>
      <c r="E288">
        <v>0</v>
      </c>
      <c r="F288">
        <v>3.43</v>
      </c>
      <c r="G288" t="s">
        <v>290</v>
      </c>
      <c r="H288" t="s">
        <v>986</v>
      </c>
      <c r="I288" t="s">
        <v>52</v>
      </c>
      <c r="J288" t="s">
        <v>53</v>
      </c>
      <c r="K288">
        <v>8</v>
      </c>
      <c r="L288" t="s">
        <v>54</v>
      </c>
      <c r="M288">
        <f>DOWNLOAD_2kLRbPnDtawQopEJ_UKtt22ud9U57gk8mqebZIeugNk[[#This Row],[Standard Value]]/DOWNLOAD_2kLRbPnDtawQopEJ_UKtt22ud9U57gk8mqebZIeugNk[[#This Row],[Molecular Weight]]*1000*1000</f>
        <v>18325.087044163462</v>
      </c>
      <c r="N288">
        <f>-LOG(DOWNLOAD_2kLRbPnDtawQopEJ_UKtt22ud9U57gk8mqebZIeugNk[[#This Row],[IC50]]*POWER(10, -9), 10)</f>
        <v>4.7369539537831455</v>
      </c>
      <c r="P288" t="s">
        <v>48</v>
      </c>
      <c r="R288" t="s">
        <v>55</v>
      </c>
      <c r="W288">
        <v>0</v>
      </c>
      <c r="X288" t="s">
        <v>121</v>
      </c>
      <c r="Y288" t="s">
        <v>87</v>
      </c>
      <c r="Z288" t="s">
        <v>58</v>
      </c>
      <c r="AA288" t="s">
        <v>59</v>
      </c>
      <c r="AB288" t="s">
        <v>60</v>
      </c>
      <c r="AC288" t="s">
        <v>61</v>
      </c>
      <c r="AD288" t="s">
        <v>49</v>
      </c>
      <c r="AE288" t="s">
        <v>49</v>
      </c>
      <c r="AF288" t="s">
        <v>49</v>
      </c>
      <c r="AG288" t="s">
        <v>49</v>
      </c>
      <c r="AH288" t="s">
        <v>48</v>
      </c>
      <c r="AI288" t="s">
        <v>48</v>
      </c>
      <c r="AJ288" t="s">
        <v>48</v>
      </c>
      <c r="AK288" t="s">
        <v>62</v>
      </c>
      <c r="AL288" t="s">
        <v>63</v>
      </c>
      <c r="AM288" t="s">
        <v>61</v>
      </c>
      <c r="AN288" t="s">
        <v>64</v>
      </c>
      <c r="AO288" t="s">
        <v>122</v>
      </c>
      <c r="AP288">
        <v>1</v>
      </c>
      <c r="AQ288" t="s">
        <v>66</v>
      </c>
      <c r="AR288" t="s">
        <v>76</v>
      </c>
      <c r="AS288">
        <v>2004</v>
      </c>
      <c r="AT288" t="s">
        <v>49</v>
      </c>
      <c r="AU288" t="s">
        <v>48</v>
      </c>
      <c r="AV288" t="s">
        <v>48</v>
      </c>
      <c r="AW288" t="s">
        <v>48</v>
      </c>
    </row>
    <row r="289" spans="1:49" x14ac:dyDescent="0.3">
      <c r="A289" t="s">
        <v>987</v>
      </c>
      <c r="B289" t="s">
        <v>48</v>
      </c>
      <c r="C289" t="s">
        <v>49</v>
      </c>
      <c r="D289">
        <v>408.86</v>
      </c>
      <c r="E289">
        <v>0</v>
      </c>
      <c r="F289">
        <v>2.0299999999999998</v>
      </c>
      <c r="G289" t="s">
        <v>208</v>
      </c>
      <c r="H289" t="s">
        <v>988</v>
      </c>
      <c r="I289" t="s">
        <v>52</v>
      </c>
      <c r="J289" t="s">
        <v>53</v>
      </c>
      <c r="K289">
        <v>17.5</v>
      </c>
      <c r="L289" t="s">
        <v>54</v>
      </c>
      <c r="M289">
        <f>DOWNLOAD_2kLRbPnDtawQopEJ_UKtt22ud9U57gk8mqebZIeugNk[[#This Row],[Standard Value]]/DOWNLOAD_2kLRbPnDtawQopEJ_UKtt22ud9U57gk8mqebZIeugNk[[#This Row],[Molecular Weight]]*1000*1000</f>
        <v>42801.937093381595</v>
      </c>
      <c r="N289">
        <f>-LOG(DOWNLOAD_2kLRbPnDtawQopEJ_UKtt22ud9U57gk8mqebZIeugNk[[#This Row],[IC50]]*POWER(10, -9), 10)</f>
        <v>4.3685365756146419</v>
      </c>
      <c r="P289" t="s">
        <v>48</v>
      </c>
      <c r="R289" t="s">
        <v>55</v>
      </c>
      <c r="W289">
        <v>0</v>
      </c>
      <c r="X289" t="s">
        <v>98</v>
      </c>
      <c r="Y289" t="s">
        <v>99</v>
      </c>
      <c r="Z289" t="s">
        <v>58</v>
      </c>
      <c r="AA289" t="s">
        <v>59</v>
      </c>
      <c r="AB289" t="s">
        <v>60</v>
      </c>
      <c r="AC289" t="s">
        <v>49</v>
      </c>
      <c r="AD289" t="s">
        <v>49</v>
      </c>
      <c r="AE289" t="s">
        <v>49</v>
      </c>
      <c r="AF289" t="s">
        <v>49</v>
      </c>
      <c r="AG289" t="s">
        <v>49</v>
      </c>
      <c r="AH289" t="s">
        <v>48</v>
      </c>
      <c r="AI289" t="s">
        <v>48</v>
      </c>
      <c r="AJ289" t="s">
        <v>48</v>
      </c>
      <c r="AK289" t="s">
        <v>62</v>
      </c>
      <c r="AL289" t="s">
        <v>63</v>
      </c>
      <c r="AM289" t="s">
        <v>61</v>
      </c>
      <c r="AN289" t="s">
        <v>64</v>
      </c>
      <c r="AO289" t="s">
        <v>100</v>
      </c>
      <c r="AP289">
        <v>1</v>
      </c>
      <c r="AQ289" t="s">
        <v>66</v>
      </c>
      <c r="AR289" t="s">
        <v>67</v>
      </c>
      <c r="AS289">
        <v>1991</v>
      </c>
      <c r="AT289" t="s">
        <v>49</v>
      </c>
      <c r="AU289" t="s">
        <v>48</v>
      </c>
      <c r="AV289" t="s">
        <v>48</v>
      </c>
      <c r="AW289" t="s">
        <v>48</v>
      </c>
    </row>
    <row r="290" spans="1:49" x14ac:dyDescent="0.3">
      <c r="A290" t="s">
        <v>989</v>
      </c>
      <c r="B290" t="s">
        <v>48</v>
      </c>
      <c r="C290" t="s">
        <v>49</v>
      </c>
      <c r="D290">
        <v>453.3</v>
      </c>
      <c r="E290">
        <v>0</v>
      </c>
      <c r="F290">
        <v>3.52</v>
      </c>
      <c r="G290" t="s">
        <v>990</v>
      </c>
      <c r="H290" t="s">
        <v>991</v>
      </c>
      <c r="I290" t="s">
        <v>52</v>
      </c>
      <c r="J290" t="s">
        <v>53</v>
      </c>
      <c r="K290">
        <v>1.94</v>
      </c>
      <c r="L290" t="s">
        <v>54</v>
      </c>
      <c r="M290">
        <f>DOWNLOAD_2kLRbPnDtawQopEJ_UKtt22ud9U57gk8mqebZIeugNk[[#This Row],[Standard Value]]/DOWNLOAD_2kLRbPnDtawQopEJ_UKtt22ud9U57gk8mqebZIeugNk[[#This Row],[Molecular Weight]]*1000*1000</f>
        <v>4279.7264504742998</v>
      </c>
      <c r="N290">
        <f>-LOG(DOWNLOAD_2kLRbPnDtawQopEJ_UKtt22ud9U57gk8mqebZIeugNk[[#This Row],[IC50]]*POWER(10, -9), 10)</f>
        <v>5.368583989128461</v>
      </c>
      <c r="P290" t="s">
        <v>48</v>
      </c>
      <c r="R290" t="s">
        <v>55</v>
      </c>
      <c r="W290">
        <v>0</v>
      </c>
      <c r="X290" t="s">
        <v>992</v>
      </c>
      <c r="Y290" t="s">
        <v>993</v>
      </c>
      <c r="Z290" t="s">
        <v>58</v>
      </c>
      <c r="AA290" t="s">
        <v>59</v>
      </c>
      <c r="AB290" t="s">
        <v>60</v>
      </c>
      <c r="AC290" t="s">
        <v>61</v>
      </c>
      <c r="AD290" t="s">
        <v>49</v>
      </c>
      <c r="AE290" t="s">
        <v>49</v>
      </c>
      <c r="AF290" t="s">
        <v>49</v>
      </c>
      <c r="AG290" t="s">
        <v>49</v>
      </c>
      <c r="AH290" t="s">
        <v>48</v>
      </c>
      <c r="AI290" t="s">
        <v>48</v>
      </c>
      <c r="AJ290" t="s">
        <v>48</v>
      </c>
      <c r="AK290" t="s">
        <v>62</v>
      </c>
      <c r="AL290" t="s">
        <v>63</v>
      </c>
      <c r="AM290" t="s">
        <v>61</v>
      </c>
      <c r="AN290" t="s">
        <v>64</v>
      </c>
      <c r="AO290" t="s">
        <v>994</v>
      </c>
      <c r="AP290">
        <v>1</v>
      </c>
      <c r="AQ290" t="s">
        <v>66</v>
      </c>
      <c r="AR290" t="s">
        <v>131</v>
      </c>
      <c r="AS290">
        <v>2019</v>
      </c>
      <c r="AT290" t="s">
        <v>49</v>
      </c>
      <c r="AU290" t="s">
        <v>48</v>
      </c>
      <c r="AV290" t="s">
        <v>48</v>
      </c>
      <c r="AW290" t="s">
        <v>48</v>
      </c>
    </row>
    <row r="291" spans="1:49" x14ac:dyDescent="0.3">
      <c r="A291" t="s">
        <v>995</v>
      </c>
      <c r="B291" t="s">
        <v>48</v>
      </c>
      <c r="C291" t="s">
        <v>49</v>
      </c>
      <c r="D291">
        <v>389.46</v>
      </c>
      <c r="E291">
        <v>0</v>
      </c>
      <c r="F291">
        <v>3.49</v>
      </c>
      <c r="G291" t="s">
        <v>996</v>
      </c>
      <c r="H291" t="s">
        <v>997</v>
      </c>
      <c r="I291" t="s">
        <v>52</v>
      </c>
      <c r="J291" t="s">
        <v>53</v>
      </c>
      <c r="K291">
        <v>3.6</v>
      </c>
      <c r="L291" t="s">
        <v>54</v>
      </c>
      <c r="M291">
        <f>DOWNLOAD_2kLRbPnDtawQopEJ_UKtt22ud9U57gk8mqebZIeugNk[[#This Row],[Standard Value]]/DOWNLOAD_2kLRbPnDtawQopEJ_UKtt22ud9U57gk8mqebZIeugNk[[#This Row],[Molecular Weight]]*1000*1000</f>
        <v>9243.5680172546618</v>
      </c>
      <c r="N291">
        <f>-LOG(DOWNLOAD_2kLRbPnDtawQopEJ_UKtt22ud9U57gk8mqebZIeugNk[[#This Row],[IC50]]*POWER(10, -9), 10)</f>
        <v>5.0341603587474797</v>
      </c>
      <c r="P291" t="s">
        <v>48</v>
      </c>
      <c r="R291" t="s">
        <v>55</v>
      </c>
      <c r="W291">
        <v>0</v>
      </c>
      <c r="X291" t="s">
        <v>135</v>
      </c>
      <c r="Y291" t="s">
        <v>136</v>
      </c>
      <c r="Z291" t="s">
        <v>58</v>
      </c>
      <c r="AA291" t="s">
        <v>59</v>
      </c>
      <c r="AB291" t="s">
        <v>60</v>
      </c>
      <c r="AC291" t="s">
        <v>61</v>
      </c>
      <c r="AD291" t="s">
        <v>49</v>
      </c>
      <c r="AE291" t="s">
        <v>49</v>
      </c>
      <c r="AF291" t="s">
        <v>49</v>
      </c>
      <c r="AG291" t="s">
        <v>49</v>
      </c>
      <c r="AH291" t="s">
        <v>48</v>
      </c>
      <c r="AI291" t="s">
        <v>48</v>
      </c>
      <c r="AJ291" t="s">
        <v>48</v>
      </c>
      <c r="AK291" t="s">
        <v>62</v>
      </c>
      <c r="AL291" t="s">
        <v>63</v>
      </c>
      <c r="AM291" t="s">
        <v>61</v>
      </c>
      <c r="AN291" t="s">
        <v>64</v>
      </c>
      <c r="AO291" t="s">
        <v>137</v>
      </c>
      <c r="AP291">
        <v>1</v>
      </c>
      <c r="AQ291" t="s">
        <v>66</v>
      </c>
      <c r="AR291" t="s">
        <v>67</v>
      </c>
      <c r="AS291">
        <v>1996</v>
      </c>
      <c r="AT291" t="s">
        <v>49</v>
      </c>
      <c r="AU291" t="s">
        <v>48</v>
      </c>
      <c r="AV291" t="s">
        <v>48</v>
      </c>
      <c r="AW291" t="s">
        <v>48</v>
      </c>
    </row>
    <row r="292" spans="1:49" x14ac:dyDescent="0.3">
      <c r="A292" t="s">
        <v>998</v>
      </c>
      <c r="B292" t="s">
        <v>48</v>
      </c>
      <c r="C292" t="s">
        <v>49</v>
      </c>
      <c r="D292">
        <v>349.34</v>
      </c>
      <c r="E292">
        <v>0</v>
      </c>
      <c r="F292">
        <v>1.72</v>
      </c>
      <c r="G292" t="s">
        <v>999</v>
      </c>
      <c r="H292" t="s">
        <v>1000</v>
      </c>
      <c r="I292" t="s">
        <v>52</v>
      </c>
      <c r="J292" t="s">
        <v>53</v>
      </c>
      <c r="K292">
        <v>2.8</v>
      </c>
      <c r="L292" t="s">
        <v>54</v>
      </c>
      <c r="M292">
        <f>DOWNLOAD_2kLRbPnDtawQopEJ_UKtt22ud9U57gk8mqebZIeugNk[[#This Row],[Standard Value]]/DOWNLOAD_2kLRbPnDtawQopEJ_UKtt22ud9U57gk8mqebZIeugNk[[#This Row],[Molecular Weight]]*1000*1000</f>
        <v>8015.1142153775691</v>
      </c>
      <c r="N292">
        <f>-LOG(DOWNLOAD_2kLRbPnDtawQopEJ_UKtt22ud9U57gk8mqebZIeugNk[[#This Row],[IC50]]*POWER(10, -9), 10)</f>
        <v>5.0960902845693736</v>
      </c>
      <c r="P292" t="s">
        <v>48</v>
      </c>
      <c r="R292" t="s">
        <v>55</v>
      </c>
      <c r="W292">
        <v>0</v>
      </c>
      <c r="X292" t="s">
        <v>56</v>
      </c>
      <c r="Y292" t="s">
        <v>57</v>
      </c>
      <c r="Z292" t="s">
        <v>58</v>
      </c>
      <c r="AA292" t="s">
        <v>59</v>
      </c>
      <c r="AB292" t="s">
        <v>60</v>
      </c>
      <c r="AC292" t="s">
        <v>61</v>
      </c>
      <c r="AD292" t="s">
        <v>49</v>
      </c>
      <c r="AE292" t="s">
        <v>49</v>
      </c>
      <c r="AF292" t="s">
        <v>49</v>
      </c>
      <c r="AG292" t="s">
        <v>49</v>
      </c>
      <c r="AH292" t="s">
        <v>48</v>
      </c>
      <c r="AI292" t="s">
        <v>48</v>
      </c>
      <c r="AJ292" t="s">
        <v>48</v>
      </c>
      <c r="AK292" t="s">
        <v>62</v>
      </c>
      <c r="AL292" t="s">
        <v>63</v>
      </c>
      <c r="AM292" t="s">
        <v>61</v>
      </c>
      <c r="AN292" t="s">
        <v>64</v>
      </c>
      <c r="AO292" t="s">
        <v>65</v>
      </c>
      <c r="AP292">
        <v>1</v>
      </c>
      <c r="AQ292" t="s">
        <v>66</v>
      </c>
      <c r="AR292" t="s">
        <v>67</v>
      </c>
      <c r="AS292">
        <v>1988</v>
      </c>
      <c r="AT292" t="s">
        <v>49</v>
      </c>
      <c r="AU292" t="s">
        <v>48</v>
      </c>
      <c r="AV292" t="s">
        <v>48</v>
      </c>
      <c r="AW292" t="s">
        <v>48</v>
      </c>
    </row>
    <row r="293" spans="1:49" x14ac:dyDescent="0.3">
      <c r="A293" t="s">
        <v>1001</v>
      </c>
      <c r="B293" t="s">
        <v>48</v>
      </c>
      <c r="C293" t="s">
        <v>49</v>
      </c>
      <c r="D293">
        <v>351.43</v>
      </c>
      <c r="E293">
        <v>0</v>
      </c>
      <c r="F293">
        <v>3.44</v>
      </c>
      <c r="G293" t="s">
        <v>691</v>
      </c>
      <c r="H293" t="s">
        <v>1002</v>
      </c>
      <c r="I293" t="s">
        <v>52</v>
      </c>
      <c r="J293" t="s">
        <v>53</v>
      </c>
      <c r="K293">
        <v>200</v>
      </c>
      <c r="L293" t="s">
        <v>126</v>
      </c>
      <c r="M293">
        <f>DOWNLOAD_2kLRbPnDtawQopEJ_UKtt22ud9U57gk8mqebZIeugNk[[#This Row],[Standard Value]]</f>
        <v>200</v>
      </c>
      <c r="N293">
        <f>-LOG(DOWNLOAD_2kLRbPnDtawQopEJ_UKtt22ud9U57gk8mqebZIeugNk[[#This Row],[IC50]]*POWER(10, -9), 10)</f>
        <v>6.6989700043360187</v>
      </c>
      <c r="O293">
        <v>6.7</v>
      </c>
      <c r="P293" t="s">
        <v>48</v>
      </c>
      <c r="R293" t="s">
        <v>127</v>
      </c>
      <c r="S293">
        <v>19.059999999999999</v>
      </c>
      <c r="T293">
        <v>0.37</v>
      </c>
      <c r="U293">
        <v>3.26</v>
      </c>
      <c r="V293">
        <v>9.9600000000000009</v>
      </c>
      <c r="W293">
        <v>0</v>
      </c>
      <c r="X293" t="s">
        <v>805</v>
      </c>
      <c r="Y293" t="s">
        <v>806</v>
      </c>
      <c r="Z293" t="s">
        <v>58</v>
      </c>
      <c r="AA293" t="s">
        <v>59</v>
      </c>
      <c r="AB293" t="s">
        <v>60</v>
      </c>
      <c r="AC293" t="s">
        <v>61</v>
      </c>
      <c r="AD293" t="s">
        <v>49</v>
      </c>
      <c r="AE293" t="s">
        <v>49</v>
      </c>
      <c r="AF293" t="s">
        <v>49</v>
      </c>
      <c r="AG293" t="s">
        <v>49</v>
      </c>
      <c r="AH293" t="s">
        <v>48</v>
      </c>
      <c r="AI293" t="s">
        <v>48</v>
      </c>
      <c r="AJ293" t="s">
        <v>48</v>
      </c>
      <c r="AK293" t="s">
        <v>62</v>
      </c>
      <c r="AL293" t="s">
        <v>63</v>
      </c>
      <c r="AM293" t="s">
        <v>61</v>
      </c>
      <c r="AN293" t="s">
        <v>64</v>
      </c>
      <c r="AO293" t="s">
        <v>807</v>
      </c>
      <c r="AP293">
        <v>1</v>
      </c>
      <c r="AQ293" t="s">
        <v>66</v>
      </c>
      <c r="AR293" t="s">
        <v>67</v>
      </c>
      <c r="AS293">
        <v>2006</v>
      </c>
      <c r="AT293" t="s">
        <v>49</v>
      </c>
      <c r="AU293" t="s">
        <v>48</v>
      </c>
      <c r="AV293" t="s">
        <v>48</v>
      </c>
      <c r="AW293" t="s">
        <v>48</v>
      </c>
    </row>
    <row r="294" spans="1:49" x14ac:dyDescent="0.3">
      <c r="A294" t="s">
        <v>1003</v>
      </c>
      <c r="B294" t="s">
        <v>48</v>
      </c>
      <c r="C294" t="s">
        <v>49</v>
      </c>
      <c r="D294">
        <v>196.21</v>
      </c>
      <c r="E294">
        <v>0</v>
      </c>
      <c r="F294">
        <v>2.95</v>
      </c>
      <c r="G294" t="s">
        <v>677</v>
      </c>
      <c r="H294" t="s">
        <v>1004</v>
      </c>
      <c r="I294" t="s">
        <v>52</v>
      </c>
      <c r="J294" t="s">
        <v>71</v>
      </c>
      <c r="K294">
        <v>500</v>
      </c>
      <c r="L294" t="s">
        <v>54</v>
      </c>
      <c r="M294">
        <f>DOWNLOAD_2kLRbPnDtawQopEJ_UKtt22ud9U57gk8mqebZIeugNk[[#This Row],[Standard Value]]/DOWNLOAD_2kLRbPnDtawQopEJ_UKtt22ud9U57gk8mqebZIeugNk[[#This Row],[Molecular Weight]]*1000*1000</f>
        <v>2548290.0973446816</v>
      </c>
      <c r="N294">
        <f>-LOG(DOWNLOAD_2kLRbPnDtawQopEJ_UKtt22ud9U57gk8mqebZIeugNk[[#This Row],[IC50]]*POWER(10, -9), 10)</f>
        <v>2.5937511334385239</v>
      </c>
      <c r="P294" t="s">
        <v>72</v>
      </c>
      <c r="R294" t="s">
        <v>55</v>
      </c>
      <c r="W294">
        <v>0</v>
      </c>
      <c r="X294" t="s">
        <v>73</v>
      </c>
      <c r="Y294" t="s">
        <v>74</v>
      </c>
      <c r="Z294" t="s">
        <v>58</v>
      </c>
      <c r="AA294" t="s">
        <v>59</v>
      </c>
      <c r="AB294" t="s">
        <v>60</v>
      </c>
      <c r="AC294" t="s">
        <v>61</v>
      </c>
      <c r="AD294" t="s">
        <v>49</v>
      </c>
      <c r="AE294" t="s">
        <v>49</v>
      </c>
      <c r="AF294" t="s">
        <v>49</v>
      </c>
      <c r="AG294" t="s">
        <v>49</v>
      </c>
      <c r="AH294" t="s">
        <v>48</v>
      </c>
      <c r="AI294" t="s">
        <v>48</v>
      </c>
      <c r="AJ294" t="s">
        <v>48</v>
      </c>
      <c r="AK294" t="s">
        <v>62</v>
      </c>
      <c r="AL294" t="s">
        <v>63</v>
      </c>
      <c r="AM294" t="s">
        <v>61</v>
      </c>
      <c r="AN294" t="s">
        <v>64</v>
      </c>
      <c r="AO294" t="s">
        <v>75</v>
      </c>
      <c r="AP294">
        <v>1</v>
      </c>
      <c r="AQ294" t="s">
        <v>66</v>
      </c>
      <c r="AR294" t="s">
        <v>76</v>
      </c>
      <c r="AS294">
        <v>1998</v>
      </c>
      <c r="AT294" t="s">
        <v>49</v>
      </c>
      <c r="AU294" t="s">
        <v>48</v>
      </c>
      <c r="AV294" t="s">
        <v>48</v>
      </c>
      <c r="AW294" t="s">
        <v>48</v>
      </c>
    </row>
    <row r="295" spans="1:49" x14ac:dyDescent="0.3">
      <c r="A295" t="s">
        <v>1005</v>
      </c>
      <c r="B295" t="s">
        <v>48</v>
      </c>
      <c r="C295" t="s">
        <v>49</v>
      </c>
      <c r="D295">
        <v>378.38</v>
      </c>
      <c r="E295">
        <v>0</v>
      </c>
      <c r="F295">
        <v>1.65</v>
      </c>
      <c r="G295" t="s">
        <v>113</v>
      </c>
      <c r="H295" t="s">
        <v>1006</v>
      </c>
      <c r="I295" t="s">
        <v>52</v>
      </c>
      <c r="J295" t="s">
        <v>53</v>
      </c>
      <c r="K295">
        <v>2.8</v>
      </c>
      <c r="L295" t="s">
        <v>54</v>
      </c>
      <c r="M295">
        <f>DOWNLOAD_2kLRbPnDtawQopEJ_UKtt22ud9U57gk8mqebZIeugNk[[#This Row],[Standard Value]]/DOWNLOAD_2kLRbPnDtawQopEJ_UKtt22ud9U57gk8mqebZIeugNk[[#This Row],[Molecular Weight]]*1000*1000</f>
        <v>7399.9682858502028</v>
      </c>
      <c r="N295">
        <f>-LOG(DOWNLOAD_2kLRbPnDtawQopEJ_UKtt22ud9U57gk8mqebZIeugNk[[#This Row],[IC50]]*POWER(10, -9), 10)</f>
        <v>5.1307701415271003</v>
      </c>
      <c r="P295" t="s">
        <v>48</v>
      </c>
      <c r="R295" t="s">
        <v>55</v>
      </c>
      <c r="W295">
        <v>0</v>
      </c>
      <c r="X295" t="s">
        <v>56</v>
      </c>
      <c r="Y295" t="s">
        <v>57</v>
      </c>
      <c r="Z295" t="s">
        <v>58</v>
      </c>
      <c r="AA295" t="s">
        <v>59</v>
      </c>
      <c r="AB295" t="s">
        <v>60</v>
      </c>
      <c r="AC295" t="s">
        <v>61</v>
      </c>
      <c r="AD295" t="s">
        <v>49</v>
      </c>
      <c r="AE295" t="s">
        <v>49</v>
      </c>
      <c r="AF295" t="s">
        <v>49</v>
      </c>
      <c r="AG295" t="s">
        <v>49</v>
      </c>
      <c r="AH295" t="s">
        <v>48</v>
      </c>
      <c r="AI295" t="s">
        <v>48</v>
      </c>
      <c r="AJ295" t="s">
        <v>48</v>
      </c>
      <c r="AK295" t="s">
        <v>62</v>
      </c>
      <c r="AL295" t="s">
        <v>63</v>
      </c>
      <c r="AM295" t="s">
        <v>61</v>
      </c>
      <c r="AN295" t="s">
        <v>64</v>
      </c>
      <c r="AO295" t="s">
        <v>65</v>
      </c>
      <c r="AP295">
        <v>1</v>
      </c>
      <c r="AQ295" t="s">
        <v>66</v>
      </c>
      <c r="AR295" t="s">
        <v>67</v>
      </c>
      <c r="AS295">
        <v>1988</v>
      </c>
      <c r="AT295" t="s">
        <v>49</v>
      </c>
      <c r="AU295" t="s">
        <v>48</v>
      </c>
      <c r="AV295" t="s">
        <v>48</v>
      </c>
      <c r="AW295" t="s">
        <v>48</v>
      </c>
    </row>
    <row r="296" spans="1:49" x14ac:dyDescent="0.3">
      <c r="A296" t="s">
        <v>281</v>
      </c>
      <c r="B296" t="s">
        <v>282</v>
      </c>
      <c r="C296" t="s">
        <v>112</v>
      </c>
      <c r="D296">
        <v>331.35</v>
      </c>
      <c r="E296">
        <v>0</v>
      </c>
      <c r="F296">
        <v>1.58</v>
      </c>
      <c r="G296" t="s">
        <v>1007</v>
      </c>
      <c r="H296" t="s">
        <v>284</v>
      </c>
      <c r="I296" t="s">
        <v>52</v>
      </c>
      <c r="J296" t="s">
        <v>53</v>
      </c>
      <c r="K296">
        <v>102.4</v>
      </c>
      <c r="L296" t="s">
        <v>54</v>
      </c>
      <c r="M296">
        <f>DOWNLOAD_2kLRbPnDtawQopEJ_UKtt22ud9U57gk8mqebZIeugNk[[#This Row],[Standard Value]]/DOWNLOAD_2kLRbPnDtawQopEJ_UKtt22ud9U57gk8mqebZIeugNk[[#This Row],[Molecular Weight]]*1000*1000</f>
        <v>309038.78074543539</v>
      </c>
      <c r="N296">
        <f>-LOG(DOWNLOAD_2kLRbPnDtawQopEJ_UKtt22ud9U57gk8mqebZIeugNk[[#This Row],[IC50]]*POWER(10, -9), 10)</f>
        <v>3.5099870182873039</v>
      </c>
      <c r="P296" t="s">
        <v>72</v>
      </c>
      <c r="R296" t="s">
        <v>55</v>
      </c>
      <c r="W296">
        <v>0</v>
      </c>
      <c r="X296" t="s">
        <v>92</v>
      </c>
      <c r="Y296" t="s">
        <v>93</v>
      </c>
      <c r="Z296" t="s">
        <v>58</v>
      </c>
      <c r="AA296" t="s">
        <v>59</v>
      </c>
      <c r="AB296" t="s">
        <v>60</v>
      </c>
      <c r="AC296" t="s">
        <v>61</v>
      </c>
      <c r="AD296" t="s">
        <v>49</v>
      </c>
      <c r="AE296" t="s">
        <v>49</v>
      </c>
      <c r="AF296" t="s">
        <v>49</v>
      </c>
      <c r="AG296" t="s">
        <v>49</v>
      </c>
      <c r="AH296" t="s">
        <v>48</v>
      </c>
      <c r="AI296" t="s">
        <v>48</v>
      </c>
      <c r="AJ296" t="s">
        <v>48</v>
      </c>
      <c r="AK296" t="s">
        <v>62</v>
      </c>
      <c r="AL296" t="s">
        <v>63</v>
      </c>
      <c r="AM296" t="s">
        <v>61</v>
      </c>
      <c r="AN296" t="s">
        <v>64</v>
      </c>
      <c r="AO296" t="s">
        <v>94</v>
      </c>
      <c r="AP296">
        <v>1</v>
      </c>
      <c r="AQ296" t="s">
        <v>66</v>
      </c>
      <c r="AR296" t="s">
        <v>67</v>
      </c>
      <c r="AS296">
        <v>2003</v>
      </c>
      <c r="AT296" t="s">
        <v>49</v>
      </c>
      <c r="AU296" t="s">
        <v>48</v>
      </c>
      <c r="AV296" t="s">
        <v>48</v>
      </c>
      <c r="AW296" t="s">
        <v>48</v>
      </c>
    </row>
    <row r="297" spans="1:49" x14ac:dyDescent="0.3">
      <c r="A297" t="s">
        <v>1008</v>
      </c>
      <c r="B297" t="s">
        <v>48</v>
      </c>
      <c r="C297" t="s">
        <v>49</v>
      </c>
      <c r="D297">
        <v>436.47</v>
      </c>
      <c r="E297">
        <v>0</v>
      </c>
      <c r="F297">
        <v>3.63</v>
      </c>
      <c r="G297" t="s">
        <v>1009</v>
      </c>
      <c r="H297" t="s">
        <v>1010</v>
      </c>
      <c r="I297" t="s">
        <v>52</v>
      </c>
      <c r="J297" t="s">
        <v>53</v>
      </c>
      <c r="K297">
        <v>46</v>
      </c>
      <c r="L297" t="s">
        <v>126</v>
      </c>
      <c r="M297">
        <f>DOWNLOAD_2kLRbPnDtawQopEJ_UKtt22ud9U57gk8mqebZIeugNk[[#This Row],[Standard Value]]</f>
        <v>46</v>
      </c>
      <c r="N297">
        <f>-LOG(DOWNLOAD_2kLRbPnDtawQopEJ_UKtt22ud9U57gk8mqebZIeugNk[[#This Row],[IC50]]*POWER(10, -9), 10)</f>
        <v>7.3372421683184257</v>
      </c>
      <c r="O297">
        <v>7.34</v>
      </c>
      <c r="P297" t="s">
        <v>48</v>
      </c>
      <c r="R297" t="s">
        <v>127</v>
      </c>
      <c r="S297">
        <v>16.809999999999999</v>
      </c>
      <c r="T297">
        <v>0.31</v>
      </c>
      <c r="U297">
        <v>3.71</v>
      </c>
      <c r="V297">
        <v>5.8</v>
      </c>
      <c r="W297">
        <v>0</v>
      </c>
      <c r="X297" t="s">
        <v>128</v>
      </c>
      <c r="Y297" t="s">
        <v>129</v>
      </c>
      <c r="Z297" t="s">
        <v>58</v>
      </c>
      <c r="AA297" t="s">
        <v>59</v>
      </c>
      <c r="AB297" t="s">
        <v>60</v>
      </c>
      <c r="AC297" t="s">
        <v>61</v>
      </c>
      <c r="AD297" t="s">
        <v>49</v>
      </c>
      <c r="AE297" t="s">
        <v>49</v>
      </c>
      <c r="AF297" t="s">
        <v>49</v>
      </c>
      <c r="AG297" t="s">
        <v>49</v>
      </c>
      <c r="AH297" t="s">
        <v>48</v>
      </c>
      <c r="AI297" t="s">
        <v>48</v>
      </c>
      <c r="AJ297" t="s">
        <v>48</v>
      </c>
      <c r="AK297" t="s">
        <v>62</v>
      </c>
      <c r="AL297" t="s">
        <v>63</v>
      </c>
      <c r="AM297" t="s">
        <v>61</v>
      </c>
      <c r="AN297" t="s">
        <v>64</v>
      </c>
      <c r="AO297" t="s">
        <v>130</v>
      </c>
      <c r="AP297">
        <v>1</v>
      </c>
      <c r="AQ297" t="s">
        <v>66</v>
      </c>
      <c r="AR297" t="s">
        <v>131</v>
      </c>
      <c r="AS297">
        <v>2014</v>
      </c>
      <c r="AT297" t="s">
        <v>49</v>
      </c>
      <c r="AU297" t="s">
        <v>48</v>
      </c>
      <c r="AV297" t="s">
        <v>48</v>
      </c>
      <c r="AW297" t="s">
        <v>48</v>
      </c>
    </row>
    <row r="298" spans="1:49" x14ac:dyDescent="0.3">
      <c r="A298" t="s">
        <v>1011</v>
      </c>
      <c r="B298" t="s">
        <v>48</v>
      </c>
      <c r="C298" t="s">
        <v>49</v>
      </c>
      <c r="D298">
        <v>389.49</v>
      </c>
      <c r="E298">
        <v>0</v>
      </c>
      <c r="F298">
        <v>1.68</v>
      </c>
      <c r="G298" t="s">
        <v>1012</v>
      </c>
      <c r="H298" t="s">
        <v>1013</v>
      </c>
      <c r="I298" t="s">
        <v>52</v>
      </c>
      <c r="J298" t="s">
        <v>53</v>
      </c>
      <c r="K298">
        <v>33200</v>
      </c>
      <c r="L298" t="s">
        <v>126</v>
      </c>
      <c r="M298">
        <f>DOWNLOAD_2kLRbPnDtawQopEJ_UKtt22ud9U57gk8mqebZIeugNk[[#This Row],[Standard Value]]</f>
        <v>33200</v>
      </c>
      <c r="N298">
        <f>-LOG(DOWNLOAD_2kLRbPnDtawQopEJ_UKtt22ud9U57gk8mqebZIeugNk[[#This Row],[IC50]]*POWER(10, -9), 10)</f>
        <v>4.4788619162959638</v>
      </c>
      <c r="O298">
        <v>4.4800000000000004</v>
      </c>
      <c r="P298" t="s">
        <v>48</v>
      </c>
      <c r="R298" t="s">
        <v>127</v>
      </c>
      <c r="S298">
        <v>11.5</v>
      </c>
      <c r="T298">
        <v>0.23</v>
      </c>
      <c r="U298">
        <v>2.8</v>
      </c>
      <c r="V298">
        <v>4.37</v>
      </c>
      <c r="W298">
        <v>0</v>
      </c>
      <c r="X298" t="s">
        <v>128</v>
      </c>
      <c r="Y298" t="s">
        <v>129</v>
      </c>
      <c r="Z298" t="s">
        <v>58</v>
      </c>
      <c r="AA298" t="s">
        <v>59</v>
      </c>
      <c r="AB298" t="s">
        <v>60</v>
      </c>
      <c r="AC298" t="s">
        <v>61</v>
      </c>
      <c r="AD298" t="s">
        <v>49</v>
      </c>
      <c r="AE298" t="s">
        <v>49</v>
      </c>
      <c r="AF298" t="s">
        <v>49</v>
      </c>
      <c r="AG298" t="s">
        <v>49</v>
      </c>
      <c r="AH298" t="s">
        <v>48</v>
      </c>
      <c r="AI298" t="s">
        <v>48</v>
      </c>
      <c r="AJ298" t="s">
        <v>48</v>
      </c>
      <c r="AK298" t="s">
        <v>62</v>
      </c>
      <c r="AL298" t="s">
        <v>63</v>
      </c>
      <c r="AM298" t="s">
        <v>61</v>
      </c>
      <c r="AN298" t="s">
        <v>64</v>
      </c>
      <c r="AO298" t="s">
        <v>130</v>
      </c>
      <c r="AP298">
        <v>1</v>
      </c>
      <c r="AQ298" t="s">
        <v>66</v>
      </c>
      <c r="AR298" t="s">
        <v>131</v>
      </c>
      <c r="AS298">
        <v>2014</v>
      </c>
      <c r="AT298" t="s">
        <v>49</v>
      </c>
      <c r="AU298" t="s">
        <v>48</v>
      </c>
      <c r="AV298" t="s">
        <v>48</v>
      </c>
      <c r="AW298" t="s">
        <v>48</v>
      </c>
    </row>
    <row r="299" spans="1:49" x14ac:dyDescent="0.3">
      <c r="A299" t="s">
        <v>1014</v>
      </c>
      <c r="B299" t="s">
        <v>48</v>
      </c>
      <c r="C299" t="s">
        <v>49</v>
      </c>
      <c r="D299">
        <v>435.57</v>
      </c>
      <c r="E299">
        <v>0</v>
      </c>
      <c r="F299">
        <v>4.82</v>
      </c>
      <c r="G299" t="s">
        <v>672</v>
      </c>
      <c r="H299" t="s">
        <v>1015</v>
      </c>
      <c r="I299" t="s">
        <v>52</v>
      </c>
      <c r="J299" t="s">
        <v>53</v>
      </c>
      <c r="K299">
        <v>16</v>
      </c>
      <c r="L299" t="s">
        <v>54</v>
      </c>
      <c r="M299">
        <f>DOWNLOAD_2kLRbPnDtawQopEJ_UKtt22ud9U57gk8mqebZIeugNk[[#This Row],[Standard Value]]/DOWNLOAD_2kLRbPnDtawQopEJ_UKtt22ud9U57gk8mqebZIeugNk[[#This Row],[Molecular Weight]]*1000*1000</f>
        <v>36733.475675551577</v>
      </c>
      <c r="N299">
        <f>-LOG(DOWNLOAD_2kLRbPnDtawQopEJ_UKtt22ud9U57gk8mqebZIeugNk[[#This Row],[IC50]]*POWER(10, -9), 10)</f>
        <v>4.4349379773095174</v>
      </c>
      <c r="P299" t="s">
        <v>48</v>
      </c>
      <c r="R299" t="s">
        <v>55</v>
      </c>
      <c r="W299">
        <v>0</v>
      </c>
      <c r="X299" t="s">
        <v>121</v>
      </c>
      <c r="Y299" t="s">
        <v>87</v>
      </c>
      <c r="Z299" t="s">
        <v>58</v>
      </c>
      <c r="AA299" t="s">
        <v>59</v>
      </c>
      <c r="AB299" t="s">
        <v>60</v>
      </c>
      <c r="AC299" t="s">
        <v>61</v>
      </c>
      <c r="AD299" t="s">
        <v>49</v>
      </c>
      <c r="AE299" t="s">
        <v>49</v>
      </c>
      <c r="AF299" t="s">
        <v>49</v>
      </c>
      <c r="AG299" t="s">
        <v>49</v>
      </c>
      <c r="AH299" t="s">
        <v>48</v>
      </c>
      <c r="AI299" t="s">
        <v>48</v>
      </c>
      <c r="AJ299" t="s">
        <v>48</v>
      </c>
      <c r="AK299" t="s">
        <v>62</v>
      </c>
      <c r="AL299" t="s">
        <v>63</v>
      </c>
      <c r="AM299" t="s">
        <v>61</v>
      </c>
      <c r="AN299" t="s">
        <v>64</v>
      </c>
      <c r="AO299" t="s">
        <v>122</v>
      </c>
      <c r="AP299">
        <v>1</v>
      </c>
      <c r="AQ299" t="s">
        <v>66</v>
      </c>
      <c r="AR299" t="s">
        <v>76</v>
      </c>
      <c r="AS299">
        <v>2004</v>
      </c>
      <c r="AT299" t="s">
        <v>49</v>
      </c>
      <c r="AU299" t="s">
        <v>48</v>
      </c>
      <c r="AV299" t="s">
        <v>48</v>
      </c>
      <c r="AW299" t="s">
        <v>48</v>
      </c>
    </row>
    <row r="300" spans="1:49" x14ac:dyDescent="0.3">
      <c r="A300" t="s">
        <v>461</v>
      </c>
      <c r="B300" t="s">
        <v>462</v>
      </c>
      <c r="C300" t="s">
        <v>112</v>
      </c>
      <c r="D300">
        <v>232.24</v>
      </c>
      <c r="E300">
        <v>0</v>
      </c>
      <c r="F300">
        <v>1.42</v>
      </c>
      <c r="G300" t="s">
        <v>1016</v>
      </c>
      <c r="H300" t="s">
        <v>464</v>
      </c>
      <c r="I300" t="s">
        <v>52</v>
      </c>
      <c r="J300" t="s">
        <v>53</v>
      </c>
      <c r="K300">
        <v>1.74</v>
      </c>
      <c r="L300" t="s">
        <v>54</v>
      </c>
      <c r="M300">
        <f>DOWNLOAD_2kLRbPnDtawQopEJ_UKtt22ud9U57gk8mqebZIeugNk[[#This Row],[Standard Value]]/DOWNLOAD_2kLRbPnDtawQopEJ_UKtt22ud9U57gk8mqebZIeugNk[[#This Row],[Molecular Weight]]*1000*1000</f>
        <v>7492.2493971753356</v>
      </c>
      <c r="N300">
        <f>-LOG(DOWNLOAD_2kLRbPnDtawQopEJ_UKtt22ud9U57gk8mqebZIeugNk[[#This Row],[IC50]]*POWER(10, -9), 10)</f>
        <v>5.125387774541017</v>
      </c>
      <c r="P300" t="s">
        <v>48</v>
      </c>
      <c r="R300" t="s">
        <v>55</v>
      </c>
      <c r="W300">
        <v>1</v>
      </c>
      <c r="X300" t="s">
        <v>877</v>
      </c>
      <c r="Y300" t="s">
        <v>878</v>
      </c>
      <c r="Z300" t="s">
        <v>58</v>
      </c>
      <c r="AA300" t="s">
        <v>59</v>
      </c>
      <c r="AB300" t="s">
        <v>60</v>
      </c>
      <c r="AC300" t="s">
        <v>61</v>
      </c>
      <c r="AD300" t="s">
        <v>49</v>
      </c>
      <c r="AE300" t="s">
        <v>49</v>
      </c>
      <c r="AF300" t="s">
        <v>49</v>
      </c>
      <c r="AG300" t="s">
        <v>49</v>
      </c>
      <c r="AH300" t="s">
        <v>48</v>
      </c>
      <c r="AI300" t="s">
        <v>48</v>
      </c>
      <c r="AJ300" t="s">
        <v>48</v>
      </c>
      <c r="AK300" t="s">
        <v>62</v>
      </c>
      <c r="AL300" t="s">
        <v>63</v>
      </c>
      <c r="AM300" t="s">
        <v>61</v>
      </c>
      <c r="AN300" t="s">
        <v>64</v>
      </c>
      <c r="AO300" t="s">
        <v>879</v>
      </c>
      <c r="AP300">
        <v>1</v>
      </c>
      <c r="AQ300" t="s">
        <v>66</v>
      </c>
      <c r="AR300" t="s">
        <v>131</v>
      </c>
      <c r="AS300">
        <v>2020</v>
      </c>
      <c r="AT300" t="s">
        <v>49</v>
      </c>
      <c r="AU300" t="s">
        <v>48</v>
      </c>
      <c r="AV300" t="s">
        <v>269</v>
      </c>
      <c r="AW300" t="s">
        <v>48</v>
      </c>
    </row>
    <row r="301" spans="1:49" x14ac:dyDescent="0.3">
      <c r="A301" t="s">
        <v>1017</v>
      </c>
      <c r="B301" t="s">
        <v>48</v>
      </c>
      <c r="C301" t="s">
        <v>49</v>
      </c>
      <c r="D301">
        <v>323.39</v>
      </c>
      <c r="E301">
        <v>0</v>
      </c>
      <c r="F301">
        <v>3.98</v>
      </c>
      <c r="G301" t="s">
        <v>691</v>
      </c>
      <c r="H301" t="s">
        <v>1018</v>
      </c>
      <c r="I301" t="s">
        <v>52</v>
      </c>
      <c r="J301" t="s">
        <v>71</v>
      </c>
      <c r="K301">
        <v>1000000</v>
      </c>
      <c r="L301" t="s">
        <v>126</v>
      </c>
      <c r="M301">
        <f>DOWNLOAD_2kLRbPnDtawQopEJ_UKtt22ud9U57gk8mqebZIeugNk[[#This Row],[Standard Value]]</f>
        <v>1000000</v>
      </c>
      <c r="N301">
        <f>-LOG(DOWNLOAD_2kLRbPnDtawQopEJ_UKtt22ud9U57gk8mqebZIeugNk[[#This Row],[IC50]]*POWER(10, -9), 10)</f>
        <v>2.9999999999999996</v>
      </c>
      <c r="P301" t="s">
        <v>72</v>
      </c>
      <c r="R301" t="s">
        <v>127</v>
      </c>
      <c r="W301">
        <v>0</v>
      </c>
      <c r="X301" t="s">
        <v>590</v>
      </c>
      <c r="Y301" t="s">
        <v>591</v>
      </c>
      <c r="Z301" t="s">
        <v>58</v>
      </c>
      <c r="AA301" t="s">
        <v>59</v>
      </c>
      <c r="AB301" t="s">
        <v>60</v>
      </c>
      <c r="AC301" t="s">
        <v>61</v>
      </c>
      <c r="AD301" t="s">
        <v>49</v>
      </c>
      <c r="AE301" t="s">
        <v>49</v>
      </c>
      <c r="AF301" t="s">
        <v>49</v>
      </c>
      <c r="AG301" t="s">
        <v>49</v>
      </c>
      <c r="AH301" t="s">
        <v>48</v>
      </c>
      <c r="AI301" t="s">
        <v>48</v>
      </c>
      <c r="AJ301" t="s">
        <v>48</v>
      </c>
      <c r="AK301" t="s">
        <v>62</v>
      </c>
      <c r="AL301" t="s">
        <v>63</v>
      </c>
      <c r="AM301" t="s">
        <v>61</v>
      </c>
      <c r="AN301" t="s">
        <v>64</v>
      </c>
      <c r="AO301" t="s">
        <v>592</v>
      </c>
      <c r="AP301">
        <v>1</v>
      </c>
      <c r="AQ301" t="s">
        <v>66</v>
      </c>
      <c r="AR301" t="s">
        <v>67</v>
      </c>
      <c r="AS301">
        <v>2014</v>
      </c>
      <c r="AT301" t="s">
        <v>49</v>
      </c>
      <c r="AU301" t="s">
        <v>48</v>
      </c>
      <c r="AV301" t="s">
        <v>48</v>
      </c>
      <c r="AW301" t="s">
        <v>48</v>
      </c>
    </row>
    <row r="302" spans="1:49" x14ac:dyDescent="0.3">
      <c r="A302" t="s">
        <v>1019</v>
      </c>
      <c r="B302" t="s">
        <v>48</v>
      </c>
      <c r="C302" t="s">
        <v>49</v>
      </c>
      <c r="D302">
        <v>402.38</v>
      </c>
      <c r="E302">
        <v>0</v>
      </c>
      <c r="F302">
        <v>1.17</v>
      </c>
      <c r="G302" t="s">
        <v>1020</v>
      </c>
      <c r="H302" t="s">
        <v>1021</v>
      </c>
      <c r="I302" t="s">
        <v>52</v>
      </c>
      <c r="J302" t="s">
        <v>53</v>
      </c>
      <c r="K302">
        <v>13</v>
      </c>
      <c r="L302" t="s">
        <v>126</v>
      </c>
      <c r="M302">
        <f>DOWNLOAD_2kLRbPnDtawQopEJ_UKtt22ud9U57gk8mqebZIeugNk[[#This Row],[Standard Value]]</f>
        <v>13</v>
      </c>
      <c r="N302">
        <f>-LOG(DOWNLOAD_2kLRbPnDtawQopEJ_UKtt22ud9U57gk8mqebZIeugNk[[#This Row],[IC50]]*POWER(10, -9), 10)</f>
        <v>7.8860566476931622</v>
      </c>
      <c r="O302">
        <v>7.89</v>
      </c>
      <c r="P302" t="s">
        <v>48</v>
      </c>
      <c r="R302" t="s">
        <v>127</v>
      </c>
      <c r="S302">
        <v>19.600000000000001</v>
      </c>
      <c r="T302">
        <v>0.37</v>
      </c>
      <c r="U302">
        <v>6.72</v>
      </c>
      <c r="V302">
        <v>6.93</v>
      </c>
      <c r="W302">
        <v>0</v>
      </c>
      <c r="X302" t="s">
        <v>519</v>
      </c>
      <c r="Y302" t="s">
        <v>520</v>
      </c>
      <c r="Z302" t="s">
        <v>58</v>
      </c>
      <c r="AA302" t="s">
        <v>59</v>
      </c>
      <c r="AB302" t="s">
        <v>60</v>
      </c>
      <c r="AC302" t="s">
        <v>61</v>
      </c>
      <c r="AD302" t="s">
        <v>49</v>
      </c>
      <c r="AE302" t="s">
        <v>49</v>
      </c>
      <c r="AF302" t="s">
        <v>49</v>
      </c>
      <c r="AG302" t="s">
        <v>49</v>
      </c>
      <c r="AH302" t="s">
        <v>48</v>
      </c>
      <c r="AI302" t="s">
        <v>48</v>
      </c>
      <c r="AJ302" t="s">
        <v>48</v>
      </c>
      <c r="AK302" t="s">
        <v>62</v>
      </c>
      <c r="AL302" t="s">
        <v>63</v>
      </c>
      <c r="AM302" t="s">
        <v>61</v>
      </c>
      <c r="AN302" t="s">
        <v>64</v>
      </c>
      <c r="AO302" t="s">
        <v>521</v>
      </c>
      <c r="AP302">
        <v>1</v>
      </c>
      <c r="AQ302" t="s">
        <v>66</v>
      </c>
      <c r="AR302" t="s">
        <v>67</v>
      </c>
      <c r="AS302">
        <v>2014</v>
      </c>
      <c r="AT302" t="s">
        <v>49</v>
      </c>
      <c r="AU302" t="s">
        <v>48</v>
      </c>
      <c r="AV302" t="s">
        <v>48</v>
      </c>
      <c r="AW302" t="s">
        <v>48</v>
      </c>
    </row>
    <row r="303" spans="1:49" x14ac:dyDescent="0.3">
      <c r="A303" t="s">
        <v>1022</v>
      </c>
      <c r="B303" t="s">
        <v>48</v>
      </c>
      <c r="C303" t="s">
        <v>49</v>
      </c>
      <c r="D303">
        <v>444.46</v>
      </c>
      <c r="E303">
        <v>0</v>
      </c>
      <c r="F303">
        <v>2.16</v>
      </c>
      <c r="G303" t="s">
        <v>1023</v>
      </c>
      <c r="H303" t="s">
        <v>1024</v>
      </c>
      <c r="I303" t="s">
        <v>52</v>
      </c>
      <c r="J303" t="s">
        <v>53</v>
      </c>
      <c r="K303">
        <v>4000</v>
      </c>
      <c r="L303" t="s">
        <v>126</v>
      </c>
      <c r="M303">
        <f>DOWNLOAD_2kLRbPnDtawQopEJ_UKtt22ud9U57gk8mqebZIeugNk[[#This Row],[Standard Value]]</f>
        <v>4000</v>
      </c>
      <c r="N303">
        <f>-LOG(DOWNLOAD_2kLRbPnDtawQopEJ_UKtt22ud9U57gk8mqebZIeugNk[[#This Row],[IC50]]*POWER(10, -9), 10)</f>
        <v>5.3979400086720366</v>
      </c>
      <c r="O303">
        <v>5.4</v>
      </c>
      <c r="P303" t="s">
        <v>48</v>
      </c>
      <c r="R303" t="s">
        <v>127</v>
      </c>
      <c r="S303">
        <v>12.14</v>
      </c>
      <c r="T303">
        <v>0.23</v>
      </c>
      <c r="U303">
        <v>3.24</v>
      </c>
      <c r="V303">
        <v>4.74</v>
      </c>
      <c r="W303">
        <v>0</v>
      </c>
      <c r="X303" t="s">
        <v>519</v>
      </c>
      <c r="Y303" t="s">
        <v>520</v>
      </c>
      <c r="Z303" t="s">
        <v>58</v>
      </c>
      <c r="AA303" t="s">
        <v>59</v>
      </c>
      <c r="AB303" t="s">
        <v>60</v>
      </c>
      <c r="AC303" t="s">
        <v>61</v>
      </c>
      <c r="AD303" t="s">
        <v>49</v>
      </c>
      <c r="AE303" t="s">
        <v>49</v>
      </c>
      <c r="AF303" t="s">
        <v>49</v>
      </c>
      <c r="AG303" t="s">
        <v>49</v>
      </c>
      <c r="AH303" t="s">
        <v>48</v>
      </c>
      <c r="AI303" t="s">
        <v>48</v>
      </c>
      <c r="AJ303" t="s">
        <v>48</v>
      </c>
      <c r="AK303" t="s">
        <v>62</v>
      </c>
      <c r="AL303" t="s">
        <v>63</v>
      </c>
      <c r="AM303" t="s">
        <v>61</v>
      </c>
      <c r="AN303" t="s">
        <v>64</v>
      </c>
      <c r="AO303" t="s">
        <v>521</v>
      </c>
      <c r="AP303">
        <v>1</v>
      </c>
      <c r="AQ303" t="s">
        <v>66</v>
      </c>
      <c r="AR303" t="s">
        <v>67</v>
      </c>
      <c r="AS303">
        <v>2014</v>
      </c>
      <c r="AT303" t="s">
        <v>49</v>
      </c>
      <c r="AU303" t="s">
        <v>48</v>
      </c>
      <c r="AV303" t="s">
        <v>48</v>
      </c>
      <c r="AW303" t="s">
        <v>48</v>
      </c>
    </row>
    <row r="304" spans="1:49" x14ac:dyDescent="0.3">
      <c r="A304" t="s">
        <v>1025</v>
      </c>
      <c r="B304" t="s">
        <v>48</v>
      </c>
      <c r="C304" t="s">
        <v>49</v>
      </c>
      <c r="D304">
        <v>377.42</v>
      </c>
      <c r="E304">
        <v>0</v>
      </c>
      <c r="F304">
        <v>0.53</v>
      </c>
      <c r="G304" t="s">
        <v>643</v>
      </c>
      <c r="H304" t="s">
        <v>1026</v>
      </c>
      <c r="I304" t="s">
        <v>52</v>
      </c>
      <c r="J304" t="s">
        <v>53</v>
      </c>
      <c r="K304">
        <v>600</v>
      </c>
      <c r="L304" t="s">
        <v>126</v>
      </c>
      <c r="M304">
        <f>DOWNLOAD_2kLRbPnDtawQopEJ_UKtt22ud9U57gk8mqebZIeugNk[[#This Row],[Standard Value]]</f>
        <v>600</v>
      </c>
      <c r="N304">
        <f>-LOG(DOWNLOAD_2kLRbPnDtawQopEJ_UKtt22ud9U57gk8mqebZIeugNk[[#This Row],[IC50]]*POWER(10, -9), 10)</f>
        <v>6.2218487496163553</v>
      </c>
      <c r="O304">
        <v>6.22</v>
      </c>
      <c r="P304" t="s">
        <v>48</v>
      </c>
      <c r="R304" t="s">
        <v>127</v>
      </c>
      <c r="W304">
        <v>0</v>
      </c>
      <c r="X304" t="s">
        <v>382</v>
      </c>
      <c r="Y304" t="s">
        <v>383</v>
      </c>
      <c r="Z304" t="s">
        <v>168</v>
      </c>
      <c r="AA304" t="s">
        <v>169</v>
      </c>
      <c r="AB304" t="s">
        <v>170</v>
      </c>
      <c r="AC304" t="s">
        <v>61</v>
      </c>
      <c r="AD304" t="s">
        <v>49</v>
      </c>
      <c r="AE304" t="s">
        <v>49</v>
      </c>
      <c r="AF304" t="s">
        <v>49</v>
      </c>
      <c r="AG304" t="s">
        <v>49</v>
      </c>
      <c r="AH304" t="s">
        <v>48</v>
      </c>
      <c r="AI304" t="s">
        <v>48</v>
      </c>
      <c r="AJ304" t="s">
        <v>48</v>
      </c>
      <c r="AK304" t="s">
        <v>62</v>
      </c>
      <c r="AL304" t="s">
        <v>63</v>
      </c>
      <c r="AM304" t="s">
        <v>61</v>
      </c>
      <c r="AN304" t="s">
        <v>64</v>
      </c>
      <c r="AO304" t="s">
        <v>384</v>
      </c>
      <c r="AP304">
        <v>1</v>
      </c>
      <c r="AQ304" t="s">
        <v>66</v>
      </c>
      <c r="AR304" t="s">
        <v>67</v>
      </c>
      <c r="AS304">
        <v>2006</v>
      </c>
      <c r="AT304" t="s">
        <v>49</v>
      </c>
      <c r="AU304" t="s">
        <v>48</v>
      </c>
      <c r="AV304" t="s">
        <v>48</v>
      </c>
      <c r="AW304" t="s">
        <v>48</v>
      </c>
    </row>
    <row r="305" spans="1:49" x14ac:dyDescent="0.3">
      <c r="A305" t="s">
        <v>1027</v>
      </c>
      <c r="B305" t="s">
        <v>48</v>
      </c>
      <c r="C305" t="s">
        <v>49</v>
      </c>
      <c r="D305">
        <v>274.23</v>
      </c>
      <c r="E305">
        <v>0</v>
      </c>
      <c r="F305">
        <v>2.08</v>
      </c>
      <c r="G305" t="s">
        <v>1028</v>
      </c>
      <c r="H305" t="s">
        <v>1029</v>
      </c>
      <c r="I305" t="s">
        <v>52</v>
      </c>
      <c r="J305" t="s">
        <v>53</v>
      </c>
      <c r="K305">
        <v>140</v>
      </c>
      <c r="L305" t="s">
        <v>54</v>
      </c>
      <c r="M305">
        <f>DOWNLOAD_2kLRbPnDtawQopEJ_UKtt22ud9U57gk8mqebZIeugNk[[#This Row],[Standard Value]]/DOWNLOAD_2kLRbPnDtawQopEJ_UKtt22ud9U57gk8mqebZIeugNk[[#This Row],[Molecular Weight]]*1000*1000</f>
        <v>510520.36611603393</v>
      </c>
      <c r="N305">
        <f>-LOG(DOWNLOAD_2kLRbPnDtawQopEJ_UKtt22ud9U57gk8mqebZIeugNk[[#This Row],[IC50]]*POWER(10, -9), 10)</f>
        <v>3.2919869279837601</v>
      </c>
      <c r="P305" t="s">
        <v>72</v>
      </c>
      <c r="R305" t="s">
        <v>55</v>
      </c>
      <c r="W305">
        <v>0</v>
      </c>
      <c r="X305" t="s">
        <v>73</v>
      </c>
      <c r="Y305" t="s">
        <v>74</v>
      </c>
      <c r="Z305" t="s">
        <v>58</v>
      </c>
      <c r="AA305" t="s">
        <v>59</v>
      </c>
      <c r="AB305" t="s">
        <v>60</v>
      </c>
      <c r="AC305" t="s">
        <v>61</v>
      </c>
      <c r="AD305" t="s">
        <v>49</v>
      </c>
      <c r="AE305" t="s">
        <v>49</v>
      </c>
      <c r="AF305" t="s">
        <v>49</v>
      </c>
      <c r="AG305" t="s">
        <v>49</v>
      </c>
      <c r="AH305" t="s">
        <v>48</v>
      </c>
      <c r="AI305" t="s">
        <v>48</v>
      </c>
      <c r="AJ305" t="s">
        <v>48</v>
      </c>
      <c r="AK305" t="s">
        <v>62</v>
      </c>
      <c r="AL305" t="s">
        <v>63</v>
      </c>
      <c r="AM305" t="s">
        <v>61</v>
      </c>
      <c r="AN305" t="s">
        <v>64</v>
      </c>
      <c r="AO305" t="s">
        <v>75</v>
      </c>
      <c r="AP305">
        <v>1</v>
      </c>
      <c r="AQ305" t="s">
        <v>66</v>
      </c>
      <c r="AR305" t="s">
        <v>76</v>
      </c>
      <c r="AS305">
        <v>1998</v>
      </c>
      <c r="AT305" t="s">
        <v>49</v>
      </c>
      <c r="AU305" t="s">
        <v>48</v>
      </c>
      <c r="AV305" t="s">
        <v>48</v>
      </c>
      <c r="AW305" t="s">
        <v>48</v>
      </c>
    </row>
    <row r="306" spans="1:49" x14ac:dyDescent="0.3">
      <c r="A306" t="s">
        <v>1030</v>
      </c>
      <c r="B306" t="s">
        <v>48</v>
      </c>
      <c r="C306" t="s">
        <v>49</v>
      </c>
      <c r="D306">
        <v>482.88</v>
      </c>
      <c r="E306">
        <v>0</v>
      </c>
      <c r="F306">
        <v>1.83</v>
      </c>
      <c r="G306" t="s">
        <v>1031</v>
      </c>
      <c r="H306" t="s">
        <v>1032</v>
      </c>
      <c r="I306" t="s">
        <v>52</v>
      </c>
      <c r="J306" t="s">
        <v>53</v>
      </c>
      <c r="K306">
        <v>500</v>
      </c>
      <c r="L306" t="s">
        <v>126</v>
      </c>
      <c r="M306">
        <f>DOWNLOAD_2kLRbPnDtawQopEJ_UKtt22ud9U57gk8mqebZIeugNk[[#This Row],[Standard Value]]</f>
        <v>500</v>
      </c>
      <c r="N306">
        <f>-LOG(DOWNLOAD_2kLRbPnDtawQopEJ_UKtt22ud9U57gk8mqebZIeugNk[[#This Row],[IC50]]*POWER(10, -9), 10)</f>
        <v>6.3010299956639804</v>
      </c>
      <c r="O306">
        <v>6.3</v>
      </c>
      <c r="P306" t="s">
        <v>48</v>
      </c>
      <c r="Q306">
        <v>302809</v>
      </c>
      <c r="R306" t="s">
        <v>127</v>
      </c>
      <c r="S306">
        <v>13.05</v>
      </c>
      <c r="T306">
        <v>0.25</v>
      </c>
      <c r="U306">
        <v>4.47</v>
      </c>
      <c r="V306">
        <v>4.5199999999999996</v>
      </c>
      <c r="W306">
        <v>0</v>
      </c>
      <c r="X306" t="s">
        <v>251</v>
      </c>
      <c r="Y306" t="s">
        <v>252</v>
      </c>
      <c r="Z306" t="s">
        <v>58</v>
      </c>
      <c r="AA306" t="s">
        <v>59</v>
      </c>
      <c r="AB306" t="s">
        <v>60</v>
      </c>
      <c r="AC306" t="s">
        <v>61</v>
      </c>
      <c r="AD306" t="s">
        <v>49</v>
      </c>
      <c r="AE306" t="s">
        <v>49</v>
      </c>
      <c r="AF306" t="s">
        <v>49</v>
      </c>
      <c r="AG306" t="s">
        <v>49</v>
      </c>
      <c r="AH306" t="s">
        <v>48</v>
      </c>
      <c r="AI306" t="s">
        <v>48</v>
      </c>
      <c r="AJ306" t="s">
        <v>48</v>
      </c>
      <c r="AK306" t="s">
        <v>62</v>
      </c>
      <c r="AL306" t="s">
        <v>63</v>
      </c>
      <c r="AM306" t="s">
        <v>61</v>
      </c>
      <c r="AN306" t="s">
        <v>64</v>
      </c>
      <c r="AO306" t="s">
        <v>253</v>
      </c>
      <c r="AP306">
        <v>37</v>
      </c>
      <c r="AQ306" t="s">
        <v>254</v>
      </c>
      <c r="AR306" t="s">
        <v>48</v>
      </c>
      <c r="AS306">
        <v>2015</v>
      </c>
      <c r="AT306" t="s">
        <v>49</v>
      </c>
      <c r="AU306" t="s">
        <v>48</v>
      </c>
      <c r="AV306" t="s">
        <v>48</v>
      </c>
      <c r="AW306" t="s">
        <v>48</v>
      </c>
    </row>
    <row r="307" spans="1:49" x14ac:dyDescent="0.3">
      <c r="A307" t="s">
        <v>1033</v>
      </c>
      <c r="B307" t="s">
        <v>48</v>
      </c>
      <c r="C307" t="s">
        <v>49</v>
      </c>
      <c r="D307">
        <v>455.41</v>
      </c>
      <c r="E307">
        <v>0</v>
      </c>
      <c r="F307">
        <v>0.44</v>
      </c>
      <c r="G307" t="s">
        <v>1034</v>
      </c>
      <c r="H307" t="s">
        <v>1035</v>
      </c>
      <c r="I307" t="s">
        <v>52</v>
      </c>
      <c r="J307" t="s">
        <v>53</v>
      </c>
      <c r="K307">
        <v>1500</v>
      </c>
      <c r="L307" t="s">
        <v>126</v>
      </c>
      <c r="M307">
        <f>DOWNLOAD_2kLRbPnDtawQopEJ_UKtt22ud9U57gk8mqebZIeugNk[[#This Row],[Standard Value]]</f>
        <v>1500</v>
      </c>
      <c r="N307">
        <f>-LOG(DOWNLOAD_2kLRbPnDtawQopEJ_UKtt22ud9U57gk8mqebZIeugNk[[#This Row],[IC50]]*POWER(10, -9), 10)</f>
        <v>5.8239087409443187</v>
      </c>
      <c r="O307">
        <v>5.82</v>
      </c>
      <c r="P307" t="s">
        <v>48</v>
      </c>
      <c r="Q307">
        <v>302825</v>
      </c>
      <c r="R307" t="s">
        <v>127</v>
      </c>
      <c r="S307">
        <v>12.79</v>
      </c>
      <c r="T307">
        <v>0.24</v>
      </c>
      <c r="U307">
        <v>5.38</v>
      </c>
      <c r="V307">
        <v>4.03</v>
      </c>
      <c r="W307">
        <v>0</v>
      </c>
      <c r="X307" t="s">
        <v>251</v>
      </c>
      <c r="Y307" t="s">
        <v>252</v>
      </c>
      <c r="Z307" t="s">
        <v>58</v>
      </c>
      <c r="AA307" t="s">
        <v>59</v>
      </c>
      <c r="AB307" t="s">
        <v>60</v>
      </c>
      <c r="AC307" t="s">
        <v>61</v>
      </c>
      <c r="AD307" t="s">
        <v>49</v>
      </c>
      <c r="AE307" t="s">
        <v>49</v>
      </c>
      <c r="AF307" t="s">
        <v>49</v>
      </c>
      <c r="AG307" t="s">
        <v>49</v>
      </c>
      <c r="AH307" t="s">
        <v>48</v>
      </c>
      <c r="AI307" t="s">
        <v>48</v>
      </c>
      <c r="AJ307" t="s">
        <v>48</v>
      </c>
      <c r="AK307" t="s">
        <v>62</v>
      </c>
      <c r="AL307" t="s">
        <v>63</v>
      </c>
      <c r="AM307" t="s">
        <v>61</v>
      </c>
      <c r="AN307" t="s">
        <v>64</v>
      </c>
      <c r="AO307" t="s">
        <v>253</v>
      </c>
      <c r="AP307">
        <v>37</v>
      </c>
      <c r="AQ307" t="s">
        <v>254</v>
      </c>
      <c r="AR307" t="s">
        <v>48</v>
      </c>
      <c r="AS307">
        <v>2015</v>
      </c>
      <c r="AT307" t="s">
        <v>49</v>
      </c>
      <c r="AU307" t="s">
        <v>48</v>
      </c>
      <c r="AV307" t="s">
        <v>48</v>
      </c>
      <c r="AW307" t="s">
        <v>48</v>
      </c>
    </row>
    <row r="308" spans="1:49" x14ac:dyDescent="0.3">
      <c r="A308" t="s">
        <v>1036</v>
      </c>
      <c r="B308" t="s">
        <v>48</v>
      </c>
      <c r="C308" t="s">
        <v>49</v>
      </c>
      <c r="D308">
        <v>432.41</v>
      </c>
      <c r="E308">
        <v>0</v>
      </c>
      <c r="F308">
        <v>0.79</v>
      </c>
      <c r="G308" t="s">
        <v>1037</v>
      </c>
      <c r="H308" t="s">
        <v>1038</v>
      </c>
      <c r="I308" t="s">
        <v>52</v>
      </c>
      <c r="J308" t="s">
        <v>53</v>
      </c>
      <c r="K308">
        <v>1100</v>
      </c>
      <c r="L308" t="s">
        <v>126</v>
      </c>
      <c r="M308">
        <f>DOWNLOAD_2kLRbPnDtawQopEJ_UKtt22ud9U57gk8mqebZIeugNk[[#This Row],[Standard Value]]</f>
        <v>1100</v>
      </c>
      <c r="N308">
        <f>-LOG(DOWNLOAD_2kLRbPnDtawQopEJ_UKtt22ud9U57gk8mqebZIeugNk[[#This Row],[IC50]]*POWER(10, -9), 10)</f>
        <v>5.9586073148417746</v>
      </c>
      <c r="O308">
        <v>5.96</v>
      </c>
      <c r="P308" t="s">
        <v>48</v>
      </c>
      <c r="Q308">
        <v>302878</v>
      </c>
      <c r="R308" t="s">
        <v>127</v>
      </c>
      <c r="S308">
        <v>13.78</v>
      </c>
      <c r="T308">
        <v>0.26</v>
      </c>
      <c r="U308">
        <v>5.17</v>
      </c>
      <c r="V308">
        <v>4.84</v>
      </c>
      <c r="W308">
        <v>0</v>
      </c>
      <c r="X308" t="s">
        <v>251</v>
      </c>
      <c r="Y308" t="s">
        <v>252</v>
      </c>
      <c r="Z308" t="s">
        <v>58</v>
      </c>
      <c r="AA308" t="s">
        <v>59</v>
      </c>
      <c r="AB308" t="s">
        <v>60</v>
      </c>
      <c r="AC308" t="s">
        <v>61</v>
      </c>
      <c r="AD308" t="s">
        <v>49</v>
      </c>
      <c r="AE308" t="s">
        <v>49</v>
      </c>
      <c r="AF308" t="s">
        <v>49</v>
      </c>
      <c r="AG308" t="s">
        <v>49</v>
      </c>
      <c r="AH308" t="s">
        <v>48</v>
      </c>
      <c r="AI308" t="s">
        <v>48</v>
      </c>
      <c r="AJ308" t="s">
        <v>48</v>
      </c>
      <c r="AK308" t="s">
        <v>62</v>
      </c>
      <c r="AL308" t="s">
        <v>63</v>
      </c>
      <c r="AM308" t="s">
        <v>61</v>
      </c>
      <c r="AN308" t="s">
        <v>64</v>
      </c>
      <c r="AO308" t="s">
        <v>253</v>
      </c>
      <c r="AP308">
        <v>37</v>
      </c>
      <c r="AQ308" t="s">
        <v>254</v>
      </c>
      <c r="AR308" t="s">
        <v>48</v>
      </c>
      <c r="AS308">
        <v>2015</v>
      </c>
      <c r="AT308" t="s">
        <v>49</v>
      </c>
      <c r="AU308" t="s">
        <v>48</v>
      </c>
      <c r="AV308" t="s">
        <v>48</v>
      </c>
      <c r="AW308" t="s">
        <v>48</v>
      </c>
    </row>
    <row r="309" spans="1:49" x14ac:dyDescent="0.3">
      <c r="A309" t="s">
        <v>1039</v>
      </c>
      <c r="B309" t="s">
        <v>48</v>
      </c>
      <c r="C309" t="s">
        <v>49</v>
      </c>
      <c r="D309">
        <v>482.88</v>
      </c>
      <c r="E309">
        <v>0</v>
      </c>
      <c r="F309">
        <v>1.83</v>
      </c>
      <c r="G309" t="s">
        <v>1040</v>
      </c>
      <c r="H309" t="s">
        <v>1041</v>
      </c>
      <c r="I309" t="s">
        <v>52</v>
      </c>
      <c r="J309" t="s">
        <v>53</v>
      </c>
      <c r="K309">
        <v>500</v>
      </c>
      <c r="L309" t="s">
        <v>126</v>
      </c>
      <c r="M309">
        <f>DOWNLOAD_2kLRbPnDtawQopEJ_UKtt22ud9U57gk8mqebZIeugNk[[#This Row],[Standard Value]]</f>
        <v>500</v>
      </c>
      <c r="N309">
        <f>-LOG(DOWNLOAD_2kLRbPnDtawQopEJ_UKtt22ud9U57gk8mqebZIeugNk[[#This Row],[IC50]]*POWER(10, -9), 10)</f>
        <v>6.3010299956639804</v>
      </c>
      <c r="O309">
        <v>6.3</v>
      </c>
      <c r="P309" t="s">
        <v>48</v>
      </c>
      <c r="Q309">
        <v>302881</v>
      </c>
      <c r="R309" t="s">
        <v>127</v>
      </c>
      <c r="S309">
        <v>13.05</v>
      </c>
      <c r="T309">
        <v>0.25</v>
      </c>
      <c r="U309">
        <v>4.47</v>
      </c>
      <c r="V309">
        <v>4.5199999999999996</v>
      </c>
      <c r="W309">
        <v>0</v>
      </c>
      <c r="X309" t="s">
        <v>251</v>
      </c>
      <c r="Y309" t="s">
        <v>252</v>
      </c>
      <c r="Z309" t="s">
        <v>58</v>
      </c>
      <c r="AA309" t="s">
        <v>59</v>
      </c>
      <c r="AB309" t="s">
        <v>60</v>
      </c>
      <c r="AC309" t="s">
        <v>61</v>
      </c>
      <c r="AD309" t="s">
        <v>49</v>
      </c>
      <c r="AE309" t="s">
        <v>49</v>
      </c>
      <c r="AF309" t="s">
        <v>49</v>
      </c>
      <c r="AG309" t="s">
        <v>49</v>
      </c>
      <c r="AH309" t="s">
        <v>48</v>
      </c>
      <c r="AI309" t="s">
        <v>48</v>
      </c>
      <c r="AJ309" t="s">
        <v>48</v>
      </c>
      <c r="AK309" t="s">
        <v>62</v>
      </c>
      <c r="AL309" t="s">
        <v>63</v>
      </c>
      <c r="AM309" t="s">
        <v>61</v>
      </c>
      <c r="AN309" t="s">
        <v>64</v>
      </c>
      <c r="AO309" t="s">
        <v>253</v>
      </c>
      <c r="AP309">
        <v>37</v>
      </c>
      <c r="AQ309" t="s">
        <v>254</v>
      </c>
      <c r="AR309" t="s">
        <v>48</v>
      </c>
      <c r="AS309">
        <v>2015</v>
      </c>
      <c r="AT309" t="s">
        <v>49</v>
      </c>
      <c r="AU309" t="s">
        <v>48</v>
      </c>
      <c r="AV309" t="s">
        <v>48</v>
      </c>
      <c r="AW309" t="s">
        <v>48</v>
      </c>
    </row>
    <row r="310" spans="1:49" x14ac:dyDescent="0.3">
      <c r="A310" t="s">
        <v>1042</v>
      </c>
      <c r="B310" t="s">
        <v>48</v>
      </c>
      <c r="C310" t="s">
        <v>49</v>
      </c>
      <c r="D310">
        <v>502.94</v>
      </c>
      <c r="E310">
        <v>1</v>
      </c>
      <c r="F310">
        <v>2.2000000000000002</v>
      </c>
      <c r="G310" t="s">
        <v>1043</v>
      </c>
      <c r="H310" t="s">
        <v>1044</v>
      </c>
      <c r="I310" t="s">
        <v>52</v>
      </c>
      <c r="J310" t="s">
        <v>53</v>
      </c>
      <c r="K310">
        <v>2000</v>
      </c>
      <c r="L310" t="s">
        <v>126</v>
      </c>
      <c r="M310">
        <f>DOWNLOAD_2kLRbPnDtawQopEJ_UKtt22ud9U57gk8mqebZIeugNk[[#This Row],[Standard Value]]</f>
        <v>2000</v>
      </c>
      <c r="N310">
        <f>-LOG(DOWNLOAD_2kLRbPnDtawQopEJ_UKtt22ud9U57gk8mqebZIeugNk[[#This Row],[IC50]]*POWER(10, -9), 10)</f>
        <v>5.6989700043360179</v>
      </c>
      <c r="O310">
        <v>5.7</v>
      </c>
      <c r="P310" t="s">
        <v>48</v>
      </c>
      <c r="Q310">
        <v>302890</v>
      </c>
      <c r="R310" t="s">
        <v>127</v>
      </c>
      <c r="S310">
        <v>11.33</v>
      </c>
      <c r="T310">
        <v>0.23</v>
      </c>
      <c r="U310">
        <v>3.5</v>
      </c>
      <c r="V310">
        <v>4.08</v>
      </c>
      <c r="W310">
        <v>0</v>
      </c>
      <c r="X310" t="s">
        <v>251</v>
      </c>
      <c r="Y310" t="s">
        <v>252</v>
      </c>
      <c r="Z310" t="s">
        <v>58</v>
      </c>
      <c r="AA310" t="s">
        <v>59</v>
      </c>
      <c r="AB310" t="s">
        <v>60</v>
      </c>
      <c r="AC310" t="s">
        <v>61</v>
      </c>
      <c r="AD310" t="s">
        <v>49</v>
      </c>
      <c r="AE310" t="s">
        <v>49</v>
      </c>
      <c r="AF310" t="s">
        <v>49</v>
      </c>
      <c r="AG310" t="s">
        <v>49</v>
      </c>
      <c r="AH310" t="s">
        <v>48</v>
      </c>
      <c r="AI310" t="s">
        <v>48</v>
      </c>
      <c r="AJ310" t="s">
        <v>48</v>
      </c>
      <c r="AK310" t="s">
        <v>62</v>
      </c>
      <c r="AL310" t="s">
        <v>63</v>
      </c>
      <c r="AM310" t="s">
        <v>61</v>
      </c>
      <c r="AN310" t="s">
        <v>64</v>
      </c>
      <c r="AO310" t="s">
        <v>253</v>
      </c>
      <c r="AP310">
        <v>37</v>
      </c>
      <c r="AQ310" t="s">
        <v>254</v>
      </c>
      <c r="AR310" t="s">
        <v>48</v>
      </c>
      <c r="AS310">
        <v>2015</v>
      </c>
      <c r="AT310" t="s">
        <v>49</v>
      </c>
      <c r="AU310" t="s">
        <v>48</v>
      </c>
      <c r="AV310" t="s">
        <v>48</v>
      </c>
      <c r="AW310" t="s">
        <v>48</v>
      </c>
    </row>
    <row r="311" spans="1:49" x14ac:dyDescent="0.3">
      <c r="A311" t="s">
        <v>1045</v>
      </c>
      <c r="B311" t="s">
        <v>48</v>
      </c>
      <c r="C311" t="s">
        <v>49</v>
      </c>
      <c r="D311">
        <v>462.85</v>
      </c>
      <c r="E311">
        <v>0</v>
      </c>
      <c r="F311">
        <v>0.13</v>
      </c>
      <c r="G311" t="s">
        <v>1046</v>
      </c>
      <c r="H311" t="s">
        <v>1047</v>
      </c>
      <c r="I311" t="s">
        <v>52</v>
      </c>
      <c r="J311" t="s">
        <v>53</v>
      </c>
      <c r="K311">
        <v>700</v>
      </c>
      <c r="L311" t="s">
        <v>126</v>
      </c>
      <c r="M311">
        <f>DOWNLOAD_2kLRbPnDtawQopEJ_UKtt22ud9U57gk8mqebZIeugNk[[#This Row],[Standard Value]]</f>
        <v>700</v>
      </c>
      <c r="N311">
        <f>-LOG(DOWNLOAD_2kLRbPnDtawQopEJ_UKtt22ud9U57gk8mqebZIeugNk[[#This Row],[IC50]]*POWER(10, -9), 10)</f>
        <v>6.1549019599857431</v>
      </c>
      <c r="O311">
        <v>6.16</v>
      </c>
      <c r="P311" t="s">
        <v>48</v>
      </c>
      <c r="Q311">
        <v>302897</v>
      </c>
      <c r="R311" t="s">
        <v>127</v>
      </c>
      <c r="S311">
        <v>13.3</v>
      </c>
      <c r="T311">
        <v>0.26</v>
      </c>
      <c r="U311">
        <v>6.02</v>
      </c>
      <c r="V311">
        <v>3.95</v>
      </c>
      <c r="W311">
        <v>0</v>
      </c>
      <c r="X311" t="s">
        <v>251</v>
      </c>
      <c r="Y311" t="s">
        <v>252</v>
      </c>
      <c r="Z311" t="s">
        <v>58</v>
      </c>
      <c r="AA311" t="s">
        <v>59</v>
      </c>
      <c r="AB311" t="s">
        <v>60</v>
      </c>
      <c r="AC311" t="s">
        <v>61</v>
      </c>
      <c r="AD311" t="s">
        <v>49</v>
      </c>
      <c r="AE311" t="s">
        <v>49</v>
      </c>
      <c r="AF311" t="s">
        <v>49</v>
      </c>
      <c r="AG311" t="s">
        <v>49</v>
      </c>
      <c r="AH311" t="s">
        <v>48</v>
      </c>
      <c r="AI311" t="s">
        <v>48</v>
      </c>
      <c r="AJ311" t="s">
        <v>48</v>
      </c>
      <c r="AK311" t="s">
        <v>62</v>
      </c>
      <c r="AL311" t="s">
        <v>63</v>
      </c>
      <c r="AM311" t="s">
        <v>61</v>
      </c>
      <c r="AN311" t="s">
        <v>64</v>
      </c>
      <c r="AO311" t="s">
        <v>253</v>
      </c>
      <c r="AP311">
        <v>37</v>
      </c>
      <c r="AQ311" t="s">
        <v>254</v>
      </c>
      <c r="AR311" t="s">
        <v>48</v>
      </c>
      <c r="AS311">
        <v>2015</v>
      </c>
      <c r="AT311" t="s">
        <v>49</v>
      </c>
      <c r="AU311" t="s">
        <v>48</v>
      </c>
      <c r="AV311" t="s">
        <v>48</v>
      </c>
      <c r="AW311" t="s">
        <v>48</v>
      </c>
    </row>
    <row r="312" spans="1:49" x14ac:dyDescent="0.3">
      <c r="A312" t="s">
        <v>1048</v>
      </c>
      <c r="B312" t="s">
        <v>48</v>
      </c>
      <c r="C312" t="s">
        <v>49</v>
      </c>
      <c r="D312">
        <v>403.45</v>
      </c>
      <c r="E312">
        <v>0</v>
      </c>
      <c r="F312">
        <v>2.75</v>
      </c>
      <c r="G312" t="s">
        <v>1049</v>
      </c>
      <c r="H312" t="s">
        <v>1050</v>
      </c>
      <c r="I312" t="s">
        <v>52</v>
      </c>
      <c r="J312" t="s">
        <v>53</v>
      </c>
      <c r="K312">
        <v>6.4</v>
      </c>
      <c r="L312" t="s">
        <v>54</v>
      </c>
      <c r="M312">
        <f>DOWNLOAD_2kLRbPnDtawQopEJ_UKtt22ud9U57gk8mqebZIeugNk[[#This Row],[Standard Value]]/DOWNLOAD_2kLRbPnDtawQopEJ_UKtt22ud9U57gk8mqebZIeugNk[[#This Row],[Molecular Weight]]*1000*1000</f>
        <v>15863.180071880037</v>
      </c>
      <c r="N312">
        <f>-LOG(DOWNLOAD_2kLRbPnDtawQopEJ_UKtt22ud9U57gk8mqebZIeugNk[[#This Row],[IC50]]*POWER(10, -9), 10)</f>
        <v>4.7996097458186764</v>
      </c>
      <c r="P312" t="s">
        <v>48</v>
      </c>
      <c r="R312" t="s">
        <v>55</v>
      </c>
      <c r="W312">
        <v>0</v>
      </c>
      <c r="X312" t="s">
        <v>92</v>
      </c>
      <c r="Y312" t="s">
        <v>93</v>
      </c>
      <c r="Z312" t="s">
        <v>58</v>
      </c>
      <c r="AA312" t="s">
        <v>59</v>
      </c>
      <c r="AB312" t="s">
        <v>60</v>
      </c>
      <c r="AC312" t="s">
        <v>61</v>
      </c>
      <c r="AD312" t="s">
        <v>49</v>
      </c>
      <c r="AE312" t="s">
        <v>49</v>
      </c>
      <c r="AF312" t="s">
        <v>49</v>
      </c>
      <c r="AG312" t="s">
        <v>49</v>
      </c>
      <c r="AH312" t="s">
        <v>48</v>
      </c>
      <c r="AI312" t="s">
        <v>48</v>
      </c>
      <c r="AJ312" t="s">
        <v>48</v>
      </c>
      <c r="AK312" t="s">
        <v>62</v>
      </c>
      <c r="AL312" t="s">
        <v>63</v>
      </c>
      <c r="AM312" t="s">
        <v>61</v>
      </c>
      <c r="AN312" t="s">
        <v>64</v>
      </c>
      <c r="AO312" t="s">
        <v>94</v>
      </c>
      <c r="AP312">
        <v>1</v>
      </c>
      <c r="AQ312" t="s">
        <v>66</v>
      </c>
      <c r="AR312" t="s">
        <v>67</v>
      </c>
      <c r="AS312">
        <v>2003</v>
      </c>
      <c r="AT312" t="s">
        <v>49</v>
      </c>
      <c r="AU312" t="s">
        <v>48</v>
      </c>
      <c r="AV312" t="s">
        <v>48</v>
      </c>
      <c r="AW312" t="s">
        <v>48</v>
      </c>
    </row>
    <row r="313" spans="1:49" x14ac:dyDescent="0.3">
      <c r="A313" t="s">
        <v>1051</v>
      </c>
      <c r="B313" t="s">
        <v>48</v>
      </c>
      <c r="C313" t="s">
        <v>49</v>
      </c>
      <c r="D313">
        <v>415.44</v>
      </c>
      <c r="E313">
        <v>0</v>
      </c>
      <c r="F313">
        <v>4.5599999999999996</v>
      </c>
      <c r="G313" t="s">
        <v>1052</v>
      </c>
      <c r="H313" t="s">
        <v>1053</v>
      </c>
      <c r="I313" t="s">
        <v>52</v>
      </c>
      <c r="J313" t="s">
        <v>53</v>
      </c>
      <c r="K313">
        <v>16</v>
      </c>
      <c r="L313" t="s">
        <v>54</v>
      </c>
      <c r="M313">
        <f>DOWNLOAD_2kLRbPnDtawQopEJ_UKtt22ud9U57gk8mqebZIeugNk[[#This Row],[Standard Value]]/DOWNLOAD_2kLRbPnDtawQopEJ_UKtt22ud9U57gk8mqebZIeugNk[[#This Row],[Molecular Weight]]*1000*1000</f>
        <v>38513.383400731756</v>
      </c>
      <c r="N313">
        <f>-LOG(DOWNLOAD_2kLRbPnDtawQopEJ_UKtt22ud9U57gk8mqebZIeugNk[[#This Row],[IC50]]*POWER(10, -9), 10)</f>
        <v>4.414388326931074</v>
      </c>
      <c r="P313" t="s">
        <v>48</v>
      </c>
      <c r="R313" t="s">
        <v>55</v>
      </c>
      <c r="W313">
        <v>0</v>
      </c>
      <c r="X313" t="s">
        <v>121</v>
      </c>
      <c r="Y313" t="s">
        <v>87</v>
      </c>
      <c r="Z313" t="s">
        <v>58</v>
      </c>
      <c r="AA313" t="s">
        <v>59</v>
      </c>
      <c r="AB313" t="s">
        <v>60</v>
      </c>
      <c r="AC313" t="s">
        <v>61</v>
      </c>
      <c r="AD313" t="s">
        <v>49</v>
      </c>
      <c r="AE313" t="s">
        <v>49</v>
      </c>
      <c r="AF313" t="s">
        <v>49</v>
      </c>
      <c r="AG313" t="s">
        <v>49</v>
      </c>
      <c r="AH313" t="s">
        <v>48</v>
      </c>
      <c r="AI313" t="s">
        <v>48</v>
      </c>
      <c r="AJ313" t="s">
        <v>48</v>
      </c>
      <c r="AK313" t="s">
        <v>62</v>
      </c>
      <c r="AL313" t="s">
        <v>63</v>
      </c>
      <c r="AM313" t="s">
        <v>61</v>
      </c>
      <c r="AN313" t="s">
        <v>64</v>
      </c>
      <c r="AO313" t="s">
        <v>122</v>
      </c>
      <c r="AP313">
        <v>1</v>
      </c>
      <c r="AQ313" t="s">
        <v>66</v>
      </c>
      <c r="AR313" t="s">
        <v>76</v>
      </c>
      <c r="AS313">
        <v>2004</v>
      </c>
      <c r="AT313" t="s">
        <v>49</v>
      </c>
      <c r="AU313" t="s">
        <v>48</v>
      </c>
      <c r="AV313" t="s">
        <v>48</v>
      </c>
      <c r="AW313" t="s">
        <v>48</v>
      </c>
    </row>
    <row r="314" spans="1:49" x14ac:dyDescent="0.3">
      <c r="A314" t="s">
        <v>1054</v>
      </c>
      <c r="B314" t="s">
        <v>48</v>
      </c>
      <c r="C314" t="s">
        <v>49</v>
      </c>
      <c r="D314">
        <v>376.42</v>
      </c>
      <c r="E314">
        <v>0</v>
      </c>
      <c r="F314">
        <v>3.61</v>
      </c>
      <c r="G314" t="s">
        <v>1055</v>
      </c>
      <c r="H314" t="s">
        <v>1056</v>
      </c>
      <c r="I314" t="s">
        <v>52</v>
      </c>
      <c r="J314" t="s">
        <v>53</v>
      </c>
      <c r="K314">
        <v>170</v>
      </c>
      <c r="L314" t="s">
        <v>126</v>
      </c>
      <c r="M314">
        <f>DOWNLOAD_2kLRbPnDtawQopEJ_UKtt22ud9U57gk8mqebZIeugNk[[#This Row],[Standard Value]]</f>
        <v>170</v>
      </c>
      <c r="N314">
        <f>-LOG(DOWNLOAD_2kLRbPnDtawQopEJ_UKtt22ud9U57gk8mqebZIeugNk[[#This Row],[IC50]]*POWER(10, -9), 10)</f>
        <v>6.7695510786217259</v>
      </c>
      <c r="O314">
        <v>6.77</v>
      </c>
      <c r="P314" t="s">
        <v>48</v>
      </c>
      <c r="R314" t="s">
        <v>127</v>
      </c>
      <c r="S314">
        <v>17.98</v>
      </c>
      <c r="T314">
        <v>0.33</v>
      </c>
      <c r="U314">
        <v>3.16</v>
      </c>
      <c r="V314">
        <v>6.27</v>
      </c>
      <c r="W314">
        <v>0</v>
      </c>
      <c r="X314" t="s">
        <v>128</v>
      </c>
      <c r="Y314" t="s">
        <v>129</v>
      </c>
      <c r="Z314" t="s">
        <v>58</v>
      </c>
      <c r="AA314" t="s">
        <v>59</v>
      </c>
      <c r="AB314" t="s">
        <v>60</v>
      </c>
      <c r="AC314" t="s">
        <v>61</v>
      </c>
      <c r="AD314" t="s">
        <v>49</v>
      </c>
      <c r="AE314" t="s">
        <v>49</v>
      </c>
      <c r="AF314" t="s">
        <v>49</v>
      </c>
      <c r="AG314" t="s">
        <v>49</v>
      </c>
      <c r="AH314" t="s">
        <v>48</v>
      </c>
      <c r="AI314" t="s">
        <v>48</v>
      </c>
      <c r="AJ314" t="s">
        <v>48</v>
      </c>
      <c r="AK314" t="s">
        <v>62</v>
      </c>
      <c r="AL314" t="s">
        <v>63</v>
      </c>
      <c r="AM314" t="s">
        <v>61</v>
      </c>
      <c r="AN314" t="s">
        <v>64</v>
      </c>
      <c r="AO314" t="s">
        <v>130</v>
      </c>
      <c r="AP314">
        <v>1</v>
      </c>
      <c r="AQ314" t="s">
        <v>66</v>
      </c>
      <c r="AR314" t="s">
        <v>131</v>
      </c>
      <c r="AS314">
        <v>2014</v>
      </c>
      <c r="AT314" t="s">
        <v>49</v>
      </c>
      <c r="AU314" t="s">
        <v>48</v>
      </c>
      <c r="AV314" t="s">
        <v>48</v>
      </c>
      <c r="AW314" t="s">
        <v>48</v>
      </c>
    </row>
    <row r="315" spans="1:49" x14ac:dyDescent="0.3">
      <c r="A315" t="s">
        <v>1057</v>
      </c>
      <c r="B315" t="s">
        <v>1058</v>
      </c>
      <c r="C315" t="s">
        <v>49</v>
      </c>
      <c r="D315">
        <v>300.27</v>
      </c>
      <c r="E315">
        <v>0</v>
      </c>
      <c r="F315">
        <v>2.59</v>
      </c>
      <c r="G315" t="s">
        <v>1059</v>
      </c>
      <c r="H315" t="s">
        <v>1060</v>
      </c>
      <c r="I315" t="s">
        <v>52</v>
      </c>
      <c r="J315" t="s">
        <v>71</v>
      </c>
      <c r="K315">
        <v>500</v>
      </c>
      <c r="L315" t="s">
        <v>54</v>
      </c>
      <c r="M315">
        <f>DOWNLOAD_2kLRbPnDtawQopEJ_UKtt22ud9U57gk8mqebZIeugNk[[#This Row],[Standard Value]]/DOWNLOAD_2kLRbPnDtawQopEJ_UKtt22ud9U57gk8mqebZIeugNk[[#This Row],[Molecular Weight]]*1000*1000</f>
        <v>1665168.0154527591</v>
      </c>
      <c r="N315">
        <f>-LOG(DOWNLOAD_2kLRbPnDtawQopEJ_UKtt22ud9U57gk8mqebZIeugNk[[#This Row],[IC50]]*POWER(10, -9), 10)</f>
        <v>2.7785419396335533</v>
      </c>
      <c r="P315" t="s">
        <v>72</v>
      </c>
      <c r="R315" t="s">
        <v>55</v>
      </c>
      <c r="W315">
        <v>0</v>
      </c>
      <c r="X315" t="s">
        <v>314</v>
      </c>
      <c r="Y315" t="s">
        <v>315</v>
      </c>
      <c r="Z315" t="s">
        <v>58</v>
      </c>
      <c r="AA315" t="s">
        <v>59</v>
      </c>
      <c r="AB315" t="s">
        <v>60</v>
      </c>
      <c r="AC315" t="s">
        <v>61</v>
      </c>
      <c r="AD315" t="s">
        <v>49</v>
      </c>
      <c r="AE315" t="s">
        <v>49</v>
      </c>
      <c r="AF315" t="s">
        <v>49</v>
      </c>
      <c r="AG315" t="s">
        <v>49</v>
      </c>
      <c r="AH315" t="s">
        <v>48</v>
      </c>
      <c r="AI315" t="s">
        <v>48</v>
      </c>
      <c r="AJ315" t="s">
        <v>48</v>
      </c>
      <c r="AK315" t="s">
        <v>62</v>
      </c>
      <c r="AL315" t="s">
        <v>63</v>
      </c>
      <c r="AM315" t="s">
        <v>61</v>
      </c>
      <c r="AN315" t="s">
        <v>64</v>
      </c>
      <c r="AO315" t="s">
        <v>316</v>
      </c>
      <c r="AP315">
        <v>1</v>
      </c>
      <c r="AQ315" t="s">
        <v>66</v>
      </c>
      <c r="AR315" t="s">
        <v>76</v>
      </c>
      <c r="AS315">
        <v>1993</v>
      </c>
      <c r="AT315" t="s">
        <v>49</v>
      </c>
      <c r="AU315" t="s">
        <v>48</v>
      </c>
      <c r="AV315" t="s">
        <v>48</v>
      </c>
      <c r="AW315" t="s">
        <v>48</v>
      </c>
    </row>
    <row r="316" spans="1:49" x14ac:dyDescent="0.3">
      <c r="A316" t="s">
        <v>1061</v>
      </c>
      <c r="B316" t="s">
        <v>48</v>
      </c>
      <c r="C316" t="s">
        <v>49</v>
      </c>
      <c r="D316">
        <v>418.84</v>
      </c>
      <c r="E316">
        <v>0</v>
      </c>
      <c r="F316">
        <v>1.68</v>
      </c>
      <c r="G316" t="s">
        <v>1062</v>
      </c>
      <c r="H316" t="s">
        <v>1063</v>
      </c>
      <c r="I316" t="s">
        <v>52</v>
      </c>
      <c r="J316" t="s">
        <v>53</v>
      </c>
      <c r="K316">
        <v>370</v>
      </c>
      <c r="L316" t="s">
        <v>126</v>
      </c>
      <c r="M316">
        <f>DOWNLOAD_2kLRbPnDtawQopEJ_UKtt22ud9U57gk8mqebZIeugNk[[#This Row],[Standard Value]]</f>
        <v>370</v>
      </c>
      <c r="N316">
        <f>-LOG(DOWNLOAD_2kLRbPnDtawQopEJ_UKtt22ud9U57gk8mqebZIeugNk[[#This Row],[IC50]]*POWER(10, -9), 10)</f>
        <v>6.431798275933005</v>
      </c>
      <c r="O316">
        <v>6.43</v>
      </c>
      <c r="P316" t="s">
        <v>48</v>
      </c>
      <c r="R316" t="s">
        <v>127</v>
      </c>
      <c r="S316">
        <v>15.36</v>
      </c>
      <c r="T316">
        <v>0.3</v>
      </c>
      <c r="U316">
        <v>4.75</v>
      </c>
      <c r="V316">
        <v>5.65</v>
      </c>
      <c r="W316">
        <v>0</v>
      </c>
      <c r="X316" t="s">
        <v>519</v>
      </c>
      <c r="Y316" t="s">
        <v>520</v>
      </c>
      <c r="Z316" t="s">
        <v>58</v>
      </c>
      <c r="AA316" t="s">
        <v>59</v>
      </c>
      <c r="AB316" t="s">
        <v>60</v>
      </c>
      <c r="AC316" t="s">
        <v>61</v>
      </c>
      <c r="AD316" t="s">
        <v>49</v>
      </c>
      <c r="AE316" t="s">
        <v>49</v>
      </c>
      <c r="AF316" t="s">
        <v>49</v>
      </c>
      <c r="AG316" t="s">
        <v>49</v>
      </c>
      <c r="AH316" t="s">
        <v>48</v>
      </c>
      <c r="AI316" t="s">
        <v>48</v>
      </c>
      <c r="AJ316" t="s">
        <v>48</v>
      </c>
      <c r="AK316" t="s">
        <v>62</v>
      </c>
      <c r="AL316" t="s">
        <v>63</v>
      </c>
      <c r="AM316" t="s">
        <v>61</v>
      </c>
      <c r="AN316" t="s">
        <v>64</v>
      </c>
      <c r="AO316" t="s">
        <v>521</v>
      </c>
      <c r="AP316">
        <v>1</v>
      </c>
      <c r="AQ316" t="s">
        <v>66</v>
      </c>
      <c r="AR316" t="s">
        <v>67</v>
      </c>
      <c r="AS316">
        <v>2014</v>
      </c>
      <c r="AT316" t="s">
        <v>49</v>
      </c>
      <c r="AU316" t="s">
        <v>48</v>
      </c>
      <c r="AV316" t="s">
        <v>48</v>
      </c>
      <c r="AW316" t="s">
        <v>48</v>
      </c>
    </row>
    <row r="317" spans="1:49" x14ac:dyDescent="0.3">
      <c r="A317" t="s">
        <v>1064</v>
      </c>
      <c r="B317" t="s">
        <v>48</v>
      </c>
      <c r="C317" t="s">
        <v>49</v>
      </c>
      <c r="D317">
        <v>371.41</v>
      </c>
      <c r="E317">
        <v>0</v>
      </c>
      <c r="F317">
        <v>2.5</v>
      </c>
      <c r="G317" t="s">
        <v>277</v>
      </c>
      <c r="H317" t="s">
        <v>1065</v>
      </c>
      <c r="I317" t="s">
        <v>52</v>
      </c>
      <c r="J317" t="s">
        <v>53</v>
      </c>
      <c r="K317">
        <v>1.8</v>
      </c>
      <c r="L317" t="s">
        <v>54</v>
      </c>
      <c r="M317">
        <f>DOWNLOAD_2kLRbPnDtawQopEJ_UKtt22ud9U57gk8mqebZIeugNk[[#This Row],[Standard Value]]/DOWNLOAD_2kLRbPnDtawQopEJ_UKtt22ud9U57gk8mqebZIeugNk[[#This Row],[Molecular Weight]]*1000*1000</f>
        <v>4846.3961659621446</v>
      </c>
      <c r="N317">
        <f>-LOG(DOWNLOAD_2kLRbPnDtawQopEJ_UKtt22ud9U57gk8mqebZIeugNk[[#This Row],[IC50]]*POWER(10, -9), 10)</f>
        <v>5.3145810875862729</v>
      </c>
      <c r="P317" t="s">
        <v>48</v>
      </c>
      <c r="R317" t="s">
        <v>55</v>
      </c>
      <c r="W317">
        <v>0</v>
      </c>
      <c r="X317" t="s">
        <v>98</v>
      </c>
      <c r="Y317" t="s">
        <v>99</v>
      </c>
      <c r="Z317" t="s">
        <v>58</v>
      </c>
      <c r="AA317" t="s">
        <v>59</v>
      </c>
      <c r="AB317" t="s">
        <v>60</v>
      </c>
      <c r="AC317" t="s">
        <v>49</v>
      </c>
      <c r="AD317" t="s">
        <v>49</v>
      </c>
      <c r="AE317" t="s">
        <v>49</v>
      </c>
      <c r="AF317" t="s">
        <v>49</v>
      </c>
      <c r="AG317" t="s">
        <v>49</v>
      </c>
      <c r="AH317" t="s">
        <v>48</v>
      </c>
      <c r="AI317" t="s">
        <v>48</v>
      </c>
      <c r="AJ317" t="s">
        <v>48</v>
      </c>
      <c r="AK317" t="s">
        <v>62</v>
      </c>
      <c r="AL317" t="s">
        <v>63</v>
      </c>
      <c r="AM317" t="s">
        <v>61</v>
      </c>
      <c r="AN317" t="s">
        <v>64</v>
      </c>
      <c r="AO317" t="s">
        <v>100</v>
      </c>
      <c r="AP317">
        <v>1</v>
      </c>
      <c r="AQ317" t="s">
        <v>66</v>
      </c>
      <c r="AR317" t="s">
        <v>67</v>
      </c>
      <c r="AS317">
        <v>1991</v>
      </c>
      <c r="AT317" t="s">
        <v>49</v>
      </c>
      <c r="AU317" t="s">
        <v>48</v>
      </c>
      <c r="AV317" t="s">
        <v>48</v>
      </c>
      <c r="AW317" t="s">
        <v>48</v>
      </c>
    </row>
    <row r="318" spans="1:49" x14ac:dyDescent="0.3">
      <c r="A318" t="s">
        <v>1066</v>
      </c>
      <c r="B318" t="s">
        <v>48</v>
      </c>
      <c r="C318" t="s">
        <v>49</v>
      </c>
      <c r="D318">
        <v>364.35</v>
      </c>
      <c r="E318">
        <v>0</v>
      </c>
      <c r="F318">
        <v>1.3</v>
      </c>
      <c r="G318" t="s">
        <v>643</v>
      </c>
      <c r="H318" t="s">
        <v>1067</v>
      </c>
      <c r="I318" t="s">
        <v>52</v>
      </c>
      <c r="J318" t="s">
        <v>53</v>
      </c>
      <c r="K318">
        <v>2.8</v>
      </c>
      <c r="L318" t="s">
        <v>54</v>
      </c>
      <c r="M318">
        <f>DOWNLOAD_2kLRbPnDtawQopEJ_UKtt22ud9U57gk8mqebZIeugNk[[#This Row],[Standard Value]]/DOWNLOAD_2kLRbPnDtawQopEJ_UKtt22ud9U57gk8mqebZIeugNk[[#This Row],[Molecular Weight]]*1000*1000</f>
        <v>7684.918347742554</v>
      </c>
      <c r="N318">
        <f>-LOG(DOWNLOAD_2kLRbPnDtawQopEJ_UKtt22ud9U57gk8mqebZIeugNk[[#This Row],[IC50]]*POWER(10, -9), 10)</f>
        <v>5.114360742518592</v>
      </c>
      <c r="P318" t="s">
        <v>48</v>
      </c>
      <c r="R318" t="s">
        <v>55</v>
      </c>
      <c r="W318">
        <v>1</v>
      </c>
      <c r="X318" t="s">
        <v>98</v>
      </c>
      <c r="Y318" t="s">
        <v>99</v>
      </c>
      <c r="Z318" t="s">
        <v>58</v>
      </c>
      <c r="AA318" t="s">
        <v>59</v>
      </c>
      <c r="AB318" t="s">
        <v>60</v>
      </c>
      <c r="AC318" t="s">
        <v>49</v>
      </c>
      <c r="AD318" t="s">
        <v>49</v>
      </c>
      <c r="AE318" t="s">
        <v>49</v>
      </c>
      <c r="AF318" t="s">
        <v>49</v>
      </c>
      <c r="AG318" t="s">
        <v>49</v>
      </c>
      <c r="AH318" t="s">
        <v>48</v>
      </c>
      <c r="AI318" t="s">
        <v>48</v>
      </c>
      <c r="AJ318" t="s">
        <v>48</v>
      </c>
      <c r="AK318" t="s">
        <v>62</v>
      </c>
      <c r="AL318" t="s">
        <v>63</v>
      </c>
      <c r="AM318" t="s">
        <v>61</v>
      </c>
      <c r="AN318" t="s">
        <v>64</v>
      </c>
      <c r="AO318" t="s">
        <v>100</v>
      </c>
      <c r="AP318">
        <v>1</v>
      </c>
      <c r="AQ318" t="s">
        <v>66</v>
      </c>
      <c r="AR318" t="s">
        <v>67</v>
      </c>
      <c r="AS318">
        <v>1991</v>
      </c>
      <c r="AT318" t="s">
        <v>49</v>
      </c>
      <c r="AU318" t="s">
        <v>48</v>
      </c>
      <c r="AV318" t="s">
        <v>48</v>
      </c>
      <c r="AW318" t="s">
        <v>48</v>
      </c>
    </row>
    <row r="319" spans="1:49" x14ac:dyDescent="0.3">
      <c r="A319" t="s">
        <v>1068</v>
      </c>
      <c r="B319" t="s">
        <v>48</v>
      </c>
      <c r="C319" t="s">
        <v>49</v>
      </c>
      <c r="D319">
        <v>422.8</v>
      </c>
      <c r="E319">
        <v>0</v>
      </c>
      <c r="F319">
        <v>1.51</v>
      </c>
      <c r="G319" t="s">
        <v>1069</v>
      </c>
      <c r="H319" t="s">
        <v>1070</v>
      </c>
      <c r="I319" t="s">
        <v>52</v>
      </c>
      <c r="J319" t="s">
        <v>53</v>
      </c>
      <c r="K319">
        <v>210</v>
      </c>
      <c r="L319" t="s">
        <v>126</v>
      </c>
      <c r="M319">
        <f>DOWNLOAD_2kLRbPnDtawQopEJ_UKtt22ud9U57gk8mqebZIeugNk[[#This Row],[Standard Value]]</f>
        <v>210</v>
      </c>
      <c r="N319">
        <f>-LOG(DOWNLOAD_2kLRbPnDtawQopEJ_UKtt22ud9U57gk8mqebZIeugNk[[#This Row],[IC50]]*POWER(10, -9), 10)</f>
        <v>6.6777807052660805</v>
      </c>
      <c r="O319">
        <v>6.68</v>
      </c>
      <c r="P319" t="s">
        <v>48</v>
      </c>
      <c r="R319" t="s">
        <v>127</v>
      </c>
      <c r="S319">
        <v>15.79</v>
      </c>
      <c r="T319">
        <v>0.31</v>
      </c>
      <c r="U319">
        <v>5.17</v>
      </c>
      <c r="V319">
        <v>5.87</v>
      </c>
      <c r="W319">
        <v>0</v>
      </c>
      <c r="X319" t="s">
        <v>519</v>
      </c>
      <c r="Y319" t="s">
        <v>520</v>
      </c>
      <c r="Z319" t="s">
        <v>58</v>
      </c>
      <c r="AA319" t="s">
        <v>59</v>
      </c>
      <c r="AB319" t="s">
        <v>60</v>
      </c>
      <c r="AC319" t="s">
        <v>61</v>
      </c>
      <c r="AD319" t="s">
        <v>49</v>
      </c>
      <c r="AE319" t="s">
        <v>49</v>
      </c>
      <c r="AF319" t="s">
        <v>49</v>
      </c>
      <c r="AG319" t="s">
        <v>49</v>
      </c>
      <c r="AH319" t="s">
        <v>48</v>
      </c>
      <c r="AI319" t="s">
        <v>48</v>
      </c>
      <c r="AJ319" t="s">
        <v>48</v>
      </c>
      <c r="AK319" t="s">
        <v>62</v>
      </c>
      <c r="AL319" t="s">
        <v>63</v>
      </c>
      <c r="AM319" t="s">
        <v>61</v>
      </c>
      <c r="AN319" t="s">
        <v>64</v>
      </c>
      <c r="AO319" t="s">
        <v>521</v>
      </c>
      <c r="AP319">
        <v>1</v>
      </c>
      <c r="AQ319" t="s">
        <v>66</v>
      </c>
      <c r="AR319" t="s">
        <v>67</v>
      </c>
      <c r="AS319">
        <v>2014</v>
      </c>
      <c r="AT319" t="s">
        <v>49</v>
      </c>
      <c r="AU319" t="s">
        <v>48</v>
      </c>
      <c r="AV319" t="s">
        <v>48</v>
      </c>
      <c r="AW319" t="s">
        <v>48</v>
      </c>
    </row>
    <row r="320" spans="1:49" x14ac:dyDescent="0.3">
      <c r="A320" t="s">
        <v>1071</v>
      </c>
      <c r="B320" t="s">
        <v>48</v>
      </c>
      <c r="C320" t="s">
        <v>49</v>
      </c>
      <c r="D320">
        <v>375.46</v>
      </c>
      <c r="E320">
        <v>0</v>
      </c>
      <c r="F320">
        <v>4.5599999999999996</v>
      </c>
      <c r="G320" t="s">
        <v>405</v>
      </c>
      <c r="H320" t="s">
        <v>1072</v>
      </c>
      <c r="I320" t="s">
        <v>52</v>
      </c>
      <c r="J320" t="s">
        <v>295</v>
      </c>
      <c r="K320">
        <v>750</v>
      </c>
      <c r="L320" t="s">
        <v>126</v>
      </c>
      <c r="M320">
        <f>DOWNLOAD_2kLRbPnDtawQopEJ_UKtt22ud9U57gk8mqebZIeugNk[[#This Row],[Standard Value]]</f>
        <v>750</v>
      </c>
      <c r="N320">
        <f>-LOG(DOWNLOAD_2kLRbPnDtawQopEJ_UKtt22ud9U57gk8mqebZIeugNk[[#This Row],[IC50]]*POWER(10, -9), 10)</f>
        <v>6.1249387366082999</v>
      </c>
      <c r="P320" t="s">
        <v>48</v>
      </c>
      <c r="R320" t="s">
        <v>127</v>
      </c>
      <c r="W320">
        <v>0</v>
      </c>
      <c r="X320" t="s">
        <v>128</v>
      </c>
      <c r="Y320" t="s">
        <v>129</v>
      </c>
      <c r="Z320" t="s">
        <v>58</v>
      </c>
      <c r="AA320" t="s">
        <v>59</v>
      </c>
      <c r="AB320" t="s">
        <v>60</v>
      </c>
      <c r="AC320" t="s">
        <v>61</v>
      </c>
      <c r="AD320" t="s">
        <v>49</v>
      </c>
      <c r="AE320" t="s">
        <v>49</v>
      </c>
      <c r="AF320" t="s">
        <v>49</v>
      </c>
      <c r="AG320" t="s">
        <v>49</v>
      </c>
      <c r="AH320" t="s">
        <v>48</v>
      </c>
      <c r="AI320" t="s">
        <v>48</v>
      </c>
      <c r="AJ320" t="s">
        <v>48</v>
      </c>
      <c r="AK320" t="s">
        <v>62</v>
      </c>
      <c r="AL320" t="s">
        <v>63</v>
      </c>
      <c r="AM320" t="s">
        <v>61</v>
      </c>
      <c r="AN320" t="s">
        <v>64</v>
      </c>
      <c r="AO320" t="s">
        <v>130</v>
      </c>
      <c r="AP320">
        <v>1</v>
      </c>
      <c r="AQ320" t="s">
        <v>66</v>
      </c>
      <c r="AR320" t="s">
        <v>131</v>
      </c>
      <c r="AS320">
        <v>2014</v>
      </c>
      <c r="AT320" t="s">
        <v>49</v>
      </c>
      <c r="AU320" t="s">
        <v>48</v>
      </c>
      <c r="AV320" t="s">
        <v>48</v>
      </c>
      <c r="AW320" t="s">
        <v>48</v>
      </c>
    </row>
    <row r="321" spans="1:49" x14ac:dyDescent="0.3">
      <c r="A321" t="s">
        <v>1073</v>
      </c>
      <c r="B321" t="s">
        <v>48</v>
      </c>
      <c r="C321" t="s">
        <v>49</v>
      </c>
      <c r="D321">
        <v>498.43</v>
      </c>
      <c r="E321">
        <v>0</v>
      </c>
      <c r="F321">
        <v>0.74</v>
      </c>
      <c r="G321" t="s">
        <v>1074</v>
      </c>
      <c r="H321" t="s">
        <v>1075</v>
      </c>
      <c r="I321" t="s">
        <v>52</v>
      </c>
      <c r="J321" t="s">
        <v>53</v>
      </c>
      <c r="K321">
        <v>7600</v>
      </c>
      <c r="L321" t="s">
        <v>126</v>
      </c>
      <c r="M321">
        <f>DOWNLOAD_2kLRbPnDtawQopEJ_UKtt22ud9U57gk8mqebZIeugNk[[#This Row],[Standard Value]]</f>
        <v>7600</v>
      </c>
      <c r="N321">
        <f>-LOG(DOWNLOAD_2kLRbPnDtawQopEJ_UKtt22ud9U57gk8mqebZIeugNk[[#This Row],[IC50]]*POWER(10, -9), 10)</f>
        <v>5.1191864077192086</v>
      </c>
      <c r="O321">
        <v>5.12</v>
      </c>
      <c r="P321" t="s">
        <v>48</v>
      </c>
      <c r="Q321">
        <v>302964</v>
      </c>
      <c r="R321" t="s">
        <v>127</v>
      </c>
      <c r="S321">
        <v>10.27</v>
      </c>
      <c r="T321">
        <v>0.19</v>
      </c>
      <c r="U321">
        <v>4.38</v>
      </c>
      <c r="V321">
        <v>3.03</v>
      </c>
      <c r="W321">
        <v>0</v>
      </c>
      <c r="X321" t="s">
        <v>251</v>
      </c>
      <c r="Y321" t="s">
        <v>252</v>
      </c>
      <c r="Z321" t="s">
        <v>58</v>
      </c>
      <c r="AA321" t="s">
        <v>59</v>
      </c>
      <c r="AB321" t="s">
        <v>60</v>
      </c>
      <c r="AC321" t="s">
        <v>61</v>
      </c>
      <c r="AD321" t="s">
        <v>49</v>
      </c>
      <c r="AE321" t="s">
        <v>49</v>
      </c>
      <c r="AF321" t="s">
        <v>49</v>
      </c>
      <c r="AG321" t="s">
        <v>49</v>
      </c>
      <c r="AH321" t="s">
        <v>48</v>
      </c>
      <c r="AI321" t="s">
        <v>48</v>
      </c>
      <c r="AJ321" t="s">
        <v>48</v>
      </c>
      <c r="AK321" t="s">
        <v>62</v>
      </c>
      <c r="AL321" t="s">
        <v>63</v>
      </c>
      <c r="AM321" t="s">
        <v>61</v>
      </c>
      <c r="AN321" t="s">
        <v>64</v>
      </c>
      <c r="AO321" t="s">
        <v>253</v>
      </c>
      <c r="AP321">
        <v>37</v>
      </c>
      <c r="AQ321" t="s">
        <v>254</v>
      </c>
      <c r="AR321" t="s">
        <v>48</v>
      </c>
      <c r="AS321">
        <v>2015</v>
      </c>
      <c r="AT321" t="s">
        <v>49</v>
      </c>
      <c r="AU321" t="s">
        <v>48</v>
      </c>
      <c r="AV321" t="s">
        <v>48</v>
      </c>
      <c r="AW321" t="s">
        <v>48</v>
      </c>
    </row>
    <row r="322" spans="1:49" x14ac:dyDescent="0.3">
      <c r="A322" t="s">
        <v>743</v>
      </c>
      <c r="B322" t="s">
        <v>48</v>
      </c>
      <c r="C322" t="s">
        <v>49</v>
      </c>
      <c r="D322">
        <v>402.38</v>
      </c>
      <c r="E322">
        <v>0</v>
      </c>
      <c r="F322">
        <v>1.17</v>
      </c>
      <c r="G322" t="s">
        <v>744</v>
      </c>
      <c r="H322" t="s">
        <v>745</v>
      </c>
      <c r="I322" t="s">
        <v>52</v>
      </c>
      <c r="J322" t="s">
        <v>53</v>
      </c>
      <c r="K322">
        <v>300</v>
      </c>
      <c r="L322" t="s">
        <v>126</v>
      </c>
      <c r="M322">
        <f>DOWNLOAD_2kLRbPnDtawQopEJ_UKtt22ud9U57gk8mqebZIeugNk[[#This Row],[Standard Value]]</f>
        <v>300</v>
      </c>
      <c r="N322">
        <f>-LOG(DOWNLOAD_2kLRbPnDtawQopEJ_UKtt22ud9U57gk8mqebZIeugNk[[#This Row],[IC50]]*POWER(10, -9), 10)</f>
        <v>6.5228787452803365</v>
      </c>
      <c r="O322">
        <v>6.52</v>
      </c>
      <c r="P322" t="s">
        <v>48</v>
      </c>
      <c r="Q322">
        <v>302845</v>
      </c>
      <c r="R322" t="s">
        <v>127</v>
      </c>
      <c r="S322">
        <v>16.21</v>
      </c>
      <c r="T322">
        <v>0.31</v>
      </c>
      <c r="U322">
        <v>5.35</v>
      </c>
      <c r="V322">
        <v>5.73</v>
      </c>
      <c r="W322">
        <v>0</v>
      </c>
      <c r="X322" t="s">
        <v>251</v>
      </c>
      <c r="Y322" t="s">
        <v>252</v>
      </c>
      <c r="Z322" t="s">
        <v>58</v>
      </c>
      <c r="AA322" t="s">
        <v>59</v>
      </c>
      <c r="AB322" t="s">
        <v>60</v>
      </c>
      <c r="AC322" t="s">
        <v>61</v>
      </c>
      <c r="AD322" t="s">
        <v>49</v>
      </c>
      <c r="AE322" t="s">
        <v>49</v>
      </c>
      <c r="AF322" t="s">
        <v>49</v>
      </c>
      <c r="AG322" t="s">
        <v>49</v>
      </c>
      <c r="AH322" t="s">
        <v>48</v>
      </c>
      <c r="AI322" t="s">
        <v>48</v>
      </c>
      <c r="AJ322" t="s">
        <v>48</v>
      </c>
      <c r="AK322" t="s">
        <v>62</v>
      </c>
      <c r="AL322" t="s">
        <v>63</v>
      </c>
      <c r="AM322" t="s">
        <v>61</v>
      </c>
      <c r="AN322" t="s">
        <v>64</v>
      </c>
      <c r="AO322" t="s">
        <v>253</v>
      </c>
      <c r="AP322">
        <v>37</v>
      </c>
      <c r="AQ322" t="s">
        <v>254</v>
      </c>
      <c r="AR322" t="s">
        <v>48</v>
      </c>
      <c r="AS322">
        <v>2015</v>
      </c>
      <c r="AT322" t="s">
        <v>49</v>
      </c>
      <c r="AU322" t="s">
        <v>48</v>
      </c>
      <c r="AV322" t="s">
        <v>48</v>
      </c>
      <c r="AW322" t="s">
        <v>48</v>
      </c>
    </row>
    <row r="323" spans="1:49" x14ac:dyDescent="0.3">
      <c r="A323" t="s">
        <v>1076</v>
      </c>
      <c r="B323" t="s">
        <v>48</v>
      </c>
      <c r="C323" t="s">
        <v>49</v>
      </c>
      <c r="D323">
        <v>471.47</v>
      </c>
      <c r="E323">
        <v>0</v>
      </c>
      <c r="F323">
        <v>1.98</v>
      </c>
      <c r="G323" t="s">
        <v>1077</v>
      </c>
      <c r="H323" t="s">
        <v>1078</v>
      </c>
      <c r="I323" t="s">
        <v>52</v>
      </c>
      <c r="J323" t="s">
        <v>53</v>
      </c>
      <c r="K323">
        <v>700</v>
      </c>
      <c r="L323" t="s">
        <v>126</v>
      </c>
      <c r="M323">
        <f>DOWNLOAD_2kLRbPnDtawQopEJ_UKtt22ud9U57gk8mqebZIeugNk[[#This Row],[Standard Value]]</f>
        <v>700</v>
      </c>
      <c r="N323">
        <f>-LOG(DOWNLOAD_2kLRbPnDtawQopEJ_UKtt22ud9U57gk8mqebZIeugNk[[#This Row],[IC50]]*POWER(10, -9), 10)</f>
        <v>6.1549019599857431</v>
      </c>
      <c r="O323">
        <v>6.16</v>
      </c>
      <c r="P323" t="s">
        <v>48</v>
      </c>
      <c r="Q323">
        <v>302868</v>
      </c>
      <c r="R323" t="s">
        <v>127</v>
      </c>
      <c r="S323">
        <v>13.05</v>
      </c>
      <c r="T323">
        <v>0.25</v>
      </c>
      <c r="U323">
        <v>4.17</v>
      </c>
      <c r="V323">
        <v>4.8600000000000003</v>
      </c>
      <c r="W323">
        <v>0</v>
      </c>
      <c r="X323" t="s">
        <v>251</v>
      </c>
      <c r="Y323" t="s">
        <v>252</v>
      </c>
      <c r="Z323" t="s">
        <v>58</v>
      </c>
      <c r="AA323" t="s">
        <v>59</v>
      </c>
      <c r="AB323" t="s">
        <v>60</v>
      </c>
      <c r="AC323" t="s">
        <v>61</v>
      </c>
      <c r="AD323" t="s">
        <v>49</v>
      </c>
      <c r="AE323" t="s">
        <v>49</v>
      </c>
      <c r="AF323" t="s">
        <v>49</v>
      </c>
      <c r="AG323" t="s">
        <v>49</v>
      </c>
      <c r="AH323" t="s">
        <v>48</v>
      </c>
      <c r="AI323" t="s">
        <v>48</v>
      </c>
      <c r="AJ323" t="s">
        <v>48</v>
      </c>
      <c r="AK323" t="s">
        <v>62</v>
      </c>
      <c r="AL323" t="s">
        <v>63</v>
      </c>
      <c r="AM323" t="s">
        <v>61</v>
      </c>
      <c r="AN323" t="s">
        <v>64</v>
      </c>
      <c r="AO323" t="s">
        <v>253</v>
      </c>
      <c r="AP323">
        <v>37</v>
      </c>
      <c r="AQ323" t="s">
        <v>254</v>
      </c>
      <c r="AR323" t="s">
        <v>48</v>
      </c>
      <c r="AS323">
        <v>2015</v>
      </c>
      <c r="AT323" t="s">
        <v>49</v>
      </c>
      <c r="AU323" t="s">
        <v>48</v>
      </c>
      <c r="AV323" t="s">
        <v>48</v>
      </c>
      <c r="AW323" t="s">
        <v>48</v>
      </c>
    </row>
    <row r="324" spans="1:49" x14ac:dyDescent="0.3">
      <c r="A324" t="s">
        <v>1079</v>
      </c>
      <c r="B324" t="s">
        <v>48</v>
      </c>
      <c r="C324" t="s">
        <v>49</v>
      </c>
      <c r="D324">
        <v>419.83</v>
      </c>
      <c r="E324">
        <v>0</v>
      </c>
      <c r="F324">
        <v>1.08</v>
      </c>
      <c r="G324" t="s">
        <v>1080</v>
      </c>
      <c r="H324" t="s">
        <v>1081</v>
      </c>
      <c r="I324" t="s">
        <v>52</v>
      </c>
      <c r="J324" t="s">
        <v>53</v>
      </c>
      <c r="K324">
        <v>1800</v>
      </c>
      <c r="L324" t="s">
        <v>126</v>
      </c>
      <c r="M324">
        <f>DOWNLOAD_2kLRbPnDtawQopEJ_UKtt22ud9U57gk8mqebZIeugNk[[#This Row],[Standard Value]]</f>
        <v>1800</v>
      </c>
      <c r="N324">
        <f>-LOG(DOWNLOAD_2kLRbPnDtawQopEJ_UKtt22ud9U57gk8mqebZIeugNk[[#This Row],[IC50]]*POWER(10, -9), 10)</f>
        <v>5.7447274948966935</v>
      </c>
      <c r="O324">
        <v>5.75</v>
      </c>
      <c r="P324" t="s">
        <v>48</v>
      </c>
      <c r="Q324">
        <v>302896</v>
      </c>
      <c r="R324" t="s">
        <v>127</v>
      </c>
      <c r="S324">
        <v>13.68</v>
      </c>
      <c r="T324">
        <v>0.27</v>
      </c>
      <c r="U324">
        <v>4.66</v>
      </c>
      <c r="V324">
        <v>4.54</v>
      </c>
      <c r="W324">
        <v>0</v>
      </c>
      <c r="X324" t="s">
        <v>251</v>
      </c>
      <c r="Y324" t="s">
        <v>252</v>
      </c>
      <c r="Z324" t="s">
        <v>58</v>
      </c>
      <c r="AA324" t="s">
        <v>59</v>
      </c>
      <c r="AB324" t="s">
        <v>60</v>
      </c>
      <c r="AC324" t="s">
        <v>61</v>
      </c>
      <c r="AD324" t="s">
        <v>49</v>
      </c>
      <c r="AE324" t="s">
        <v>49</v>
      </c>
      <c r="AF324" t="s">
        <v>49</v>
      </c>
      <c r="AG324" t="s">
        <v>49</v>
      </c>
      <c r="AH324" t="s">
        <v>48</v>
      </c>
      <c r="AI324" t="s">
        <v>48</v>
      </c>
      <c r="AJ324" t="s">
        <v>48</v>
      </c>
      <c r="AK324" t="s">
        <v>62</v>
      </c>
      <c r="AL324" t="s">
        <v>63</v>
      </c>
      <c r="AM324" t="s">
        <v>61</v>
      </c>
      <c r="AN324" t="s">
        <v>64</v>
      </c>
      <c r="AO324" t="s">
        <v>253</v>
      </c>
      <c r="AP324">
        <v>37</v>
      </c>
      <c r="AQ324" t="s">
        <v>254</v>
      </c>
      <c r="AR324" t="s">
        <v>48</v>
      </c>
      <c r="AS324">
        <v>2015</v>
      </c>
      <c r="AT324" t="s">
        <v>49</v>
      </c>
      <c r="AU324" t="s">
        <v>48</v>
      </c>
      <c r="AV324" t="s">
        <v>48</v>
      </c>
      <c r="AW324" t="s">
        <v>48</v>
      </c>
    </row>
    <row r="325" spans="1:49" x14ac:dyDescent="0.3">
      <c r="A325" t="s">
        <v>1082</v>
      </c>
      <c r="B325" t="s">
        <v>48</v>
      </c>
      <c r="C325" t="s">
        <v>49</v>
      </c>
      <c r="D325">
        <v>511.47</v>
      </c>
      <c r="E325">
        <v>1</v>
      </c>
      <c r="F325">
        <v>1</v>
      </c>
      <c r="G325" t="s">
        <v>1083</v>
      </c>
      <c r="H325" t="s">
        <v>1084</v>
      </c>
      <c r="I325" t="s">
        <v>52</v>
      </c>
      <c r="J325" t="s">
        <v>53</v>
      </c>
      <c r="K325">
        <v>3100</v>
      </c>
      <c r="L325" t="s">
        <v>126</v>
      </c>
      <c r="M325">
        <f>DOWNLOAD_2kLRbPnDtawQopEJ_UKtt22ud9U57gk8mqebZIeugNk[[#This Row],[Standard Value]]</f>
        <v>3100</v>
      </c>
      <c r="N325">
        <f>-LOG(DOWNLOAD_2kLRbPnDtawQopEJ_UKtt22ud9U57gk8mqebZIeugNk[[#This Row],[IC50]]*POWER(10, -9), 10)</f>
        <v>5.5086383061657269</v>
      </c>
      <c r="O325">
        <v>5.51</v>
      </c>
      <c r="P325" t="s">
        <v>48</v>
      </c>
      <c r="Q325">
        <v>302795</v>
      </c>
      <c r="R325" t="s">
        <v>127</v>
      </c>
      <c r="S325">
        <v>10.77</v>
      </c>
      <c r="T325">
        <v>0.2</v>
      </c>
      <c r="U325">
        <v>4.51</v>
      </c>
      <c r="V325">
        <v>3.43</v>
      </c>
      <c r="W325">
        <v>0</v>
      </c>
      <c r="X325" t="s">
        <v>251</v>
      </c>
      <c r="Y325" t="s">
        <v>252</v>
      </c>
      <c r="Z325" t="s">
        <v>58</v>
      </c>
      <c r="AA325" t="s">
        <v>59</v>
      </c>
      <c r="AB325" t="s">
        <v>60</v>
      </c>
      <c r="AC325" t="s">
        <v>61</v>
      </c>
      <c r="AD325" t="s">
        <v>49</v>
      </c>
      <c r="AE325" t="s">
        <v>49</v>
      </c>
      <c r="AF325" t="s">
        <v>49</v>
      </c>
      <c r="AG325" t="s">
        <v>49</v>
      </c>
      <c r="AH325" t="s">
        <v>48</v>
      </c>
      <c r="AI325" t="s">
        <v>48</v>
      </c>
      <c r="AJ325" t="s">
        <v>48</v>
      </c>
      <c r="AK325" t="s">
        <v>62</v>
      </c>
      <c r="AL325" t="s">
        <v>63</v>
      </c>
      <c r="AM325" t="s">
        <v>61</v>
      </c>
      <c r="AN325" t="s">
        <v>64</v>
      </c>
      <c r="AO325" t="s">
        <v>253</v>
      </c>
      <c r="AP325">
        <v>37</v>
      </c>
      <c r="AQ325" t="s">
        <v>254</v>
      </c>
      <c r="AR325" t="s">
        <v>48</v>
      </c>
      <c r="AS325">
        <v>2015</v>
      </c>
      <c r="AT325" t="s">
        <v>49</v>
      </c>
      <c r="AU325" t="s">
        <v>48</v>
      </c>
      <c r="AV325" t="s">
        <v>48</v>
      </c>
      <c r="AW325" t="s">
        <v>48</v>
      </c>
    </row>
    <row r="326" spans="1:49" x14ac:dyDescent="0.3">
      <c r="A326" t="s">
        <v>1085</v>
      </c>
      <c r="B326" t="s">
        <v>48</v>
      </c>
      <c r="C326" t="s">
        <v>49</v>
      </c>
      <c r="D326">
        <v>305.31</v>
      </c>
      <c r="E326">
        <v>0</v>
      </c>
      <c r="F326">
        <v>1.85</v>
      </c>
      <c r="G326" t="s">
        <v>1086</v>
      </c>
      <c r="H326" t="s">
        <v>1087</v>
      </c>
      <c r="I326" t="s">
        <v>52</v>
      </c>
      <c r="J326" t="s">
        <v>53</v>
      </c>
      <c r="K326">
        <v>5</v>
      </c>
      <c r="L326" t="s">
        <v>54</v>
      </c>
      <c r="M326">
        <f>DOWNLOAD_2kLRbPnDtawQopEJ_UKtt22ud9U57gk8mqebZIeugNk[[#This Row],[Standard Value]]/DOWNLOAD_2kLRbPnDtawQopEJ_UKtt22ud9U57gk8mqebZIeugNk[[#This Row],[Molecular Weight]]*1000*1000</f>
        <v>16376.797353509544</v>
      </c>
      <c r="N326">
        <f>-LOG(DOWNLOAD_2kLRbPnDtawQopEJ_UKtt22ud9U57gk8mqebZIeugNk[[#This Row],[IC50]]*POWER(10, -9), 10)</f>
        <v>4.7857710249010461</v>
      </c>
      <c r="P326" t="s">
        <v>48</v>
      </c>
      <c r="R326" t="s">
        <v>55</v>
      </c>
      <c r="W326">
        <v>0</v>
      </c>
      <c r="X326" t="s">
        <v>115</v>
      </c>
      <c r="Y326" t="s">
        <v>116</v>
      </c>
      <c r="Z326" t="s">
        <v>58</v>
      </c>
      <c r="AA326" t="s">
        <v>59</v>
      </c>
      <c r="AB326" t="s">
        <v>60</v>
      </c>
      <c r="AC326" t="s">
        <v>61</v>
      </c>
      <c r="AD326" t="s">
        <v>49</v>
      </c>
      <c r="AE326" t="s">
        <v>49</v>
      </c>
      <c r="AF326" t="s">
        <v>49</v>
      </c>
      <c r="AG326" t="s">
        <v>49</v>
      </c>
      <c r="AH326" t="s">
        <v>48</v>
      </c>
      <c r="AI326" t="s">
        <v>48</v>
      </c>
      <c r="AJ326" t="s">
        <v>48</v>
      </c>
      <c r="AK326" t="s">
        <v>62</v>
      </c>
      <c r="AL326" t="s">
        <v>63</v>
      </c>
      <c r="AM326" t="s">
        <v>61</v>
      </c>
      <c r="AN326" t="s">
        <v>64</v>
      </c>
      <c r="AO326" t="s">
        <v>117</v>
      </c>
      <c r="AP326">
        <v>1</v>
      </c>
      <c r="AQ326" t="s">
        <v>66</v>
      </c>
      <c r="AR326" t="s">
        <v>67</v>
      </c>
      <c r="AS326">
        <v>1986</v>
      </c>
      <c r="AT326" t="s">
        <v>49</v>
      </c>
      <c r="AU326" t="s">
        <v>48</v>
      </c>
      <c r="AV326" t="s">
        <v>48</v>
      </c>
      <c r="AW326" t="s">
        <v>48</v>
      </c>
    </row>
    <row r="327" spans="1:49" x14ac:dyDescent="0.3">
      <c r="A327" t="s">
        <v>921</v>
      </c>
      <c r="B327" t="s">
        <v>48</v>
      </c>
      <c r="C327" t="s">
        <v>49</v>
      </c>
      <c r="D327">
        <v>385.46</v>
      </c>
      <c r="E327">
        <v>0</v>
      </c>
      <c r="F327">
        <v>2.61</v>
      </c>
      <c r="G327" t="s">
        <v>922</v>
      </c>
      <c r="H327" t="s">
        <v>923</v>
      </c>
      <c r="I327" t="s">
        <v>52</v>
      </c>
      <c r="J327" t="s">
        <v>53</v>
      </c>
      <c r="K327">
        <v>3.2</v>
      </c>
      <c r="L327" t="s">
        <v>54</v>
      </c>
      <c r="M327">
        <f>DOWNLOAD_2kLRbPnDtawQopEJ_UKtt22ud9U57gk8mqebZIeugNk[[#This Row],[Standard Value]]/DOWNLOAD_2kLRbPnDtawQopEJ_UKtt22ud9U57gk8mqebZIeugNk[[#This Row],[Molecular Weight]]*1000*1000</f>
        <v>8301.7693145851717</v>
      </c>
      <c r="N327">
        <f>-LOG(DOWNLOAD_2kLRbPnDtawQopEJ_UKtt22ud9U57gk8mqebZIeugNk[[#This Row],[IC50]]*POWER(10, -9), 10)</f>
        <v>5.0808293387477486</v>
      </c>
      <c r="P327" t="s">
        <v>48</v>
      </c>
      <c r="R327" t="s">
        <v>55</v>
      </c>
      <c r="W327">
        <v>0</v>
      </c>
      <c r="X327" t="s">
        <v>372</v>
      </c>
      <c r="Y327" t="s">
        <v>373</v>
      </c>
      <c r="Z327" t="s">
        <v>58</v>
      </c>
      <c r="AA327" t="s">
        <v>59</v>
      </c>
      <c r="AB327" t="s">
        <v>60</v>
      </c>
      <c r="AC327" t="s">
        <v>61</v>
      </c>
      <c r="AD327" t="s">
        <v>49</v>
      </c>
      <c r="AE327" t="s">
        <v>49</v>
      </c>
      <c r="AF327" t="s">
        <v>49</v>
      </c>
      <c r="AG327" t="s">
        <v>49</v>
      </c>
      <c r="AH327" t="s">
        <v>48</v>
      </c>
      <c r="AI327" t="s">
        <v>48</v>
      </c>
      <c r="AJ327" t="s">
        <v>48</v>
      </c>
      <c r="AK327" t="s">
        <v>62</v>
      </c>
      <c r="AL327" t="s">
        <v>63</v>
      </c>
      <c r="AM327" t="s">
        <v>61</v>
      </c>
      <c r="AN327" t="s">
        <v>64</v>
      </c>
      <c r="AO327" t="s">
        <v>94</v>
      </c>
      <c r="AP327">
        <v>1</v>
      </c>
      <c r="AQ327" t="s">
        <v>66</v>
      </c>
      <c r="AR327" t="s">
        <v>67</v>
      </c>
      <c r="AS327">
        <v>2003</v>
      </c>
      <c r="AT327" t="s">
        <v>49</v>
      </c>
      <c r="AU327" t="s">
        <v>48</v>
      </c>
      <c r="AV327" t="s">
        <v>48</v>
      </c>
      <c r="AW327" t="s">
        <v>48</v>
      </c>
    </row>
    <row r="328" spans="1:49" x14ac:dyDescent="0.3">
      <c r="A328" t="s">
        <v>1088</v>
      </c>
      <c r="B328" t="s">
        <v>48</v>
      </c>
      <c r="C328" t="s">
        <v>49</v>
      </c>
      <c r="D328">
        <v>501.47</v>
      </c>
      <c r="E328">
        <v>1</v>
      </c>
      <c r="F328">
        <v>1.03</v>
      </c>
      <c r="G328" t="s">
        <v>1089</v>
      </c>
      <c r="H328" t="s">
        <v>1090</v>
      </c>
      <c r="I328" t="s">
        <v>52</v>
      </c>
      <c r="J328" t="s">
        <v>53</v>
      </c>
      <c r="K328">
        <v>3700</v>
      </c>
      <c r="L328" t="s">
        <v>126</v>
      </c>
      <c r="M328">
        <f>DOWNLOAD_2kLRbPnDtawQopEJ_UKtt22ud9U57gk8mqebZIeugNk[[#This Row],[Standard Value]]</f>
        <v>3700</v>
      </c>
      <c r="N328">
        <f>-LOG(DOWNLOAD_2kLRbPnDtawQopEJ_UKtt22ud9U57gk8mqebZIeugNk[[#This Row],[IC50]]*POWER(10, -9), 10)</f>
        <v>5.4317982759330041</v>
      </c>
      <c r="O328">
        <v>5.43</v>
      </c>
      <c r="P328" t="s">
        <v>48</v>
      </c>
      <c r="Q328">
        <v>302930</v>
      </c>
      <c r="R328" t="s">
        <v>127</v>
      </c>
      <c r="S328">
        <v>10.83</v>
      </c>
      <c r="T328">
        <v>0.21</v>
      </c>
      <c r="U328">
        <v>4.4000000000000004</v>
      </c>
      <c r="V328">
        <v>3.79</v>
      </c>
      <c r="W328">
        <v>0</v>
      </c>
      <c r="X328" t="s">
        <v>251</v>
      </c>
      <c r="Y328" t="s">
        <v>252</v>
      </c>
      <c r="Z328" t="s">
        <v>58</v>
      </c>
      <c r="AA328" t="s">
        <v>59</v>
      </c>
      <c r="AB328" t="s">
        <v>60</v>
      </c>
      <c r="AC328" t="s">
        <v>61</v>
      </c>
      <c r="AD328" t="s">
        <v>49</v>
      </c>
      <c r="AE328" t="s">
        <v>49</v>
      </c>
      <c r="AF328" t="s">
        <v>49</v>
      </c>
      <c r="AG328" t="s">
        <v>49</v>
      </c>
      <c r="AH328" t="s">
        <v>48</v>
      </c>
      <c r="AI328" t="s">
        <v>48</v>
      </c>
      <c r="AJ328" t="s">
        <v>48</v>
      </c>
      <c r="AK328" t="s">
        <v>62</v>
      </c>
      <c r="AL328" t="s">
        <v>63</v>
      </c>
      <c r="AM328" t="s">
        <v>61</v>
      </c>
      <c r="AN328" t="s">
        <v>64</v>
      </c>
      <c r="AO328" t="s">
        <v>253</v>
      </c>
      <c r="AP328">
        <v>37</v>
      </c>
      <c r="AQ328" t="s">
        <v>254</v>
      </c>
      <c r="AR328" t="s">
        <v>48</v>
      </c>
      <c r="AS328">
        <v>2015</v>
      </c>
      <c r="AT328" t="s">
        <v>49</v>
      </c>
      <c r="AU328" t="s">
        <v>48</v>
      </c>
      <c r="AV328" t="s">
        <v>48</v>
      </c>
      <c r="AW328" t="s">
        <v>48</v>
      </c>
    </row>
    <row r="329" spans="1:49" x14ac:dyDescent="0.3">
      <c r="A329" t="s">
        <v>762</v>
      </c>
      <c r="B329" t="s">
        <v>763</v>
      </c>
      <c r="C329" t="s">
        <v>112</v>
      </c>
      <c r="D329">
        <v>361.37</v>
      </c>
      <c r="E329">
        <v>0</v>
      </c>
      <c r="F329">
        <v>1.54</v>
      </c>
      <c r="G329" t="s">
        <v>1091</v>
      </c>
      <c r="H329" t="s">
        <v>765</v>
      </c>
      <c r="I329" t="s">
        <v>52</v>
      </c>
      <c r="J329" t="s">
        <v>53</v>
      </c>
      <c r="K329">
        <v>1.8</v>
      </c>
      <c r="L329" t="s">
        <v>54</v>
      </c>
      <c r="M329">
        <f>DOWNLOAD_2kLRbPnDtawQopEJ_UKtt22ud9U57gk8mqebZIeugNk[[#This Row],[Standard Value]]/DOWNLOAD_2kLRbPnDtawQopEJ_UKtt22ud9U57gk8mqebZIeugNk[[#This Row],[Molecular Weight]]*1000*1000</f>
        <v>4981.0443589672641</v>
      </c>
      <c r="N329">
        <f>-LOG(DOWNLOAD_2kLRbPnDtawQopEJ_UKtt22ud9U57gk8mqebZIeugNk[[#This Row],[IC50]]*POWER(10, -9), 10)</f>
        <v>5.3026795906167585</v>
      </c>
      <c r="P329" t="s">
        <v>48</v>
      </c>
      <c r="R329" t="s">
        <v>55</v>
      </c>
      <c r="W329">
        <v>1</v>
      </c>
      <c r="X329" t="s">
        <v>73</v>
      </c>
      <c r="Y329" t="s">
        <v>74</v>
      </c>
      <c r="Z329" t="s">
        <v>58</v>
      </c>
      <c r="AA329" t="s">
        <v>59</v>
      </c>
      <c r="AB329" t="s">
        <v>60</v>
      </c>
      <c r="AC329" t="s">
        <v>61</v>
      </c>
      <c r="AD329" t="s">
        <v>49</v>
      </c>
      <c r="AE329" t="s">
        <v>49</v>
      </c>
      <c r="AF329" t="s">
        <v>49</v>
      </c>
      <c r="AG329" t="s">
        <v>49</v>
      </c>
      <c r="AH329" t="s">
        <v>48</v>
      </c>
      <c r="AI329" t="s">
        <v>48</v>
      </c>
      <c r="AJ329" t="s">
        <v>48</v>
      </c>
      <c r="AK329" t="s">
        <v>62</v>
      </c>
      <c r="AL329" t="s">
        <v>63</v>
      </c>
      <c r="AM329" t="s">
        <v>61</v>
      </c>
      <c r="AN329" t="s">
        <v>64</v>
      </c>
      <c r="AO329" t="s">
        <v>75</v>
      </c>
      <c r="AP329">
        <v>1</v>
      </c>
      <c r="AQ329" t="s">
        <v>66</v>
      </c>
      <c r="AR329" t="s">
        <v>76</v>
      </c>
      <c r="AS329">
        <v>1998</v>
      </c>
      <c r="AT329" t="s">
        <v>49</v>
      </c>
      <c r="AU329" t="s">
        <v>48</v>
      </c>
      <c r="AV329" t="s">
        <v>48</v>
      </c>
      <c r="AW329" t="s">
        <v>48</v>
      </c>
    </row>
    <row r="330" spans="1:49" x14ac:dyDescent="0.3">
      <c r="A330" t="s">
        <v>1092</v>
      </c>
      <c r="B330" t="s">
        <v>48</v>
      </c>
      <c r="C330" t="s">
        <v>49</v>
      </c>
      <c r="D330">
        <v>462.38</v>
      </c>
      <c r="E330">
        <v>1</v>
      </c>
      <c r="F330">
        <v>5.27</v>
      </c>
      <c r="G330" t="s">
        <v>810</v>
      </c>
      <c r="H330" t="s">
        <v>1093</v>
      </c>
      <c r="I330" t="s">
        <v>52</v>
      </c>
      <c r="J330" t="s">
        <v>53</v>
      </c>
      <c r="K330">
        <v>1</v>
      </c>
      <c r="L330" t="s">
        <v>54</v>
      </c>
      <c r="M330">
        <f>DOWNLOAD_2kLRbPnDtawQopEJ_UKtt22ud9U57gk8mqebZIeugNk[[#This Row],[Standard Value]]/DOWNLOAD_2kLRbPnDtawQopEJ_UKtt22ud9U57gk8mqebZIeugNk[[#This Row],[Molecular Weight]]*1000*1000</f>
        <v>2162.7233011808466</v>
      </c>
      <c r="N330">
        <f>-LOG(DOWNLOAD_2kLRbPnDtawQopEJ_UKtt22ud9U57gk8mqebZIeugNk[[#This Row],[IC50]]*POWER(10, -9), 10)</f>
        <v>5.6649990406428197</v>
      </c>
      <c r="P330" t="s">
        <v>48</v>
      </c>
      <c r="R330" t="s">
        <v>55</v>
      </c>
      <c r="W330">
        <v>0</v>
      </c>
      <c r="X330" t="s">
        <v>121</v>
      </c>
      <c r="Y330" t="s">
        <v>87</v>
      </c>
      <c r="Z330" t="s">
        <v>58</v>
      </c>
      <c r="AA330" t="s">
        <v>59</v>
      </c>
      <c r="AB330" t="s">
        <v>60</v>
      </c>
      <c r="AC330" t="s">
        <v>61</v>
      </c>
      <c r="AD330" t="s">
        <v>49</v>
      </c>
      <c r="AE330" t="s">
        <v>49</v>
      </c>
      <c r="AF330" t="s">
        <v>49</v>
      </c>
      <c r="AG330" t="s">
        <v>49</v>
      </c>
      <c r="AH330" t="s">
        <v>48</v>
      </c>
      <c r="AI330" t="s">
        <v>48</v>
      </c>
      <c r="AJ330" t="s">
        <v>48</v>
      </c>
      <c r="AK330" t="s">
        <v>62</v>
      </c>
      <c r="AL330" t="s">
        <v>63</v>
      </c>
      <c r="AM330" t="s">
        <v>61</v>
      </c>
      <c r="AN330" t="s">
        <v>64</v>
      </c>
      <c r="AO330" t="s">
        <v>122</v>
      </c>
      <c r="AP330">
        <v>1</v>
      </c>
      <c r="AQ330" t="s">
        <v>66</v>
      </c>
      <c r="AR330" t="s">
        <v>76</v>
      </c>
      <c r="AS330">
        <v>2004</v>
      </c>
      <c r="AT330" t="s">
        <v>49</v>
      </c>
      <c r="AU330" t="s">
        <v>48</v>
      </c>
      <c r="AV330" t="s">
        <v>48</v>
      </c>
      <c r="AW330" t="s">
        <v>48</v>
      </c>
    </row>
    <row r="331" spans="1:49" x14ac:dyDescent="0.3">
      <c r="A331" t="s">
        <v>1094</v>
      </c>
      <c r="B331" t="s">
        <v>48</v>
      </c>
      <c r="C331" t="s">
        <v>49</v>
      </c>
      <c r="D331">
        <v>493.5</v>
      </c>
      <c r="E331">
        <v>0</v>
      </c>
      <c r="F331">
        <v>2.4700000000000002</v>
      </c>
      <c r="G331" t="s">
        <v>1095</v>
      </c>
      <c r="H331" t="s">
        <v>1096</v>
      </c>
      <c r="I331" t="s">
        <v>52</v>
      </c>
      <c r="J331" t="s">
        <v>53</v>
      </c>
      <c r="K331">
        <v>1700</v>
      </c>
      <c r="L331" t="s">
        <v>126</v>
      </c>
      <c r="M331">
        <f>DOWNLOAD_2kLRbPnDtawQopEJ_UKtt22ud9U57gk8mqebZIeugNk[[#This Row],[Standard Value]]</f>
        <v>1700</v>
      </c>
      <c r="N331">
        <f>-LOG(DOWNLOAD_2kLRbPnDtawQopEJ_UKtt22ud9U57gk8mqebZIeugNk[[#This Row],[IC50]]*POWER(10, -9), 10)</f>
        <v>5.769551078621725</v>
      </c>
      <c r="O331">
        <v>5.77</v>
      </c>
      <c r="P331" t="s">
        <v>48</v>
      </c>
      <c r="Q331">
        <v>302776</v>
      </c>
      <c r="R331" t="s">
        <v>127</v>
      </c>
      <c r="S331">
        <v>11.69</v>
      </c>
      <c r="T331">
        <v>0.22</v>
      </c>
      <c r="U331">
        <v>3.3</v>
      </c>
      <c r="V331">
        <v>4.59</v>
      </c>
      <c r="W331">
        <v>0</v>
      </c>
      <c r="X331" t="s">
        <v>251</v>
      </c>
      <c r="Y331" t="s">
        <v>252</v>
      </c>
      <c r="Z331" t="s">
        <v>58</v>
      </c>
      <c r="AA331" t="s">
        <v>59</v>
      </c>
      <c r="AB331" t="s">
        <v>60</v>
      </c>
      <c r="AC331" t="s">
        <v>61</v>
      </c>
      <c r="AD331" t="s">
        <v>49</v>
      </c>
      <c r="AE331" t="s">
        <v>49</v>
      </c>
      <c r="AF331" t="s">
        <v>49</v>
      </c>
      <c r="AG331" t="s">
        <v>49</v>
      </c>
      <c r="AH331" t="s">
        <v>48</v>
      </c>
      <c r="AI331" t="s">
        <v>48</v>
      </c>
      <c r="AJ331" t="s">
        <v>48</v>
      </c>
      <c r="AK331" t="s">
        <v>62</v>
      </c>
      <c r="AL331" t="s">
        <v>63</v>
      </c>
      <c r="AM331" t="s">
        <v>61</v>
      </c>
      <c r="AN331" t="s">
        <v>64</v>
      </c>
      <c r="AO331" t="s">
        <v>253</v>
      </c>
      <c r="AP331">
        <v>37</v>
      </c>
      <c r="AQ331" t="s">
        <v>254</v>
      </c>
      <c r="AR331" t="s">
        <v>48</v>
      </c>
      <c r="AS331">
        <v>2015</v>
      </c>
      <c r="AT331" t="s">
        <v>49</v>
      </c>
      <c r="AU331" t="s">
        <v>48</v>
      </c>
      <c r="AV331" t="s">
        <v>48</v>
      </c>
      <c r="AW331" t="s">
        <v>48</v>
      </c>
    </row>
    <row r="332" spans="1:49" x14ac:dyDescent="0.3">
      <c r="A332" t="s">
        <v>1097</v>
      </c>
      <c r="B332" t="s">
        <v>48</v>
      </c>
      <c r="C332" t="s">
        <v>49</v>
      </c>
      <c r="D332">
        <v>457.46</v>
      </c>
      <c r="E332">
        <v>0</v>
      </c>
      <c r="F332">
        <v>1.46</v>
      </c>
      <c r="G332" t="s">
        <v>1098</v>
      </c>
      <c r="H332" t="s">
        <v>1099</v>
      </c>
      <c r="I332" t="s">
        <v>52</v>
      </c>
      <c r="J332" t="s">
        <v>53</v>
      </c>
      <c r="K332">
        <v>1500</v>
      </c>
      <c r="L332" t="s">
        <v>126</v>
      </c>
      <c r="M332">
        <f>DOWNLOAD_2kLRbPnDtawQopEJ_UKtt22ud9U57gk8mqebZIeugNk[[#This Row],[Standard Value]]</f>
        <v>1500</v>
      </c>
      <c r="N332">
        <f>-LOG(DOWNLOAD_2kLRbPnDtawQopEJ_UKtt22ud9U57gk8mqebZIeugNk[[#This Row],[IC50]]*POWER(10, -9), 10)</f>
        <v>5.8239087409443187</v>
      </c>
      <c r="O332">
        <v>5.82</v>
      </c>
      <c r="P332" t="s">
        <v>48</v>
      </c>
      <c r="Q332">
        <v>302792</v>
      </c>
      <c r="R332" t="s">
        <v>127</v>
      </c>
      <c r="S332">
        <v>12.73</v>
      </c>
      <c r="T332">
        <v>0.24</v>
      </c>
      <c r="U332">
        <v>4.3600000000000003</v>
      </c>
      <c r="V332">
        <v>4.9800000000000004</v>
      </c>
      <c r="W332">
        <v>0</v>
      </c>
      <c r="X332" t="s">
        <v>251</v>
      </c>
      <c r="Y332" t="s">
        <v>252</v>
      </c>
      <c r="Z332" t="s">
        <v>58</v>
      </c>
      <c r="AA332" t="s">
        <v>59</v>
      </c>
      <c r="AB332" t="s">
        <v>60</v>
      </c>
      <c r="AC332" t="s">
        <v>61</v>
      </c>
      <c r="AD332" t="s">
        <v>49</v>
      </c>
      <c r="AE332" t="s">
        <v>49</v>
      </c>
      <c r="AF332" t="s">
        <v>49</v>
      </c>
      <c r="AG332" t="s">
        <v>49</v>
      </c>
      <c r="AH332" t="s">
        <v>48</v>
      </c>
      <c r="AI332" t="s">
        <v>48</v>
      </c>
      <c r="AJ332" t="s">
        <v>48</v>
      </c>
      <c r="AK332" t="s">
        <v>62</v>
      </c>
      <c r="AL332" t="s">
        <v>63</v>
      </c>
      <c r="AM332" t="s">
        <v>61</v>
      </c>
      <c r="AN332" t="s">
        <v>64</v>
      </c>
      <c r="AO332" t="s">
        <v>253</v>
      </c>
      <c r="AP332">
        <v>37</v>
      </c>
      <c r="AQ332" t="s">
        <v>254</v>
      </c>
      <c r="AR332" t="s">
        <v>48</v>
      </c>
      <c r="AS332">
        <v>2015</v>
      </c>
      <c r="AT332" t="s">
        <v>49</v>
      </c>
      <c r="AU332" t="s">
        <v>48</v>
      </c>
      <c r="AV332" t="s">
        <v>48</v>
      </c>
      <c r="AW332" t="s">
        <v>48</v>
      </c>
    </row>
    <row r="333" spans="1:49" x14ac:dyDescent="0.3">
      <c r="A333" t="s">
        <v>1100</v>
      </c>
      <c r="B333" t="s">
        <v>48</v>
      </c>
      <c r="C333" t="s">
        <v>49</v>
      </c>
      <c r="D333">
        <v>378.38</v>
      </c>
      <c r="E333">
        <v>0</v>
      </c>
      <c r="F333">
        <v>1.76</v>
      </c>
      <c r="G333" t="s">
        <v>1101</v>
      </c>
      <c r="H333" t="s">
        <v>1102</v>
      </c>
      <c r="I333" t="s">
        <v>52</v>
      </c>
      <c r="J333" t="s">
        <v>53</v>
      </c>
      <c r="K333">
        <v>13.8</v>
      </c>
      <c r="L333" t="s">
        <v>54</v>
      </c>
      <c r="M333">
        <f>DOWNLOAD_2kLRbPnDtawQopEJ_UKtt22ud9U57gk8mqebZIeugNk[[#This Row],[Standard Value]]/DOWNLOAD_2kLRbPnDtawQopEJ_UKtt22ud9U57gk8mqebZIeugNk[[#This Row],[Molecular Weight]]*1000*1000</f>
        <v>36471.272265976004</v>
      </c>
      <c r="N333">
        <f>-LOG(DOWNLOAD_2kLRbPnDtawQopEJ_UKtt22ud9U57gk8mqebZIeugNk[[#This Row],[IC50]]*POWER(10, -9), 10)</f>
        <v>4.4380490864680828</v>
      </c>
      <c r="P333" t="s">
        <v>48</v>
      </c>
      <c r="R333" t="s">
        <v>55</v>
      </c>
      <c r="W333">
        <v>0</v>
      </c>
      <c r="X333" t="s">
        <v>56</v>
      </c>
      <c r="Y333" t="s">
        <v>57</v>
      </c>
      <c r="Z333" t="s">
        <v>58</v>
      </c>
      <c r="AA333" t="s">
        <v>59</v>
      </c>
      <c r="AB333" t="s">
        <v>60</v>
      </c>
      <c r="AC333" t="s">
        <v>61</v>
      </c>
      <c r="AD333" t="s">
        <v>49</v>
      </c>
      <c r="AE333" t="s">
        <v>49</v>
      </c>
      <c r="AF333" t="s">
        <v>49</v>
      </c>
      <c r="AG333" t="s">
        <v>49</v>
      </c>
      <c r="AH333" t="s">
        <v>48</v>
      </c>
      <c r="AI333" t="s">
        <v>48</v>
      </c>
      <c r="AJ333" t="s">
        <v>48</v>
      </c>
      <c r="AK333" t="s">
        <v>62</v>
      </c>
      <c r="AL333" t="s">
        <v>63</v>
      </c>
      <c r="AM333" t="s">
        <v>61</v>
      </c>
      <c r="AN333" t="s">
        <v>64</v>
      </c>
      <c r="AO333" t="s">
        <v>65</v>
      </c>
      <c r="AP333">
        <v>1</v>
      </c>
      <c r="AQ333" t="s">
        <v>66</v>
      </c>
      <c r="AR333" t="s">
        <v>67</v>
      </c>
      <c r="AS333">
        <v>1988</v>
      </c>
      <c r="AT333" t="s">
        <v>49</v>
      </c>
      <c r="AU333" t="s">
        <v>48</v>
      </c>
      <c r="AV333" t="s">
        <v>48</v>
      </c>
      <c r="AW333" t="s">
        <v>48</v>
      </c>
    </row>
    <row r="334" spans="1:49" x14ac:dyDescent="0.3">
      <c r="A334" t="s">
        <v>1103</v>
      </c>
      <c r="B334" t="s">
        <v>48</v>
      </c>
      <c r="C334" t="s">
        <v>49</v>
      </c>
      <c r="D334">
        <v>260.2</v>
      </c>
      <c r="E334">
        <v>0</v>
      </c>
      <c r="F334">
        <v>1.77</v>
      </c>
      <c r="G334" t="s">
        <v>1104</v>
      </c>
      <c r="H334" t="s">
        <v>1105</v>
      </c>
      <c r="I334" t="s">
        <v>52</v>
      </c>
      <c r="J334" t="s">
        <v>53</v>
      </c>
      <c r="K334">
        <v>80</v>
      </c>
      <c r="L334" t="s">
        <v>54</v>
      </c>
      <c r="M334">
        <f>DOWNLOAD_2kLRbPnDtawQopEJ_UKtt22ud9U57gk8mqebZIeugNk[[#This Row],[Standard Value]]/DOWNLOAD_2kLRbPnDtawQopEJ_UKtt22ud9U57gk8mqebZIeugNk[[#This Row],[Molecular Weight]]*1000*1000</f>
        <v>307455.80322828598</v>
      </c>
      <c r="N334">
        <f>-LOG(DOWNLOAD_2kLRbPnDtawQopEJ_UKtt22ud9U57gk8mqebZIeugNk[[#This Row],[IC50]]*POWER(10, -9), 10)</f>
        <v>3.5122173052336234</v>
      </c>
      <c r="P334" t="s">
        <v>72</v>
      </c>
      <c r="R334" t="s">
        <v>55</v>
      </c>
      <c r="W334">
        <v>0</v>
      </c>
      <c r="X334" t="s">
        <v>73</v>
      </c>
      <c r="Y334" t="s">
        <v>74</v>
      </c>
      <c r="Z334" t="s">
        <v>58</v>
      </c>
      <c r="AA334" t="s">
        <v>59</v>
      </c>
      <c r="AB334" t="s">
        <v>60</v>
      </c>
      <c r="AC334" t="s">
        <v>61</v>
      </c>
      <c r="AD334" t="s">
        <v>49</v>
      </c>
      <c r="AE334" t="s">
        <v>49</v>
      </c>
      <c r="AF334" t="s">
        <v>49</v>
      </c>
      <c r="AG334" t="s">
        <v>49</v>
      </c>
      <c r="AH334" t="s">
        <v>48</v>
      </c>
      <c r="AI334" t="s">
        <v>48</v>
      </c>
      <c r="AJ334" t="s">
        <v>48</v>
      </c>
      <c r="AK334" t="s">
        <v>62</v>
      </c>
      <c r="AL334" t="s">
        <v>63</v>
      </c>
      <c r="AM334" t="s">
        <v>61</v>
      </c>
      <c r="AN334" t="s">
        <v>64</v>
      </c>
      <c r="AO334" t="s">
        <v>75</v>
      </c>
      <c r="AP334">
        <v>1</v>
      </c>
      <c r="AQ334" t="s">
        <v>66</v>
      </c>
      <c r="AR334" t="s">
        <v>76</v>
      </c>
      <c r="AS334">
        <v>1998</v>
      </c>
      <c r="AT334" t="s">
        <v>49</v>
      </c>
      <c r="AU334" t="s">
        <v>48</v>
      </c>
      <c r="AV334" t="s">
        <v>48</v>
      </c>
      <c r="AW334" t="s">
        <v>48</v>
      </c>
    </row>
    <row r="335" spans="1:49" x14ac:dyDescent="0.3">
      <c r="A335" t="s">
        <v>1106</v>
      </c>
      <c r="B335" t="s">
        <v>48</v>
      </c>
      <c r="C335" t="s">
        <v>49</v>
      </c>
      <c r="D335">
        <v>485.47</v>
      </c>
      <c r="E335">
        <v>0</v>
      </c>
      <c r="F335">
        <v>1</v>
      </c>
      <c r="G335" t="s">
        <v>1107</v>
      </c>
      <c r="H335" t="s">
        <v>1108</v>
      </c>
      <c r="I335" t="s">
        <v>52</v>
      </c>
      <c r="J335" t="s">
        <v>53</v>
      </c>
      <c r="K335">
        <v>2100</v>
      </c>
      <c r="L335" t="s">
        <v>126</v>
      </c>
      <c r="M335">
        <f>DOWNLOAD_2kLRbPnDtawQopEJ_UKtt22ud9U57gk8mqebZIeugNk[[#This Row],[Standard Value]]</f>
        <v>2100</v>
      </c>
      <c r="N335">
        <f>-LOG(DOWNLOAD_2kLRbPnDtawQopEJ_UKtt22ud9U57gk8mqebZIeugNk[[#This Row],[IC50]]*POWER(10, -9), 10)</f>
        <v>5.6777807052660796</v>
      </c>
      <c r="O335">
        <v>5.68</v>
      </c>
      <c r="P335" t="s">
        <v>48</v>
      </c>
      <c r="Q335">
        <v>302929</v>
      </c>
      <c r="R335" t="s">
        <v>127</v>
      </c>
      <c r="S335">
        <v>11.7</v>
      </c>
      <c r="T335">
        <v>0.22</v>
      </c>
      <c r="U335">
        <v>4.68</v>
      </c>
      <c r="V335">
        <v>3.97</v>
      </c>
      <c r="W335">
        <v>0</v>
      </c>
      <c r="X335" t="s">
        <v>251</v>
      </c>
      <c r="Y335" t="s">
        <v>252</v>
      </c>
      <c r="Z335" t="s">
        <v>58</v>
      </c>
      <c r="AA335" t="s">
        <v>59</v>
      </c>
      <c r="AB335" t="s">
        <v>60</v>
      </c>
      <c r="AC335" t="s">
        <v>61</v>
      </c>
      <c r="AD335" t="s">
        <v>49</v>
      </c>
      <c r="AE335" t="s">
        <v>49</v>
      </c>
      <c r="AF335" t="s">
        <v>49</v>
      </c>
      <c r="AG335" t="s">
        <v>49</v>
      </c>
      <c r="AH335" t="s">
        <v>48</v>
      </c>
      <c r="AI335" t="s">
        <v>48</v>
      </c>
      <c r="AJ335" t="s">
        <v>48</v>
      </c>
      <c r="AK335" t="s">
        <v>62</v>
      </c>
      <c r="AL335" t="s">
        <v>63</v>
      </c>
      <c r="AM335" t="s">
        <v>61</v>
      </c>
      <c r="AN335" t="s">
        <v>64</v>
      </c>
      <c r="AO335" t="s">
        <v>253</v>
      </c>
      <c r="AP335">
        <v>37</v>
      </c>
      <c r="AQ335" t="s">
        <v>254</v>
      </c>
      <c r="AR335" t="s">
        <v>48</v>
      </c>
      <c r="AS335">
        <v>2015</v>
      </c>
      <c r="AT335" t="s">
        <v>49</v>
      </c>
      <c r="AU335" t="s">
        <v>48</v>
      </c>
      <c r="AV335" t="s">
        <v>48</v>
      </c>
      <c r="AW335" t="s">
        <v>48</v>
      </c>
    </row>
    <row r="336" spans="1:49" x14ac:dyDescent="0.3">
      <c r="A336" t="s">
        <v>1109</v>
      </c>
      <c r="B336" t="s">
        <v>48</v>
      </c>
      <c r="C336" t="s">
        <v>49</v>
      </c>
      <c r="D336">
        <v>539.52</v>
      </c>
      <c r="E336">
        <v>2</v>
      </c>
      <c r="F336">
        <v>1.37</v>
      </c>
      <c r="G336" t="s">
        <v>1110</v>
      </c>
      <c r="H336" t="s">
        <v>1111</v>
      </c>
      <c r="I336" t="s">
        <v>52</v>
      </c>
      <c r="J336" t="s">
        <v>53</v>
      </c>
      <c r="K336">
        <v>700</v>
      </c>
      <c r="L336" t="s">
        <v>126</v>
      </c>
      <c r="M336">
        <f>DOWNLOAD_2kLRbPnDtawQopEJ_UKtt22ud9U57gk8mqebZIeugNk[[#This Row],[Standard Value]]</f>
        <v>700</v>
      </c>
      <c r="N336">
        <f>-LOG(DOWNLOAD_2kLRbPnDtawQopEJ_UKtt22ud9U57gk8mqebZIeugNk[[#This Row],[IC50]]*POWER(10, -9), 10)</f>
        <v>6.1549019599857431</v>
      </c>
      <c r="O336">
        <v>6.16</v>
      </c>
      <c r="P336" t="s">
        <v>48</v>
      </c>
      <c r="Q336">
        <v>302949</v>
      </c>
      <c r="R336" t="s">
        <v>127</v>
      </c>
      <c r="S336">
        <v>11.41</v>
      </c>
      <c r="T336">
        <v>0.22</v>
      </c>
      <c r="U336">
        <v>4.78</v>
      </c>
      <c r="V336">
        <v>3.83</v>
      </c>
      <c r="W336">
        <v>0</v>
      </c>
      <c r="X336" t="s">
        <v>251</v>
      </c>
      <c r="Y336" t="s">
        <v>252</v>
      </c>
      <c r="Z336" t="s">
        <v>58</v>
      </c>
      <c r="AA336" t="s">
        <v>59</v>
      </c>
      <c r="AB336" t="s">
        <v>60</v>
      </c>
      <c r="AC336" t="s">
        <v>61</v>
      </c>
      <c r="AD336" t="s">
        <v>49</v>
      </c>
      <c r="AE336" t="s">
        <v>49</v>
      </c>
      <c r="AF336" t="s">
        <v>49</v>
      </c>
      <c r="AG336" t="s">
        <v>49</v>
      </c>
      <c r="AH336" t="s">
        <v>48</v>
      </c>
      <c r="AI336" t="s">
        <v>48</v>
      </c>
      <c r="AJ336" t="s">
        <v>48</v>
      </c>
      <c r="AK336" t="s">
        <v>62</v>
      </c>
      <c r="AL336" t="s">
        <v>63</v>
      </c>
      <c r="AM336" t="s">
        <v>61</v>
      </c>
      <c r="AN336" t="s">
        <v>64</v>
      </c>
      <c r="AO336" t="s">
        <v>253</v>
      </c>
      <c r="AP336">
        <v>37</v>
      </c>
      <c r="AQ336" t="s">
        <v>254</v>
      </c>
      <c r="AR336" t="s">
        <v>48</v>
      </c>
      <c r="AS336">
        <v>2015</v>
      </c>
      <c r="AT336" t="s">
        <v>49</v>
      </c>
      <c r="AU336" t="s">
        <v>48</v>
      </c>
      <c r="AV336" t="s">
        <v>48</v>
      </c>
      <c r="AW336" t="s">
        <v>48</v>
      </c>
    </row>
    <row r="337" spans="1:49" x14ac:dyDescent="0.3">
      <c r="A337" t="s">
        <v>1112</v>
      </c>
      <c r="B337" t="s">
        <v>48</v>
      </c>
      <c r="C337" t="s">
        <v>49</v>
      </c>
      <c r="D337">
        <v>449.6</v>
      </c>
      <c r="E337">
        <v>1</v>
      </c>
      <c r="F337">
        <v>5.26</v>
      </c>
      <c r="G337" t="s">
        <v>1113</v>
      </c>
      <c r="H337" t="s">
        <v>1114</v>
      </c>
      <c r="I337" t="s">
        <v>52</v>
      </c>
      <c r="J337" t="s">
        <v>53</v>
      </c>
      <c r="K337">
        <v>4</v>
      </c>
      <c r="L337" t="s">
        <v>54</v>
      </c>
      <c r="M337">
        <f>DOWNLOAD_2kLRbPnDtawQopEJ_UKtt22ud9U57gk8mqebZIeugNk[[#This Row],[Standard Value]]/DOWNLOAD_2kLRbPnDtawQopEJ_UKtt22ud9U57gk8mqebZIeugNk[[#This Row],[Molecular Weight]]*1000*1000</f>
        <v>8896.7971530249088</v>
      </c>
      <c r="N337">
        <f>-LOG(DOWNLOAD_2kLRbPnDtawQopEJ_UKtt22ud9U57gk8mqebZIeugNk[[#This Row],[IC50]]*POWER(10, -9), 10)</f>
        <v>5.0507663112330423</v>
      </c>
      <c r="P337" t="s">
        <v>48</v>
      </c>
      <c r="R337" t="s">
        <v>55</v>
      </c>
      <c r="W337">
        <v>0</v>
      </c>
      <c r="X337" t="s">
        <v>121</v>
      </c>
      <c r="Y337" t="s">
        <v>87</v>
      </c>
      <c r="Z337" t="s">
        <v>58</v>
      </c>
      <c r="AA337" t="s">
        <v>59</v>
      </c>
      <c r="AB337" t="s">
        <v>60</v>
      </c>
      <c r="AC337" t="s">
        <v>61</v>
      </c>
      <c r="AD337" t="s">
        <v>49</v>
      </c>
      <c r="AE337" t="s">
        <v>49</v>
      </c>
      <c r="AF337" t="s">
        <v>49</v>
      </c>
      <c r="AG337" t="s">
        <v>49</v>
      </c>
      <c r="AH337" t="s">
        <v>48</v>
      </c>
      <c r="AI337" t="s">
        <v>48</v>
      </c>
      <c r="AJ337" t="s">
        <v>48</v>
      </c>
      <c r="AK337" t="s">
        <v>62</v>
      </c>
      <c r="AL337" t="s">
        <v>63</v>
      </c>
      <c r="AM337" t="s">
        <v>61</v>
      </c>
      <c r="AN337" t="s">
        <v>64</v>
      </c>
      <c r="AO337" t="s">
        <v>122</v>
      </c>
      <c r="AP337">
        <v>1</v>
      </c>
      <c r="AQ337" t="s">
        <v>66</v>
      </c>
      <c r="AR337" t="s">
        <v>76</v>
      </c>
      <c r="AS337">
        <v>2004</v>
      </c>
      <c r="AT337" t="s">
        <v>49</v>
      </c>
      <c r="AU337" t="s">
        <v>48</v>
      </c>
      <c r="AV337" t="s">
        <v>48</v>
      </c>
      <c r="AW337" t="s">
        <v>48</v>
      </c>
    </row>
    <row r="338" spans="1:49" x14ac:dyDescent="0.3">
      <c r="A338" t="s">
        <v>1115</v>
      </c>
      <c r="B338" t="s">
        <v>48</v>
      </c>
      <c r="C338" t="s">
        <v>49</v>
      </c>
      <c r="D338">
        <v>389.46</v>
      </c>
      <c r="E338">
        <v>0</v>
      </c>
      <c r="F338">
        <v>4.53</v>
      </c>
      <c r="G338" t="s">
        <v>1116</v>
      </c>
      <c r="H338" t="s">
        <v>1117</v>
      </c>
      <c r="I338" t="s">
        <v>52</v>
      </c>
      <c r="J338" t="s">
        <v>53</v>
      </c>
      <c r="K338">
        <v>140</v>
      </c>
      <c r="L338" t="s">
        <v>126</v>
      </c>
      <c r="M338">
        <f>DOWNLOAD_2kLRbPnDtawQopEJ_UKtt22ud9U57gk8mqebZIeugNk[[#This Row],[Standard Value]]</f>
        <v>140</v>
      </c>
      <c r="N338">
        <f>-LOG(DOWNLOAD_2kLRbPnDtawQopEJ_UKtt22ud9U57gk8mqebZIeugNk[[#This Row],[IC50]]*POWER(10, -9), 10)</f>
        <v>6.8538719643217609</v>
      </c>
      <c r="O338">
        <v>6.85</v>
      </c>
      <c r="P338" t="s">
        <v>48</v>
      </c>
      <c r="R338" t="s">
        <v>127</v>
      </c>
      <c r="S338">
        <v>17.600000000000001</v>
      </c>
      <c r="T338">
        <v>0.32</v>
      </c>
      <c r="U338">
        <v>2.3199999999999998</v>
      </c>
      <c r="V338">
        <v>7.2</v>
      </c>
      <c r="W338">
        <v>0</v>
      </c>
      <c r="X338" t="s">
        <v>128</v>
      </c>
      <c r="Y338" t="s">
        <v>129</v>
      </c>
      <c r="Z338" t="s">
        <v>58</v>
      </c>
      <c r="AA338" t="s">
        <v>59</v>
      </c>
      <c r="AB338" t="s">
        <v>60</v>
      </c>
      <c r="AC338" t="s">
        <v>61</v>
      </c>
      <c r="AD338" t="s">
        <v>49</v>
      </c>
      <c r="AE338" t="s">
        <v>49</v>
      </c>
      <c r="AF338" t="s">
        <v>49</v>
      </c>
      <c r="AG338" t="s">
        <v>49</v>
      </c>
      <c r="AH338" t="s">
        <v>48</v>
      </c>
      <c r="AI338" t="s">
        <v>48</v>
      </c>
      <c r="AJ338" t="s">
        <v>48</v>
      </c>
      <c r="AK338" t="s">
        <v>62</v>
      </c>
      <c r="AL338" t="s">
        <v>63</v>
      </c>
      <c r="AM338" t="s">
        <v>61</v>
      </c>
      <c r="AN338" t="s">
        <v>64</v>
      </c>
      <c r="AO338" t="s">
        <v>130</v>
      </c>
      <c r="AP338">
        <v>1</v>
      </c>
      <c r="AQ338" t="s">
        <v>66</v>
      </c>
      <c r="AR338" t="s">
        <v>131</v>
      </c>
      <c r="AS338">
        <v>2014</v>
      </c>
      <c r="AT338" t="s">
        <v>49</v>
      </c>
      <c r="AU338" t="s">
        <v>48</v>
      </c>
      <c r="AV338" t="s">
        <v>48</v>
      </c>
      <c r="AW338" t="s">
        <v>48</v>
      </c>
    </row>
    <row r="339" spans="1:49" x14ac:dyDescent="0.3">
      <c r="A339" t="s">
        <v>1118</v>
      </c>
      <c r="B339" t="s">
        <v>48</v>
      </c>
      <c r="C339" t="s">
        <v>49</v>
      </c>
      <c r="D339">
        <v>394.86</v>
      </c>
      <c r="E339">
        <v>0</v>
      </c>
      <c r="F339">
        <v>4.8</v>
      </c>
      <c r="G339" t="s">
        <v>1119</v>
      </c>
      <c r="H339" t="s">
        <v>1120</v>
      </c>
      <c r="I339" t="s">
        <v>52</v>
      </c>
      <c r="J339" t="s">
        <v>53</v>
      </c>
      <c r="K339">
        <v>810</v>
      </c>
      <c r="L339" t="s">
        <v>126</v>
      </c>
      <c r="M339">
        <f>DOWNLOAD_2kLRbPnDtawQopEJ_UKtt22ud9U57gk8mqebZIeugNk[[#This Row],[Standard Value]]</f>
        <v>810</v>
      </c>
      <c r="N339">
        <f>-LOG(DOWNLOAD_2kLRbPnDtawQopEJ_UKtt22ud9U57gk8mqebZIeugNk[[#This Row],[IC50]]*POWER(10, -9), 10)</f>
        <v>6.0915149811213496</v>
      </c>
      <c r="O339">
        <v>6.09</v>
      </c>
      <c r="P339" t="s">
        <v>48</v>
      </c>
      <c r="R339" t="s">
        <v>127</v>
      </c>
      <c r="S339">
        <v>15.43</v>
      </c>
      <c r="T339">
        <v>0.3</v>
      </c>
      <c r="U339">
        <v>1.29</v>
      </c>
      <c r="V339">
        <v>7.33</v>
      </c>
      <c r="W339">
        <v>0</v>
      </c>
      <c r="X339" t="s">
        <v>128</v>
      </c>
      <c r="Y339" t="s">
        <v>129</v>
      </c>
      <c r="Z339" t="s">
        <v>58</v>
      </c>
      <c r="AA339" t="s">
        <v>59</v>
      </c>
      <c r="AB339" t="s">
        <v>60</v>
      </c>
      <c r="AC339" t="s">
        <v>61</v>
      </c>
      <c r="AD339" t="s">
        <v>49</v>
      </c>
      <c r="AE339" t="s">
        <v>49</v>
      </c>
      <c r="AF339" t="s">
        <v>49</v>
      </c>
      <c r="AG339" t="s">
        <v>49</v>
      </c>
      <c r="AH339" t="s">
        <v>48</v>
      </c>
      <c r="AI339" t="s">
        <v>48</v>
      </c>
      <c r="AJ339" t="s">
        <v>48</v>
      </c>
      <c r="AK339" t="s">
        <v>62</v>
      </c>
      <c r="AL339" t="s">
        <v>63</v>
      </c>
      <c r="AM339" t="s">
        <v>61</v>
      </c>
      <c r="AN339" t="s">
        <v>64</v>
      </c>
      <c r="AO339" t="s">
        <v>130</v>
      </c>
      <c r="AP339">
        <v>1</v>
      </c>
      <c r="AQ339" t="s">
        <v>66</v>
      </c>
      <c r="AR339" t="s">
        <v>131</v>
      </c>
      <c r="AS339">
        <v>2014</v>
      </c>
      <c r="AT339" t="s">
        <v>49</v>
      </c>
      <c r="AU339" t="s">
        <v>48</v>
      </c>
      <c r="AV339" t="s">
        <v>48</v>
      </c>
      <c r="AW339" t="s">
        <v>48</v>
      </c>
    </row>
    <row r="340" spans="1:49" x14ac:dyDescent="0.3">
      <c r="A340" t="s">
        <v>1121</v>
      </c>
      <c r="B340" t="s">
        <v>48</v>
      </c>
      <c r="C340" t="s">
        <v>49</v>
      </c>
      <c r="D340">
        <v>401.34</v>
      </c>
      <c r="E340">
        <v>0</v>
      </c>
      <c r="F340">
        <v>3.01</v>
      </c>
      <c r="G340" t="s">
        <v>197</v>
      </c>
      <c r="H340" t="s">
        <v>1122</v>
      </c>
      <c r="I340" t="s">
        <v>52</v>
      </c>
      <c r="J340" t="s">
        <v>53</v>
      </c>
      <c r="K340">
        <v>6.3</v>
      </c>
      <c r="L340" t="s">
        <v>54</v>
      </c>
      <c r="M340">
        <f>DOWNLOAD_2kLRbPnDtawQopEJ_UKtt22ud9U57gk8mqebZIeugNk[[#This Row],[Standard Value]]/DOWNLOAD_2kLRbPnDtawQopEJ_UKtt22ud9U57gk8mqebZIeugNk[[#This Row],[Molecular Weight]]*1000*1000</f>
        <v>15697.413664224845</v>
      </c>
      <c r="N340">
        <f>-LOG(DOWNLOAD_2kLRbPnDtawQopEJ_UKtt22ud9U57gk8mqebZIeugNk[[#This Row],[IC50]]*POWER(10, -9), 10)</f>
        <v>4.8041718968826954</v>
      </c>
      <c r="P340" t="s">
        <v>48</v>
      </c>
      <c r="R340" t="s">
        <v>55</v>
      </c>
      <c r="W340">
        <v>0</v>
      </c>
      <c r="X340" t="s">
        <v>359</v>
      </c>
      <c r="Y340" t="s">
        <v>360</v>
      </c>
      <c r="Z340" t="s">
        <v>168</v>
      </c>
      <c r="AA340" t="s">
        <v>169</v>
      </c>
      <c r="AB340" t="s">
        <v>170</v>
      </c>
      <c r="AC340" t="s">
        <v>61</v>
      </c>
      <c r="AD340" t="s">
        <v>49</v>
      </c>
      <c r="AE340" t="s">
        <v>49</v>
      </c>
      <c r="AF340" t="s">
        <v>49</v>
      </c>
      <c r="AG340" t="s">
        <v>49</v>
      </c>
      <c r="AH340" t="s">
        <v>48</v>
      </c>
      <c r="AI340" t="s">
        <v>48</v>
      </c>
      <c r="AJ340" t="s">
        <v>48</v>
      </c>
      <c r="AK340" t="s">
        <v>62</v>
      </c>
      <c r="AL340" t="s">
        <v>63</v>
      </c>
      <c r="AM340" t="s">
        <v>61</v>
      </c>
      <c r="AN340" t="s">
        <v>64</v>
      </c>
      <c r="AO340" t="s">
        <v>361</v>
      </c>
      <c r="AP340">
        <v>1</v>
      </c>
      <c r="AQ340" t="s">
        <v>66</v>
      </c>
      <c r="AR340" t="s">
        <v>67</v>
      </c>
      <c r="AS340">
        <v>1993</v>
      </c>
      <c r="AT340" t="s">
        <v>49</v>
      </c>
      <c r="AU340" t="s">
        <v>48</v>
      </c>
      <c r="AV340" t="s">
        <v>48</v>
      </c>
      <c r="AW340" t="s">
        <v>48</v>
      </c>
    </row>
    <row r="341" spans="1:49" x14ac:dyDescent="0.3">
      <c r="A341" t="s">
        <v>1123</v>
      </c>
      <c r="B341" t="s">
        <v>48</v>
      </c>
      <c r="C341" t="s">
        <v>49</v>
      </c>
      <c r="D341">
        <v>340.42</v>
      </c>
      <c r="E341">
        <v>0</v>
      </c>
      <c r="F341">
        <v>4.95</v>
      </c>
      <c r="G341" t="s">
        <v>1104</v>
      </c>
      <c r="H341" t="s">
        <v>1124</v>
      </c>
      <c r="I341" t="s">
        <v>52</v>
      </c>
      <c r="J341" t="s">
        <v>71</v>
      </c>
      <c r="K341">
        <v>1000000</v>
      </c>
      <c r="L341" t="s">
        <v>126</v>
      </c>
      <c r="M341">
        <f>DOWNLOAD_2kLRbPnDtawQopEJ_UKtt22ud9U57gk8mqebZIeugNk[[#This Row],[Standard Value]]</f>
        <v>1000000</v>
      </c>
      <c r="N341">
        <f>-LOG(DOWNLOAD_2kLRbPnDtawQopEJ_UKtt22ud9U57gk8mqebZIeugNk[[#This Row],[IC50]]*POWER(10, -9), 10)</f>
        <v>2.9999999999999996</v>
      </c>
      <c r="P341" t="s">
        <v>72</v>
      </c>
      <c r="R341" t="s">
        <v>127</v>
      </c>
      <c r="W341">
        <v>0</v>
      </c>
      <c r="X341" t="s">
        <v>590</v>
      </c>
      <c r="Y341" t="s">
        <v>591</v>
      </c>
      <c r="Z341" t="s">
        <v>58</v>
      </c>
      <c r="AA341" t="s">
        <v>59</v>
      </c>
      <c r="AB341" t="s">
        <v>60</v>
      </c>
      <c r="AC341" t="s">
        <v>61</v>
      </c>
      <c r="AD341" t="s">
        <v>49</v>
      </c>
      <c r="AE341" t="s">
        <v>49</v>
      </c>
      <c r="AF341" t="s">
        <v>49</v>
      </c>
      <c r="AG341" t="s">
        <v>49</v>
      </c>
      <c r="AH341" t="s">
        <v>48</v>
      </c>
      <c r="AI341" t="s">
        <v>48</v>
      </c>
      <c r="AJ341" t="s">
        <v>48</v>
      </c>
      <c r="AK341" t="s">
        <v>62</v>
      </c>
      <c r="AL341" t="s">
        <v>63</v>
      </c>
      <c r="AM341" t="s">
        <v>61</v>
      </c>
      <c r="AN341" t="s">
        <v>64</v>
      </c>
      <c r="AO341" t="s">
        <v>592</v>
      </c>
      <c r="AP341">
        <v>1</v>
      </c>
      <c r="AQ341" t="s">
        <v>66</v>
      </c>
      <c r="AR341" t="s">
        <v>67</v>
      </c>
      <c r="AS341">
        <v>2014</v>
      </c>
      <c r="AT341" t="s">
        <v>49</v>
      </c>
      <c r="AU341" t="s">
        <v>48</v>
      </c>
      <c r="AV341" t="s">
        <v>48</v>
      </c>
      <c r="AW341" t="s">
        <v>48</v>
      </c>
    </row>
    <row r="342" spans="1:49" x14ac:dyDescent="0.3">
      <c r="A342" t="s">
        <v>1125</v>
      </c>
      <c r="B342" t="s">
        <v>48</v>
      </c>
      <c r="C342" t="s">
        <v>49</v>
      </c>
      <c r="D342">
        <v>244.2</v>
      </c>
      <c r="E342">
        <v>0</v>
      </c>
      <c r="F342">
        <v>2.06</v>
      </c>
      <c r="G342" t="s">
        <v>1126</v>
      </c>
      <c r="H342" t="s">
        <v>1127</v>
      </c>
      <c r="I342" t="s">
        <v>52</v>
      </c>
      <c r="J342" t="s">
        <v>53</v>
      </c>
      <c r="K342">
        <v>80</v>
      </c>
      <c r="L342" t="s">
        <v>54</v>
      </c>
      <c r="M342">
        <f>DOWNLOAD_2kLRbPnDtawQopEJ_UKtt22ud9U57gk8mqebZIeugNk[[#This Row],[Standard Value]]/DOWNLOAD_2kLRbPnDtawQopEJ_UKtt22ud9U57gk8mqebZIeugNk[[#This Row],[Molecular Weight]]*1000*1000</f>
        <v>327600.32760032761</v>
      </c>
      <c r="N342">
        <f>-LOG(DOWNLOAD_2kLRbPnDtawQopEJ_UKtt22ud9U57gk8mqebZIeugNk[[#This Row],[IC50]]*POWER(10, -9), 10)</f>
        <v>3.4846556726169196</v>
      </c>
      <c r="P342" t="s">
        <v>72</v>
      </c>
      <c r="R342" t="s">
        <v>55</v>
      </c>
      <c r="W342">
        <v>0</v>
      </c>
      <c r="X342" t="s">
        <v>73</v>
      </c>
      <c r="Y342" t="s">
        <v>74</v>
      </c>
      <c r="Z342" t="s">
        <v>58</v>
      </c>
      <c r="AA342" t="s">
        <v>59</v>
      </c>
      <c r="AB342" t="s">
        <v>60</v>
      </c>
      <c r="AC342" t="s">
        <v>61</v>
      </c>
      <c r="AD342" t="s">
        <v>49</v>
      </c>
      <c r="AE342" t="s">
        <v>49</v>
      </c>
      <c r="AF342" t="s">
        <v>49</v>
      </c>
      <c r="AG342" t="s">
        <v>49</v>
      </c>
      <c r="AH342" t="s">
        <v>48</v>
      </c>
      <c r="AI342" t="s">
        <v>48</v>
      </c>
      <c r="AJ342" t="s">
        <v>48</v>
      </c>
      <c r="AK342" t="s">
        <v>62</v>
      </c>
      <c r="AL342" t="s">
        <v>63</v>
      </c>
      <c r="AM342" t="s">
        <v>61</v>
      </c>
      <c r="AN342" t="s">
        <v>64</v>
      </c>
      <c r="AO342" t="s">
        <v>75</v>
      </c>
      <c r="AP342">
        <v>1</v>
      </c>
      <c r="AQ342" t="s">
        <v>66</v>
      </c>
      <c r="AR342" t="s">
        <v>76</v>
      </c>
      <c r="AS342">
        <v>1998</v>
      </c>
      <c r="AT342" t="s">
        <v>49</v>
      </c>
      <c r="AU342" t="s">
        <v>48</v>
      </c>
      <c r="AV342" t="s">
        <v>48</v>
      </c>
      <c r="AW342" t="s">
        <v>48</v>
      </c>
    </row>
    <row r="343" spans="1:49" x14ac:dyDescent="0.3">
      <c r="A343" t="s">
        <v>1128</v>
      </c>
      <c r="B343" t="s">
        <v>48</v>
      </c>
      <c r="C343" t="s">
        <v>49</v>
      </c>
      <c r="D343">
        <v>406.43</v>
      </c>
      <c r="E343">
        <v>0</v>
      </c>
      <c r="F343">
        <v>2.33</v>
      </c>
      <c r="G343" t="s">
        <v>952</v>
      </c>
      <c r="H343" t="s">
        <v>1129</v>
      </c>
      <c r="I343" t="s">
        <v>52</v>
      </c>
      <c r="J343" t="s">
        <v>53</v>
      </c>
      <c r="K343">
        <v>2.7</v>
      </c>
      <c r="L343" t="s">
        <v>54</v>
      </c>
      <c r="M343">
        <f>DOWNLOAD_2kLRbPnDtawQopEJ_UKtt22ud9U57gk8mqebZIeugNk[[#This Row],[Standard Value]]/DOWNLOAD_2kLRbPnDtawQopEJ_UKtt22ud9U57gk8mqebZIeugNk[[#This Row],[Molecular Weight]]*1000*1000</f>
        <v>6643.2103929335926</v>
      </c>
      <c r="N343">
        <f>-LOG(DOWNLOAD_2kLRbPnDtawQopEJ_UKtt22ud9U57gk8mqebZIeugNk[[#This Row],[IC50]]*POWER(10, -9), 10)</f>
        <v>5.1776219930735516</v>
      </c>
      <c r="P343" t="s">
        <v>48</v>
      </c>
      <c r="R343" t="s">
        <v>55</v>
      </c>
      <c r="W343">
        <v>0</v>
      </c>
      <c r="X343" t="s">
        <v>56</v>
      </c>
      <c r="Y343" t="s">
        <v>57</v>
      </c>
      <c r="Z343" t="s">
        <v>58</v>
      </c>
      <c r="AA343" t="s">
        <v>59</v>
      </c>
      <c r="AB343" t="s">
        <v>60</v>
      </c>
      <c r="AC343" t="s">
        <v>61</v>
      </c>
      <c r="AD343" t="s">
        <v>49</v>
      </c>
      <c r="AE343" t="s">
        <v>49</v>
      </c>
      <c r="AF343" t="s">
        <v>49</v>
      </c>
      <c r="AG343" t="s">
        <v>49</v>
      </c>
      <c r="AH343" t="s">
        <v>48</v>
      </c>
      <c r="AI343" t="s">
        <v>48</v>
      </c>
      <c r="AJ343" t="s">
        <v>48</v>
      </c>
      <c r="AK343" t="s">
        <v>62</v>
      </c>
      <c r="AL343" t="s">
        <v>63</v>
      </c>
      <c r="AM343" t="s">
        <v>61</v>
      </c>
      <c r="AN343" t="s">
        <v>64</v>
      </c>
      <c r="AO343" t="s">
        <v>65</v>
      </c>
      <c r="AP343">
        <v>1</v>
      </c>
      <c r="AQ343" t="s">
        <v>66</v>
      </c>
      <c r="AR343" t="s">
        <v>67</v>
      </c>
      <c r="AS343">
        <v>1988</v>
      </c>
      <c r="AT343" t="s">
        <v>49</v>
      </c>
      <c r="AU343" t="s">
        <v>48</v>
      </c>
      <c r="AV343" t="s">
        <v>48</v>
      </c>
      <c r="AW343" t="s">
        <v>48</v>
      </c>
    </row>
    <row r="344" spans="1:49" x14ac:dyDescent="0.3">
      <c r="A344" t="s">
        <v>1130</v>
      </c>
      <c r="B344" t="s">
        <v>48</v>
      </c>
      <c r="C344" t="s">
        <v>49</v>
      </c>
      <c r="D344">
        <v>475.51</v>
      </c>
      <c r="E344">
        <v>0</v>
      </c>
      <c r="F344">
        <v>1.52</v>
      </c>
      <c r="G344" t="s">
        <v>105</v>
      </c>
      <c r="H344" t="s">
        <v>1131</v>
      </c>
      <c r="I344" t="s">
        <v>52</v>
      </c>
      <c r="J344" t="s">
        <v>53</v>
      </c>
      <c r="K344">
        <v>0.21</v>
      </c>
      <c r="L344" t="s">
        <v>54</v>
      </c>
      <c r="M344">
        <f>DOWNLOAD_2kLRbPnDtawQopEJ_UKtt22ud9U57gk8mqebZIeugNk[[#This Row],[Standard Value]]/DOWNLOAD_2kLRbPnDtawQopEJ_UKtt22ud9U57gk8mqebZIeugNk[[#This Row],[Molecular Weight]]*1000*1000</f>
        <v>441.63109082879436</v>
      </c>
      <c r="N344">
        <f>-LOG(DOWNLOAD_2kLRbPnDtawQopEJ_UKtt22ud9U57gk8mqebZIeugNk[[#This Row],[IC50]]*POWER(10, -9), 10)</f>
        <v>6.3549403598710636</v>
      </c>
      <c r="P344" t="s">
        <v>48</v>
      </c>
      <c r="R344" t="s">
        <v>55</v>
      </c>
      <c r="W344">
        <v>0</v>
      </c>
      <c r="X344" t="s">
        <v>877</v>
      </c>
      <c r="Y344" t="s">
        <v>878</v>
      </c>
      <c r="Z344" t="s">
        <v>58</v>
      </c>
      <c r="AA344" t="s">
        <v>59</v>
      </c>
      <c r="AB344" t="s">
        <v>60</v>
      </c>
      <c r="AC344" t="s">
        <v>61</v>
      </c>
      <c r="AD344" t="s">
        <v>49</v>
      </c>
      <c r="AE344" t="s">
        <v>49</v>
      </c>
      <c r="AF344" t="s">
        <v>49</v>
      </c>
      <c r="AG344" t="s">
        <v>49</v>
      </c>
      <c r="AH344" t="s">
        <v>48</v>
      </c>
      <c r="AI344" t="s">
        <v>48</v>
      </c>
      <c r="AJ344" t="s">
        <v>48</v>
      </c>
      <c r="AK344" t="s">
        <v>62</v>
      </c>
      <c r="AL344" t="s">
        <v>63</v>
      </c>
      <c r="AM344" t="s">
        <v>61</v>
      </c>
      <c r="AN344" t="s">
        <v>64</v>
      </c>
      <c r="AO344" t="s">
        <v>879</v>
      </c>
      <c r="AP344">
        <v>1</v>
      </c>
      <c r="AQ344" t="s">
        <v>66</v>
      </c>
      <c r="AR344" t="s">
        <v>131</v>
      </c>
      <c r="AS344">
        <v>2020</v>
      </c>
      <c r="AT344" t="s">
        <v>49</v>
      </c>
      <c r="AU344" t="s">
        <v>48</v>
      </c>
      <c r="AV344" t="s">
        <v>269</v>
      </c>
      <c r="AW344" t="s">
        <v>48</v>
      </c>
    </row>
    <row r="345" spans="1:49" x14ac:dyDescent="0.3">
      <c r="A345" t="s">
        <v>1132</v>
      </c>
      <c r="B345" t="s">
        <v>48</v>
      </c>
      <c r="C345" t="s">
        <v>49</v>
      </c>
      <c r="D345">
        <v>412.49</v>
      </c>
      <c r="E345">
        <v>0</v>
      </c>
      <c r="F345">
        <v>2.5099999999999998</v>
      </c>
      <c r="G345" t="s">
        <v>324</v>
      </c>
      <c r="H345" t="s">
        <v>1133</v>
      </c>
      <c r="I345" t="s">
        <v>52</v>
      </c>
      <c r="J345" t="s">
        <v>53</v>
      </c>
      <c r="K345">
        <v>16700</v>
      </c>
      <c r="L345" t="s">
        <v>126</v>
      </c>
      <c r="M345">
        <f>DOWNLOAD_2kLRbPnDtawQopEJ_UKtt22ud9U57gk8mqebZIeugNk[[#This Row],[Standard Value]]</f>
        <v>16700</v>
      </c>
      <c r="N345">
        <f>-LOG(DOWNLOAD_2kLRbPnDtawQopEJ_UKtt22ud9U57gk8mqebZIeugNk[[#This Row],[IC50]]*POWER(10, -9), 10)</f>
        <v>4.7772835288524158</v>
      </c>
      <c r="O345">
        <v>4.78</v>
      </c>
      <c r="P345" t="s">
        <v>48</v>
      </c>
      <c r="R345" t="s">
        <v>127</v>
      </c>
      <c r="S345">
        <v>11.58</v>
      </c>
      <c r="T345">
        <v>0.22</v>
      </c>
      <c r="U345">
        <v>2.27</v>
      </c>
      <c r="V345">
        <v>5.24</v>
      </c>
      <c r="W345">
        <v>1</v>
      </c>
      <c r="X345" t="s">
        <v>877</v>
      </c>
      <c r="Y345" t="s">
        <v>878</v>
      </c>
      <c r="Z345" t="s">
        <v>58</v>
      </c>
      <c r="AA345" t="s">
        <v>59</v>
      </c>
      <c r="AB345" t="s">
        <v>60</v>
      </c>
      <c r="AC345" t="s">
        <v>61</v>
      </c>
      <c r="AD345" t="s">
        <v>49</v>
      </c>
      <c r="AE345" t="s">
        <v>49</v>
      </c>
      <c r="AF345" t="s">
        <v>49</v>
      </c>
      <c r="AG345" t="s">
        <v>49</v>
      </c>
      <c r="AH345" t="s">
        <v>48</v>
      </c>
      <c r="AI345" t="s">
        <v>48</v>
      </c>
      <c r="AJ345" t="s">
        <v>48</v>
      </c>
      <c r="AK345" t="s">
        <v>62</v>
      </c>
      <c r="AL345" t="s">
        <v>63</v>
      </c>
      <c r="AM345" t="s">
        <v>61</v>
      </c>
      <c r="AN345" t="s">
        <v>64</v>
      </c>
      <c r="AO345" t="s">
        <v>879</v>
      </c>
      <c r="AP345">
        <v>1</v>
      </c>
      <c r="AQ345" t="s">
        <v>66</v>
      </c>
      <c r="AR345" t="s">
        <v>131</v>
      </c>
      <c r="AS345">
        <v>2020</v>
      </c>
      <c r="AT345" t="s">
        <v>49</v>
      </c>
      <c r="AU345" t="s">
        <v>48</v>
      </c>
      <c r="AV345" t="s">
        <v>269</v>
      </c>
      <c r="AW345" t="s">
        <v>48</v>
      </c>
    </row>
    <row r="346" spans="1:49" x14ac:dyDescent="0.3">
      <c r="A346" t="s">
        <v>1134</v>
      </c>
      <c r="B346" t="s">
        <v>48</v>
      </c>
      <c r="C346" t="s">
        <v>49</v>
      </c>
      <c r="D346">
        <v>489.46</v>
      </c>
      <c r="E346">
        <v>0</v>
      </c>
      <c r="F346">
        <v>0.23</v>
      </c>
      <c r="G346" t="s">
        <v>1135</v>
      </c>
      <c r="H346" t="s">
        <v>1136</v>
      </c>
      <c r="I346" t="s">
        <v>52</v>
      </c>
      <c r="J346" t="s">
        <v>53</v>
      </c>
      <c r="K346">
        <v>1000</v>
      </c>
      <c r="L346" t="s">
        <v>126</v>
      </c>
      <c r="M346">
        <f>DOWNLOAD_2kLRbPnDtawQopEJ_UKtt22ud9U57gk8mqebZIeugNk[[#This Row],[Standard Value]]</f>
        <v>1000</v>
      </c>
      <c r="N346">
        <f>-LOG(DOWNLOAD_2kLRbPnDtawQopEJ_UKtt22ud9U57gk8mqebZIeugNk[[#This Row],[IC50]]*POWER(10, -9), 10)</f>
        <v>5.9999999999999991</v>
      </c>
      <c r="O346">
        <v>6</v>
      </c>
      <c r="P346" t="s">
        <v>48</v>
      </c>
      <c r="Q346">
        <v>302917</v>
      </c>
      <c r="R346" t="s">
        <v>127</v>
      </c>
      <c r="S346">
        <v>12.26</v>
      </c>
      <c r="T346">
        <v>0.23</v>
      </c>
      <c r="U346">
        <v>5.77</v>
      </c>
      <c r="V346">
        <v>3.94</v>
      </c>
      <c r="W346">
        <v>0</v>
      </c>
      <c r="X346" t="s">
        <v>251</v>
      </c>
      <c r="Y346" t="s">
        <v>252</v>
      </c>
      <c r="Z346" t="s">
        <v>58</v>
      </c>
      <c r="AA346" t="s">
        <v>59</v>
      </c>
      <c r="AB346" t="s">
        <v>60</v>
      </c>
      <c r="AC346" t="s">
        <v>61</v>
      </c>
      <c r="AD346" t="s">
        <v>49</v>
      </c>
      <c r="AE346" t="s">
        <v>49</v>
      </c>
      <c r="AF346" t="s">
        <v>49</v>
      </c>
      <c r="AG346" t="s">
        <v>49</v>
      </c>
      <c r="AH346" t="s">
        <v>48</v>
      </c>
      <c r="AI346" t="s">
        <v>48</v>
      </c>
      <c r="AJ346" t="s">
        <v>48</v>
      </c>
      <c r="AK346" t="s">
        <v>62</v>
      </c>
      <c r="AL346" t="s">
        <v>63</v>
      </c>
      <c r="AM346" t="s">
        <v>61</v>
      </c>
      <c r="AN346" t="s">
        <v>64</v>
      </c>
      <c r="AO346" t="s">
        <v>253</v>
      </c>
      <c r="AP346">
        <v>37</v>
      </c>
      <c r="AQ346" t="s">
        <v>254</v>
      </c>
      <c r="AR346" t="s">
        <v>48</v>
      </c>
      <c r="AS346">
        <v>2015</v>
      </c>
      <c r="AT346" t="s">
        <v>49</v>
      </c>
      <c r="AU346" t="s">
        <v>48</v>
      </c>
      <c r="AV346" t="s">
        <v>48</v>
      </c>
      <c r="AW346" t="s">
        <v>48</v>
      </c>
    </row>
    <row r="347" spans="1:49" x14ac:dyDescent="0.3">
      <c r="A347" t="s">
        <v>1137</v>
      </c>
      <c r="B347" t="s">
        <v>48</v>
      </c>
      <c r="C347" t="s">
        <v>49</v>
      </c>
      <c r="D347">
        <v>466.43</v>
      </c>
      <c r="E347">
        <v>0</v>
      </c>
      <c r="F347">
        <v>1.31</v>
      </c>
      <c r="G347" t="s">
        <v>1138</v>
      </c>
      <c r="H347" t="s">
        <v>1139</v>
      </c>
      <c r="I347" t="s">
        <v>52</v>
      </c>
      <c r="J347" t="s">
        <v>53</v>
      </c>
      <c r="K347">
        <v>900</v>
      </c>
      <c r="L347" t="s">
        <v>126</v>
      </c>
      <c r="M347">
        <f>DOWNLOAD_2kLRbPnDtawQopEJ_UKtt22ud9U57gk8mqebZIeugNk[[#This Row],[Standard Value]]</f>
        <v>900</v>
      </c>
      <c r="N347">
        <f>-LOG(DOWNLOAD_2kLRbPnDtawQopEJ_UKtt22ud9U57gk8mqebZIeugNk[[#This Row],[IC50]]*POWER(10, -9), 10)</f>
        <v>6.0457574905606748</v>
      </c>
      <c r="O347">
        <v>6.05</v>
      </c>
      <c r="P347" t="s">
        <v>48</v>
      </c>
      <c r="Q347">
        <v>302923</v>
      </c>
      <c r="R347" t="s">
        <v>127</v>
      </c>
      <c r="S347">
        <v>12.96</v>
      </c>
      <c r="T347">
        <v>0.24</v>
      </c>
      <c r="U347">
        <v>4.74</v>
      </c>
      <c r="V347">
        <v>4.33</v>
      </c>
      <c r="W347">
        <v>0</v>
      </c>
      <c r="X347" t="s">
        <v>251</v>
      </c>
      <c r="Y347" t="s">
        <v>252</v>
      </c>
      <c r="Z347" t="s">
        <v>58</v>
      </c>
      <c r="AA347" t="s">
        <v>59</v>
      </c>
      <c r="AB347" t="s">
        <v>60</v>
      </c>
      <c r="AC347" t="s">
        <v>61</v>
      </c>
      <c r="AD347" t="s">
        <v>49</v>
      </c>
      <c r="AE347" t="s">
        <v>49</v>
      </c>
      <c r="AF347" t="s">
        <v>49</v>
      </c>
      <c r="AG347" t="s">
        <v>49</v>
      </c>
      <c r="AH347" t="s">
        <v>48</v>
      </c>
      <c r="AI347" t="s">
        <v>48</v>
      </c>
      <c r="AJ347" t="s">
        <v>48</v>
      </c>
      <c r="AK347" t="s">
        <v>62</v>
      </c>
      <c r="AL347" t="s">
        <v>63</v>
      </c>
      <c r="AM347" t="s">
        <v>61</v>
      </c>
      <c r="AN347" t="s">
        <v>64</v>
      </c>
      <c r="AO347" t="s">
        <v>253</v>
      </c>
      <c r="AP347">
        <v>37</v>
      </c>
      <c r="AQ347" t="s">
        <v>254</v>
      </c>
      <c r="AR347" t="s">
        <v>48</v>
      </c>
      <c r="AS347">
        <v>2015</v>
      </c>
      <c r="AT347" t="s">
        <v>49</v>
      </c>
      <c r="AU347" t="s">
        <v>48</v>
      </c>
      <c r="AV347" t="s">
        <v>48</v>
      </c>
      <c r="AW347" t="s">
        <v>48</v>
      </c>
    </row>
    <row r="348" spans="1:49" x14ac:dyDescent="0.3">
      <c r="A348" t="s">
        <v>1140</v>
      </c>
      <c r="B348" t="s">
        <v>48</v>
      </c>
      <c r="C348" t="s">
        <v>49</v>
      </c>
      <c r="D348">
        <v>525.5</v>
      </c>
      <c r="E348">
        <v>1</v>
      </c>
      <c r="F348">
        <v>0.52</v>
      </c>
      <c r="G348" t="s">
        <v>1141</v>
      </c>
      <c r="H348" t="s">
        <v>1142</v>
      </c>
      <c r="I348" t="s">
        <v>52</v>
      </c>
      <c r="J348" t="s">
        <v>53</v>
      </c>
      <c r="K348">
        <v>1300</v>
      </c>
      <c r="L348" t="s">
        <v>126</v>
      </c>
      <c r="M348">
        <f>DOWNLOAD_2kLRbPnDtawQopEJ_UKtt22ud9U57gk8mqebZIeugNk[[#This Row],[Standard Value]]</f>
        <v>1300</v>
      </c>
      <c r="N348">
        <f>-LOG(DOWNLOAD_2kLRbPnDtawQopEJ_UKtt22ud9U57gk8mqebZIeugNk[[#This Row],[IC50]]*POWER(10, -9), 10)</f>
        <v>5.8860566476931622</v>
      </c>
      <c r="O348">
        <v>5.89</v>
      </c>
      <c r="P348" t="s">
        <v>48</v>
      </c>
      <c r="Q348">
        <v>302938</v>
      </c>
      <c r="R348" t="s">
        <v>127</v>
      </c>
      <c r="S348">
        <v>11.2</v>
      </c>
      <c r="T348">
        <v>0.21</v>
      </c>
      <c r="U348">
        <v>5.37</v>
      </c>
      <c r="V348">
        <v>3.66</v>
      </c>
      <c r="W348">
        <v>0</v>
      </c>
      <c r="X348" t="s">
        <v>251</v>
      </c>
      <c r="Y348" t="s">
        <v>252</v>
      </c>
      <c r="Z348" t="s">
        <v>58</v>
      </c>
      <c r="AA348" t="s">
        <v>59</v>
      </c>
      <c r="AB348" t="s">
        <v>60</v>
      </c>
      <c r="AC348" t="s">
        <v>61</v>
      </c>
      <c r="AD348" t="s">
        <v>49</v>
      </c>
      <c r="AE348" t="s">
        <v>49</v>
      </c>
      <c r="AF348" t="s">
        <v>49</v>
      </c>
      <c r="AG348" t="s">
        <v>49</v>
      </c>
      <c r="AH348" t="s">
        <v>48</v>
      </c>
      <c r="AI348" t="s">
        <v>48</v>
      </c>
      <c r="AJ348" t="s">
        <v>48</v>
      </c>
      <c r="AK348" t="s">
        <v>62</v>
      </c>
      <c r="AL348" t="s">
        <v>63</v>
      </c>
      <c r="AM348" t="s">
        <v>61</v>
      </c>
      <c r="AN348" t="s">
        <v>64</v>
      </c>
      <c r="AO348" t="s">
        <v>253</v>
      </c>
      <c r="AP348">
        <v>37</v>
      </c>
      <c r="AQ348" t="s">
        <v>254</v>
      </c>
      <c r="AR348" t="s">
        <v>48</v>
      </c>
      <c r="AS348">
        <v>2015</v>
      </c>
      <c r="AT348" t="s">
        <v>49</v>
      </c>
      <c r="AU348" t="s">
        <v>48</v>
      </c>
      <c r="AV348" t="s">
        <v>48</v>
      </c>
      <c r="AW348" t="s">
        <v>48</v>
      </c>
    </row>
    <row r="349" spans="1:49" x14ac:dyDescent="0.3">
      <c r="A349" t="s">
        <v>1143</v>
      </c>
      <c r="B349" t="s">
        <v>48</v>
      </c>
      <c r="C349" t="s">
        <v>49</v>
      </c>
      <c r="D349">
        <v>482.37</v>
      </c>
      <c r="E349">
        <v>1</v>
      </c>
      <c r="F349">
        <v>5.83</v>
      </c>
      <c r="G349" t="s">
        <v>1144</v>
      </c>
      <c r="H349" t="s">
        <v>1145</v>
      </c>
      <c r="I349" t="s">
        <v>52</v>
      </c>
      <c r="J349" t="s">
        <v>295</v>
      </c>
      <c r="K349">
        <v>10</v>
      </c>
      <c r="L349" t="s">
        <v>126</v>
      </c>
      <c r="M349">
        <f>DOWNLOAD_2kLRbPnDtawQopEJ_UKtt22ud9U57gk8mqebZIeugNk[[#This Row],[Standard Value]]</f>
        <v>10</v>
      </c>
      <c r="N349">
        <f>-LOG(DOWNLOAD_2kLRbPnDtawQopEJ_UKtt22ud9U57gk8mqebZIeugNk[[#This Row],[IC50]]*POWER(10, -9), 10)</f>
        <v>8</v>
      </c>
      <c r="P349" t="s">
        <v>48</v>
      </c>
      <c r="R349" t="s">
        <v>127</v>
      </c>
      <c r="W349">
        <v>0</v>
      </c>
      <c r="X349" t="s">
        <v>296</v>
      </c>
      <c r="Y349" t="s">
        <v>297</v>
      </c>
      <c r="Z349" t="s">
        <v>58</v>
      </c>
      <c r="AA349" t="s">
        <v>59</v>
      </c>
      <c r="AB349" t="s">
        <v>60</v>
      </c>
      <c r="AC349" t="s">
        <v>61</v>
      </c>
      <c r="AD349" t="s">
        <v>49</v>
      </c>
      <c r="AE349" t="s">
        <v>49</v>
      </c>
      <c r="AF349" t="s">
        <v>49</v>
      </c>
      <c r="AG349" t="s">
        <v>49</v>
      </c>
      <c r="AH349" t="s">
        <v>48</v>
      </c>
      <c r="AI349" t="s">
        <v>48</v>
      </c>
      <c r="AJ349" t="s">
        <v>48</v>
      </c>
      <c r="AK349" t="s">
        <v>62</v>
      </c>
      <c r="AL349" t="s">
        <v>63</v>
      </c>
      <c r="AM349" t="s">
        <v>61</v>
      </c>
      <c r="AN349" t="s">
        <v>64</v>
      </c>
      <c r="AO349" t="s">
        <v>298</v>
      </c>
      <c r="AP349">
        <v>1</v>
      </c>
      <c r="AQ349" t="s">
        <v>66</v>
      </c>
      <c r="AR349" t="s">
        <v>131</v>
      </c>
      <c r="AS349">
        <v>2021</v>
      </c>
      <c r="AT349" t="s">
        <v>49</v>
      </c>
      <c r="AU349" t="s">
        <v>299</v>
      </c>
      <c r="AV349" t="s">
        <v>269</v>
      </c>
      <c r="AW349" t="s">
        <v>48</v>
      </c>
    </row>
    <row r="350" spans="1:49" x14ac:dyDescent="0.3">
      <c r="A350" t="s">
        <v>1146</v>
      </c>
      <c r="B350" t="s">
        <v>48</v>
      </c>
      <c r="C350" t="s">
        <v>49</v>
      </c>
      <c r="D350">
        <v>390.45</v>
      </c>
      <c r="E350">
        <v>0</v>
      </c>
      <c r="F350">
        <v>3.29</v>
      </c>
      <c r="G350" t="s">
        <v>1147</v>
      </c>
      <c r="H350" t="s">
        <v>1148</v>
      </c>
      <c r="I350" t="s">
        <v>52</v>
      </c>
      <c r="J350" t="s">
        <v>53</v>
      </c>
      <c r="K350">
        <v>2000</v>
      </c>
      <c r="L350" t="s">
        <v>126</v>
      </c>
      <c r="M350">
        <f>DOWNLOAD_2kLRbPnDtawQopEJ_UKtt22ud9U57gk8mqebZIeugNk[[#This Row],[Standard Value]]</f>
        <v>2000</v>
      </c>
      <c r="N350">
        <f>-LOG(DOWNLOAD_2kLRbPnDtawQopEJ_UKtt22ud9U57gk8mqebZIeugNk[[#This Row],[IC50]]*POWER(10, -9), 10)</f>
        <v>5.6989700043360179</v>
      </c>
      <c r="O350">
        <v>5.7</v>
      </c>
      <c r="P350" t="s">
        <v>48</v>
      </c>
      <c r="R350" t="s">
        <v>127</v>
      </c>
      <c r="S350">
        <v>14.6</v>
      </c>
      <c r="T350">
        <v>0.27</v>
      </c>
      <c r="U350">
        <v>2.41</v>
      </c>
      <c r="V350">
        <v>5.27</v>
      </c>
      <c r="W350">
        <v>0</v>
      </c>
      <c r="X350" t="s">
        <v>128</v>
      </c>
      <c r="Y350" t="s">
        <v>129</v>
      </c>
      <c r="Z350" t="s">
        <v>58</v>
      </c>
      <c r="AA350" t="s">
        <v>59</v>
      </c>
      <c r="AB350" t="s">
        <v>60</v>
      </c>
      <c r="AC350" t="s">
        <v>61</v>
      </c>
      <c r="AD350" t="s">
        <v>49</v>
      </c>
      <c r="AE350" t="s">
        <v>49</v>
      </c>
      <c r="AF350" t="s">
        <v>49</v>
      </c>
      <c r="AG350" t="s">
        <v>49</v>
      </c>
      <c r="AH350" t="s">
        <v>48</v>
      </c>
      <c r="AI350" t="s">
        <v>48</v>
      </c>
      <c r="AJ350" t="s">
        <v>48</v>
      </c>
      <c r="AK350" t="s">
        <v>62</v>
      </c>
      <c r="AL350" t="s">
        <v>63</v>
      </c>
      <c r="AM350" t="s">
        <v>61</v>
      </c>
      <c r="AN350" t="s">
        <v>64</v>
      </c>
      <c r="AO350" t="s">
        <v>130</v>
      </c>
      <c r="AP350">
        <v>1</v>
      </c>
      <c r="AQ350" t="s">
        <v>66</v>
      </c>
      <c r="AR350" t="s">
        <v>131</v>
      </c>
      <c r="AS350">
        <v>2014</v>
      </c>
      <c r="AT350" t="s">
        <v>49</v>
      </c>
      <c r="AU350" t="s">
        <v>48</v>
      </c>
      <c r="AV350" t="s">
        <v>48</v>
      </c>
      <c r="AW350" t="s">
        <v>48</v>
      </c>
    </row>
    <row r="351" spans="1:49" x14ac:dyDescent="0.3">
      <c r="A351" t="s">
        <v>1149</v>
      </c>
      <c r="B351" t="s">
        <v>48</v>
      </c>
      <c r="C351" t="s">
        <v>49</v>
      </c>
      <c r="D351">
        <v>285.31</v>
      </c>
      <c r="E351">
        <v>0</v>
      </c>
      <c r="F351">
        <v>1.87</v>
      </c>
      <c r="G351" t="s">
        <v>197</v>
      </c>
      <c r="H351" t="s">
        <v>1150</v>
      </c>
      <c r="I351" t="s">
        <v>52</v>
      </c>
      <c r="J351" t="s">
        <v>53</v>
      </c>
      <c r="K351">
        <v>6000</v>
      </c>
      <c r="L351" t="s">
        <v>126</v>
      </c>
      <c r="M351">
        <f>DOWNLOAD_2kLRbPnDtawQopEJ_UKtt22ud9U57gk8mqebZIeugNk[[#This Row],[Standard Value]]</f>
        <v>6000</v>
      </c>
      <c r="N351">
        <f>-LOG(DOWNLOAD_2kLRbPnDtawQopEJ_UKtt22ud9U57gk8mqebZIeugNk[[#This Row],[IC50]]*POWER(10, -9), 10)</f>
        <v>5.2218487496163561</v>
      </c>
      <c r="O351">
        <v>5.22</v>
      </c>
      <c r="P351" t="s">
        <v>48</v>
      </c>
      <c r="R351" t="s">
        <v>127</v>
      </c>
      <c r="S351">
        <v>18.3</v>
      </c>
      <c r="T351">
        <v>0.34</v>
      </c>
      <c r="U351">
        <v>3.35</v>
      </c>
      <c r="V351">
        <v>5.44</v>
      </c>
      <c r="W351">
        <v>0</v>
      </c>
      <c r="X351" t="s">
        <v>128</v>
      </c>
      <c r="Y351" t="s">
        <v>129</v>
      </c>
      <c r="Z351" t="s">
        <v>58</v>
      </c>
      <c r="AA351" t="s">
        <v>59</v>
      </c>
      <c r="AB351" t="s">
        <v>60</v>
      </c>
      <c r="AC351" t="s">
        <v>61</v>
      </c>
      <c r="AD351" t="s">
        <v>49</v>
      </c>
      <c r="AE351" t="s">
        <v>49</v>
      </c>
      <c r="AF351" t="s">
        <v>49</v>
      </c>
      <c r="AG351" t="s">
        <v>49</v>
      </c>
      <c r="AH351" t="s">
        <v>48</v>
      </c>
      <c r="AI351" t="s">
        <v>48</v>
      </c>
      <c r="AJ351" t="s">
        <v>48</v>
      </c>
      <c r="AK351" t="s">
        <v>62</v>
      </c>
      <c r="AL351" t="s">
        <v>63</v>
      </c>
      <c r="AM351" t="s">
        <v>61</v>
      </c>
      <c r="AN351" t="s">
        <v>64</v>
      </c>
      <c r="AO351" t="s">
        <v>130</v>
      </c>
      <c r="AP351">
        <v>1</v>
      </c>
      <c r="AQ351" t="s">
        <v>66</v>
      </c>
      <c r="AR351" t="s">
        <v>131</v>
      </c>
      <c r="AS351">
        <v>2014</v>
      </c>
      <c r="AT351" t="s">
        <v>49</v>
      </c>
      <c r="AU351" t="s">
        <v>48</v>
      </c>
      <c r="AV351" t="s">
        <v>48</v>
      </c>
      <c r="AW351" t="s">
        <v>48</v>
      </c>
    </row>
    <row r="352" spans="1:49" x14ac:dyDescent="0.3">
      <c r="A352" t="s">
        <v>1151</v>
      </c>
      <c r="B352" t="s">
        <v>48</v>
      </c>
      <c r="C352" t="s">
        <v>49</v>
      </c>
      <c r="D352">
        <v>622.02</v>
      </c>
      <c r="E352">
        <v>1</v>
      </c>
      <c r="F352">
        <v>4.7300000000000004</v>
      </c>
      <c r="G352" t="s">
        <v>482</v>
      </c>
      <c r="H352" t="s">
        <v>1152</v>
      </c>
      <c r="I352" t="s">
        <v>52</v>
      </c>
      <c r="J352" t="s">
        <v>53</v>
      </c>
      <c r="K352">
        <v>4050</v>
      </c>
      <c r="L352" t="s">
        <v>126</v>
      </c>
      <c r="M352">
        <f>DOWNLOAD_2kLRbPnDtawQopEJ_UKtt22ud9U57gk8mqebZIeugNk[[#This Row],[Standard Value]]</f>
        <v>4050</v>
      </c>
      <c r="N352">
        <f>-LOG(DOWNLOAD_2kLRbPnDtawQopEJ_UKtt22ud9U57gk8mqebZIeugNk[[#This Row],[IC50]]*POWER(10, -9), 10)</f>
        <v>5.3925449767853308</v>
      </c>
      <c r="O352">
        <v>5.39</v>
      </c>
      <c r="P352" t="s">
        <v>48</v>
      </c>
      <c r="R352" t="s">
        <v>127</v>
      </c>
      <c r="S352">
        <v>8.67</v>
      </c>
      <c r="T352">
        <v>0.17</v>
      </c>
      <c r="U352">
        <v>0.66</v>
      </c>
      <c r="V352">
        <v>5.32</v>
      </c>
      <c r="W352">
        <v>0</v>
      </c>
      <c r="X352" t="s">
        <v>527</v>
      </c>
      <c r="Y352" t="s">
        <v>528</v>
      </c>
      <c r="Z352" t="s">
        <v>58</v>
      </c>
      <c r="AA352" t="s">
        <v>59</v>
      </c>
      <c r="AB352" t="s">
        <v>60</v>
      </c>
      <c r="AC352" t="s">
        <v>61</v>
      </c>
      <c r="AD352" t="s">
        <v>49</v>
      </c>
      <c r="AE352" t="s">
        <v>49</v>
      </c>
      <c r="AF352" t="s">
        <v>49</v>
      </c>
      <c r="AG352" t="s">
        <v>49</v>
      </c>
      <c r="AH352" t="s">
        <v>48</v>
      </c>
      <c r="AI352" t="s">
        <v>48</v>
      </c>
      <c r="AJ352" t="s">
        <v>48</v>
      </c>
      <c r="AK352" t="s">
        <v>62</v>
      </c>
      <c r="AL352" t="s">
        <v>63</v>
      </c>
      <c r="AM352" t="s">
        <v>61</v>
      </c>
      <c r="AN352" t="s">
        <v>64</v>
      </c>
      <c r="AO352" t="s">
        <v>529</v>
      </c>
      <c r="AP352">
        <v>1</v>
      </c>
      <c r="AQ352" t="s">
        <v>66</v>
      </c>
      <c r="AR352" t="s">
        <v>267</v>
      </c>
      <c r="AS352">
        <v>2014</v>
      </c>
      <c r="AT352" t="s">
        <v>49</v>
      </c>
      <c r="AU352" t="s">
        <v>48</v>
      </c>
      <c r="AV352" t="s">
        <v>48</v>
      </c>
      <c r="AW352" t="s">
        <v>48</v>
      </c>
    </row>
    <row r="353" spans="1:49" x14ac:dyDescent="0.3">
      <c r="A353" t="s">
        <v>1153</v>
      </c>
      <c r="B353" t="s">
        <v>48</v>
      </c>
      <c r="C353" t="s">
        <v>49</v>
      </c>
      <c r="D353">
        <v>521.45000000000005</v>
      </c>
      <c r="E353">
        <v>1</v>
      </c>
      <c r="F353">
        <v>1.34</v>
      </c>
      <c r="G353" t="s">
        <v>1154</v>
      </c>
      <c r="H353" t="s">
        <v>1155</v>
      </c>
      <c r="I353" t="s">
        <v>52</v>
      </c>
      <c r="J353" t="s">
        <v>53</v>
      </c>
      <c r="K353">
        <v>1400</v>
      </c>
      <c r="L353" t="s">
        <v>126</v>
      </c>
      <c r="M353">
        <f>DOWNLOAD_2kLRbPnDtawQopEJ_UKtt22ud9U57gk8mqebZIeugNk[[#This Row],[Standard Value]]</f>
        <v>1400</v>
      </c>
      <c r="N353">
        <f>-LOG(DOWNLOAD_2kLRbPnDtawQopEJ_UKtt22ud9U57gk8mqebZIeugNk[[#This Row],[IC50]]*POWER(10, -9), 10)</f>
        <v>5.8538719643217618</v>
      </c>
      <c r="O353">
        <v>5.85</v>
      </c>
      <c r="P353" t="s">
        <v>48</v>
      </c>
      <c r="Q353">
        <v>302935</v>
      </c>
      <c r="R353" t="s">
        <v>127</v>
      </c>
      <c r="S353">
        <v>11.23</v>
      </c>
      <c r="T353">
        <v>0.22</v>
      </c>
      <c r="U353">
        <v>4.51</v>
      </c>
      <c r="V353">
        <v>4.37</v>
      </c>
      <c r="W353">
        <v>0</v>
      </c>
      <c r="X353" t="s">
        <v>251</v>
      </c>
      <c r="Y353" t="s">
        <v>252</v>
      </c>
      <c r="Z353" t="s">
        <v>58</v>
      </c>
      <c r="AA353" t="s">
        <v>59</v>
      </c>
      <c r="AB353" t="s">
        <v>60</v>
      </c>
      <c r="AC353" t="s">
        <v>61</v>
      </c>
      <c r="AD353" t="s">
        <v>49</v>
      </c>
      <c r="AE353" t="s">
        <v>49</v>
      </c>
      <c r="AF353" t="s">
        <v>49</v>
      </c>
      <c r="AG353" t="s">
        <v>49</v>
      </c>
      <c r="AH353" t="s">
        <v>48</v>
      </c>
      <c r="AI353" t="s">
        <v>48</v>
      </c>
      <c r="AJ353" t="s">
        <v>48</v>
      </c>
      <c r="AK353" t="s">
        <v>62</v>
      </c>
      <c r="AL353" t="s">
        <v>63</v>
      </c>
      <c r="AM353" t="s">
        <v>61</v>
      </c>
      <c r="AN353" t="s">
        <v>64</v>
      </c>
      <c r="AO353" t="s">
        <v>253</v>
      </c>
      <c r="AP353">
        <v>37</v>
      </c>
      <c r="AQ353" t="s">
        <v>254</v>
      </c>
      <c r="AR353" t="s">
        <v>48</v>
      </c>
      <c r="AS353">
        <v>2015</v>
      </c>
      <c r="AT353" t="s">
        <v>49</v>
      </c>
      <c r="AU353" t="s">
        <v>48</v>
      </c>
      <c r="AV353" t="s">
        <v>48</v>
      </c>
      <c r="AW353" t="s">
        <v>48</v>
      </c>
    </row>
    <row r="354" spans="1:49" x14ac:dyDescent="0.3">
      <c r="A354" t="s">
        <v>1156</v>
      </c>
      <c r="B354" t="s">
        <v>48</v>
      </c>
      <c r="C354" t="s">
        <v>49</v>
      </c>
      <c r="D354">
        <v>488.48</v>
      </c>
      <c r="E354">
        <v>0</v>
      </c>
      <c r="F354">
        <v>0.2</v>
      </c>
      <c r="G354" t="s">
        <v>1157</v>
      </c>
      <c r="H354" t="s">
        <v>1158</v>
      </c>
      <c r="I354" t="s">
        <v>52</v>
      </c>
      <c r="J354" t="s">
        <v>53</v>
      </c>
      <c r="K354">
        <v>900</v>
      </c>
      <c r="L354" t="s">
        <v>126</v>
      </c>
      <c r="M354">
        <f>DOWNLOAD_2kLRbPnDtawQopEJ_UKtt22ud9U57gk8mqebZIeugNk[[#This Row],[Standard Value]]</f>
        <v>900</v>
      </c>
      <c r="N354">
        <f>-LOG(DOWNLOAD_2kLRbPnDtawQopEJ_UKtt22ud9U57gk8mqebZIeugNk[[#This Row],[IC50]]*POWER(10, -9), 10)</f>
        <v>6.0457574905606748</v>
      </c>
      <c r="O354">
        <v>6.05</v>
      </c>
      <c r="P354" t="s">
        <v>48</v>
      </c>
      <c r="Q354">
        <v>302840</v>
      </c>
      <c r="R354" t="s">
        <v>127</v>
      </c>
      <c r="S354">
        <v>12.38</v>
      </c>
      <c r="T354">
        <v>0.24</v>
      </c>
      <c r="U354">
        <v>5.85</v>
      </c>
      <c r="V354">
        <v>4.22</v>
      </c>
      <c r="W354">
        <v>0</v>
      </c>
      <c r="X354" t="s">
        <v>251</v>
      </c>
      <c r="Y354" t="s">
        <v>252</v>
      </c>
      <c r="Z354" t="s">
        <v>58</v>
      </c>
      <c r="AA354" t="s">
        <v>59</v>
      </c>
      <c r="AB354" t="s">
        <v>60</v>
      </c>
      <c r="AC354" t="s">
        <v>61</v>
      </c>
      <c r="AD354" t="s">
        <v>49</v>
      </c>
      <c r="AE354" t="s">
        <v>49</v>
      </c>
      <c r="AF354" t="s">
        <v>49</v>
      </c>
      <c r="AG354" t="s">
        <v>49</v>
      </c>
      <c r="AH354" t="s">
        <v>48</v>
      </c>
      <c r="AI354" t="s">
        <v>48</v>
      </c>
      <c r="AJ354" t="s">
        <v>48</v>
      </c>
      <c r="AK354" t="s">
        <v>62</v>
      </c>
      <c r="AL354" t="s">
        <v>63</v>
      </c>
      <c r="AM354" t="s">
        <v>61</v>
      </c>
      <c r="AN354" t="s">
        <v>64</v>
      </c>
      <c r="AO354" t="s">
        <v>253</v>
      </c>
      <c r="AP354">
        <v>37</v>
      </c>
      <c r="AQ354" t="s">
        <v>254</v>
      </c>
      <c r="AR354" t="s">
        <v>48</v>
      </c>
      <c r="AS354">
        <v>2015</v>
      </c>
      <c r="AT354" t="s">
        <v>49</v>
      </c>
      <c r="AU354" t="s">
        <v>48</v>
      </c>
      <c r="AV354" t="s">
        <v>48</v>
      </c>
      <c r="AW354" t="s">
        <v>48</v>
      </c>
    </row>
    <row r="355" spans="1:49" x14ac:dyDescent="0.3">
      <c r="A355" t="s">
        <v>1159</v>
      </c>
      <c r="B355" t="s">
        <v>48</v>
      </c>
      <c r="C355" t="s">
        <v>49</v>
      </c>
      <c r="D355">
        <v>524.9</v>
      </c>
      <c r="E355">
        <v>1</v>
      </c>
      <c r="F355">
        <v>3.12</v>
      </c>
      <c r="G355" t="s">
        <v>1160</v>
      </c>
      <c r="H355" t="s">
        <v>1161</v>
      </c>
      <c r="I355" t="s">
        <v>52</v>
      </c>
      <c r="J355" t="s">
        <v>53</v>
      </c>
      <c r="K355">
        <v>600</v>
      </c>
      <c r="L355" t="s">
        <v>126</v>
      </c>
      <c r="M355">
        <f>DOWNLOAD_2kLRbPnDtawQopEJ_UKtt22ud9U57gk8mqebZIeugNk[[#This Row],[Standard Value]]</f>
        <v>600</v>
      </c>
      <c r="N355">
        <f>-LOG(DOWNLOAD_2kLRbPnDtawQopEJ_UKtt22ud9U57gk8mqebZIeugNk[[#This Row],[IC50]]*POWER(10, -9), 10)</f>
        <v>6.2218487496163553</v>
      </c>
      <c r="O355">
        <v>6.22</v>
      </c>
      <c r="P355" t="s">
        <v>48</v>
      </c>
      <c r="Q355">
        <v>302893</v>
      </c>
      <c r="R355" t="s">
        <v>127</v>
      </c>
      <c r="S355">
        <v>11.85</v>
      </c>
      <c r="T355">
        <v>0.23</v>
      </c>
      <c r="U355">
        <v>3.1</v>
      </c>
      <c r="V355">
        <v>4.75</v>
      </c>
      <c r="W355">
        <v>0</v>
      </c>
      <c r="X355" t="s">
        <v>251</v>
      </c>
      <c r="Y355" t="s">
        <v>252</v>
      </c>
      <c r="Z355" t="s">
        <v>58</v>
      </c>
      <c r="AA355" t="s">
        <v>59</v>
      </c>
      <c r="AB355" t="s">
        <v>60</v>
      </c>
      <c r="AC355" t="s">
        <v>61</v>
      </c>
      <c r="AD355" t="s">
        <v>49</v>
      </c>
      <c r="AE355" t="s">
        <v>49</v>
      </c>
      <c r="AF355" t="s">
        <v>49</v>
      </c>
      <c r="AG355" t="s">
        <v>49</v>
      </c>
      <c r="AH355" t="s">
        <v>48</v>
      </c>
      <c r="AI355" t="s">
        <v>48</v>
      </c>
      <c r="AJ355" t="s">
        <v>48</v>
      </c>
      <c r="AK355" t="s">
        <v>62</v>
      </c>
      <c r="AL355" t="s">
        <v>63</v>
      </c>
      <c r="AM355" t="s">
        <v>61</v>
      </c>
      <c r="AN355" t="s">
        <v>64</v>
      </c>
      <c r="AO355" t="s">
        <v>253</v>
      </c>
      <c r="AP355">
        <v>37</v>
      </c>
      <c r="AQ355" t="s">
        <v>254</v>
      </c>
      <c r="AR355" t="s">
        <v>48</v>
      </c>
      <c r="AS355">
        <v>2015</v>
      </c>
      <c r="AT355" t="s">
        <v>49</v>
      </c>
      <c r="AU355" t="s">
        <v>48</v>
      </c>
      <c r="AV355" t="s">
        <v>48</v>
      </c>
      <c r="AW355" t="s">
        <v>48</v>
      </c>
    </row>
    <row r="356" spans="1:49" x14ac:dyDescent="0.3">
      <c r="A356" t="s">
        <v>1162</v>
      </c>
      <c r="B356" t="s">
        <v>48</v>
      </c>
      <c r="C356" t="s">
        <v>49</v>
      </c>
      <c r="D356">
        <v>538.95000000000005</v>
      </c>
      <c r="E356">
        <v>1</v>
      </c>
      <c r="F356">
        <v>1.7</v>
      </c>
      <c r="G356" t="s">
        <v>1163</v>
      </c>
      <c r="H356" t="s">
        <v>1164</v>
      </c>
      <c r="I356" t="s">
        <v>52</v>
      </c>
      <c r="J356" t="s">
        <v>53</v>
      </c>
      <c r="K356">
        <v>4400</v>
      </c>
      <c r="L356" t="s">
        <v>126</v>
      </c>
      <c r="M356">
        <f>DOWNLOAD_2kLRbPnDtawQopEJ_UKtt22ud9U57gk8mqebZIeugNk[[#This Row],[Standard Value]]</f>
        <v>4400</v>
      </c>
      <c r="N356">
        <f>-LOG(DOWNLOAD_2kLRbPnDtawQopEJ_UKtt22ud9U57gk8mqebZIeugNk[[#This Row],[IC50]]*POWER(10, -9), 10)</f>
        <v>5.3565473235138121</v>
      </c>
      <c r="O356">
        <v>5.36</v>
      </c>
      <c r="P356" t="s">
        <v>48</v>
      </c>
      <c r="Q356">
        <v>302903</v>
      </c>
      <c r="R356" t="s">
        <v>127</v>
      </c>
      <c r="S356">
        <v>9.94</v>
      </c>
      <c r="T356">
        <v>0.19</v>
      </c>
      <c r="U356">
        <v>3.66</v>
      </c>
      <c r="V356">
        <v>3.44</v>
      </c>
      <c r="W356">
        <v>0</v>
      </c>
      <c r="X356" t="s">
        <v>251</v>
      </c>
      <c r="Y356" t="s">
        <v>252</v>
      </c>
      <c r="Z356" t="s">
        <v>58</v>
      </c>
      <c r="AA356" t="s">
        <v>59</v>
      </c>
      <c r="AB356" t="s">
        <v>60</v>
      </c>
      <c r="AC356" t="s">
        <v>61</v>
      </c>
      <c r="AD356" t="s">
        <v>49</v>
      </c>
      <c r="AE356" t="s">
        <v>49</v>
      </c>
      <c r="AF356" t="s">
        <v>49</v>
      </c>
      <c r="AG356" t="s">
        <v>49</v>
      </c>
      <c r="AH356" t="s">
        <v>48</v>
      </c>
      <c r="AI356" t="s">
        <v>48</v>
      </c>
      <c r="AJ356" t="s">
        <v>48</v>
      </c>
      <c r="AK356" t="s">
        <v>62</v>
      </c>
      <c r="AL356" t="s">
        <v>63</v>
      </c>
      <c r="AM356" t="s">
        <v>61</v>
      </c>
      <c r="AN356" t="s">
        <v>64</v>
      </c>
      <c r="AO356" t="s">
        <v>253</v>
      </c>
      <c r="AP356">
        <v>37</v>
      </c>
      <c r="AQ356" t="s">
        <v>254</v>
      </c>
      <c r="AR356" t="s">
        <v>48</v>
      </c>
      <c r="AS356">
        <v>2015</v>
      </c>
      <c r="AT356" t="s">
        <v>49</v>
      </c>
      <c r="AU356" t="s">
        <v>48</v>
      </c>
      <c r="AV356" t="s">
        <v>48</v>
      </c>
      <c r="AW356" t="s">
        <v>48</v>
      </c>
    </row>
    <row r="357" spans="1:49" x14ac:dyDescent="0.3">
      <c r="A357" t="s">
        <v>1165</v>
      </c>
      <c r="B357" t="s">
        <v>48</v>
      </c>
      <c r="C357" t="s">
        <v>49</v>
      </c>
      <c r="D357">
        <v>329.33</v>
      </c>
      <c r="E357">
        <v>0</v>
      </c>
      <c r="F357">
        <v>1.95</v>
      </c>
      <c r="G357" t="s">
        <v>643</v>
      </c>
      <c r="H357" t="s">
        <v>1166</v>
      </c>
      <c r="I357" t="s">
        <v>52</v>
      </c>
      <c r="J357" t="s">
        <v>53</v>
      </c>
      <c r="K357">
        <v>3.8</v>
      </c>
      <c r="L357" t="s">
        <v>54</v>
      </c>
      <c r="M357">
        <f>DOWNLOAD_2kLRbPnDtawQopEJ_UKtt22ud9U57gk8mqebZIeugNk[[#This Row],[Standard Value]]/DOWNLOAD_2kLRbPnDtawQopEJ_UKtt22ud9U57gk8mqebZIeugNk[[#This Row],[Molecular Weight]]*1000*1000</f>
        <v>11538.578325691557</v>
      </c>
      <c r="N357">
        <f>-LOG(DOWNLOAD_2kLRbPnDtawQopEJ_UKtt22ud9U57gk8mqebZIeugNk[[#This Row],[IC50]]*POWER(10, -9), 10)</f>
        <v>4.9378476975357728</v>
      </c>
      <c r="P357" t="s">
        <v>48</v>
      </c>
      <c r="R357" t="s">
        <v>55</v>
      </c>
      <c r="W357">
        <v>0</v>
      </c>
      <c r="X357" t="s">
        <v>359</v>
      </c>
      <c r="Y357" t="s">
        <v>360</v>
      </c>
      <c r="Z357" t="s">
        <v>168</v>
      </c>
      <c r="AA357" t="s">
        <v>169</v>
      </c>
      <c r="AB357" t="s">
        <v>170</v>
      </c>
      <c r="AC357" t="s">
        <v>61</v>
      </c>
      <c r="AD357" t="s">
        <v>49</v>
      </c>
      <c r="AE357" t="s">
        <v>49</v>
      </c>
      <c r="AF357" t="s">
        <v>49</v>
      </c>
      <c r="AG357" t="s">
        <v>49</v>
      </c>
      <c r="AH357" t="s">
        <v>48</v>
      </c>
      <c r="AI357" t="s">
        <v>48</v>
      </c>
      <c r="AJ357" t="s">
        <v>48</v>
      </c>
      <c r="AK357" t="s">
        <v>62</v>
      </c>
      <c r="AL357" t="s">
        <v>63</v>
      </c>
      <c r="AM357" t="s">
        <v>61</v>
      </c>
      <c r="AN357" t="s">
        <v>64</v>
      </c>
      <c r="AO357" t="s">
        <v>361</v>
      </c>
      <c r="AP357">
        <v>1</v>
      </c>
      <c r="AQ357" t="s">
        <v>66</v>
      </c>
      <c r="AR357" t="s">
        <v>67</v>
      </c>
      <c r="AS357">
        <v>1993</v>
      </c>
      <c r="AT357" t="s">
        <v>49</v>
      </c>
      <c r="AU357" t="s">
        <v>48</v>
      </c>
      <c r="AV357" t="s">
        <v>48</v>
      </c>
      <c r="AW357" t="s">
        <v>48</v>
      </c>
    </row>
    <row r="358" spans="1:49" x14ac:dyDescent="0.3">
      <c r="A358" t="s">
        <v>118</v>
      </c>
      <c r="B358" t="s">
        <v>48</v>
      </c>
      <c r="C358" t="s">
        <v>49</v>
      </c>
      <c r="D358">
        <v>437.37</v>
      </c>
      <c r="E358">
        <v>1</v>
      </c>
      <c r="F358">
        <v>6.3</v>
      </c>
      <c r="G358" t="s">
        <v>405</v>
      </c>
      <c r="H358" t="s">
        <v>120</v>
      </c>
      <c r="I358" t="s">
        <v>52</v>
      </c>
      <c r="J358" t="s">
        <v>53</v>
      </c>
      <c r="K358">
        <v>8</v>
      </c>
      <c r="L358" t="s">
        <v>54</v>
      </c>
      <c r="M358">
        <f>DOWNLOAD_2kLRbPnDtawQopEJ_UKtt22ud9U57gk8mqebZIeugNk[[#This Row],[Standard Value]]/DOWNLOAD_2kLRbPnDtawQopEJ_UKtt22ud9U57gk8mqebZIeugNk[[#This Row],[Molecular Weight]]*1000*1000</f>
        <v>18291.149370098541</v>
      </c>
      <c r="N358">
        <f>-LOG(DOWNLOAD_2kLRbPnDtawQopEJ_UKtt22ud9U57gk8mqebZIeugNk[[#This Row],[IC50]]*POWER(10, -9), 10)</f>
        <v>4.7377590036866231</v>
      </c>
      <c r="P358" t="s">
        <v>48</v>
      </c>
      <c r="R358" t="s">
        <v>55</v>
      </c>
      <c r="W358">
        <v>0</v>
      </c>
      <c r="X358" t="s">
        <v>1167</v>
      </c>
      <c r="Y358" t="s">
        <v>1168</v>
      </c>
      <c r="Z358" t="s">
        <v>58</v>
      </c>
      <c r="AA358" t="s">
        <v>59</v>
      </c>
      <c r="AB358" t="s">
        <v>60</v>
      </c>
      <c r="AC358" t="s">
        <v>61</v>
      </c>
      <c r="AD358" t="s">
        <v>49</v>
      </c>
      <c r="AE358" t="s">
        <v>49</v>
      </c>
      <c r="AF358" t="s">
        <v>49</v>
      </c>
      <c r="AG358" t="s">
        <v>49</v>
      </c>
      <c r="AH358" t="s">
        <v>48</v>
      </c>
      <c r="AI358" t="s">
        <v>48</v>
      </c>
      <c r="AJ358" t="s">
        <v>48</v>
      </c>
      <c r="AK358" t="s">
        <v>62</v>
      </c>
      <c r="AL358" t="s">
        <v>63</v>
      </c>
      <c r="AM358" t="s">
        <v>61</v>
      </c>
      <c r="AN358" t="s">
        <v>64</v>
      </c>
      <c r="AO358" t="s">
        <v>1169</v>
      </c>
      <c r="AP358">
        <v>1</v>
      </c>
      <c r="AQ358" t="s">
        <v>66</v>
      </c>
      <c r="AR358" t="s">
        <v>76</v>
      </c>
      <c r="AS358">
        <v>2005</v>
      </c>
      <c r="AT358" t="s">
        <v>49</v>
      </c>
      <c r="AU358" t="s">
        <v>48</v>
      </c>
      <c r="AV358" t="s">
        <v>48</v>
      </c>
      <c r="AW358" t="s">
        <v>48</v>
      </c>
    </row>
    <row r="359" spans="1:49" x14ac:dyDescent="0.3">
      <c r="A359" t="s">
        <v>1170</v>
      </c>
      <c r="B359" t="s">
        <v>48</v>
      </c>
      <c r="C359" t="s">
        <v>49</v>
      </c>
      <c r="D359">
        <v>358.37</v>
      </c>
      <c r="E359">
        <v>0</v>
      </c>
      <c r="F359">
        <v>1.51</v>
      </c>
      <c r="G359" t="s">
        <v>531</v>
      </c>
      <c r="H359" t="s">
        <v>1171</v>
      </c>
      <c r="I359" t="s">
        <v>52</v>
      </c>
      <c r="J359" t="s">
        <v>53</v>
      </c>
      <c r="K359">
        <v>6.3</v>
      </c>
      <c r="L359" t="s">
        <v>54</v>
      </c>
      <c r="M359">
        <f>DOWNLOAD_2kLRbPnDtawQopEJ_UKtt22ud9U57gk8mqebZIeugNk[[#This Row],[Standard Value]]/DOWNLOAD_2kLRbPnDtawQopEJ_UKtt22ud9U57gk8mqebZIeugNk[[#This Row],[Molecular Weight]]*1000*1000</f>
        <v>17579.596506403996</v>
      </c>
      <c r="N359">
        <f>-LOG(DOWNLOAD_2kLRbPnDtawQopEJ_UKtt22ud9U57gk8mqebZIeugNk[[#This Row],[IC50]]*POWER(10, -9), 10)</f>
        <v>4.7549910972402465</v>
      </c>
      <c r="P359" t="s">
        <v>48</v>
      </c>
      <c r="R359" t="s">
        <v>55</v>
      </c>
      <c r="W359">
        <v>0</v>
      </c>
      <c r="X359" t="s">
        <v>98</v>
      </c>
      <c r="Y359" t="s">
        <v>99</v>
      </c>
      <c r="Z359" t="s">
        <v>58</v>
      </c>
      <c r="AA359" t="s">
        <v>59</v>
      </c>
      <c r="AB359" t="s">
        <v>60</v>
      </c>
      <c r="AC359" t="s">
        <v>49</v>
      </c>
      <c r="AD359" t="s">
        <v>49</v>
      </c>
      <c r="AE359" t="s">
        <v>49</v>
      </c>
      <c r="AF359" t="s">
        <v>49</v>
      </c>
      <c r="AG359" t="s">
        <v>49</v>
      </c>
      <c r="AH359" t="s">
        <v>48</v>
      </c>
      <c r="AI359" t="s">
        <v>48</v>
      </c>
      <c r="AJ359" t="s">
        <v>48</v>
      </c>
      <c r="AK359" t="s">
        <v>62</v>
      </c>
      <c r="AL359" t="s">
        <v>63</v>
      </c>
      <c r="AM359" t="s">
        <v>61</v>
      </c>
      <c r="AN359" t="s">
        <v>64</v>
      </c>
      <c r="AO359" t="s">
        <v>100</v>
      </c>
      <c r="AP359">
        <v>1</v>
      </c>
      <c r="AQ359" t="s">
        <v>66</v>
      </c>
      <c r="AR359" t="s">
        <v>67</v>
      </c>
      <c r="AS359">
        <v>1991</v>
      </c>
      <c r="AT359" t="s">
        <v>49</v>
      </c>
      <c r="AU359" t="s">
        <v>48</v>
      </c>
      <c r="AV359" t="s">
        <v>48</v>
      </c>
      <c r="AW359" t="s">
        <v>48</v>
      </c>
    </row>
    <row r="360" spans="1:49" x14ac:dyDescent="0.3">
      <c r="A360" t="s">
        <v>1172</v>
      </c>
      <c r="B360" t="s">
        <v>48</v>
      </c>
      <c r="C360" t="s">
        <v>49</v>
      </c>
      <c r="D360">
        <v>307.36</v>
      </c>
      <c r="E360">
        <v>0</v>
      </c>
      <c r="F360">
        <v>1.83</v>
      </c>
      <c r="G360" t="s">
        <v>102</v>
      </c>
      <c r="H360" t="s">
        <v>1173</v>
      </c>
      <c r="I360" t="s">
        <v>52</v>
      </c>
      <c r="J360" t="s">
        <v>53</v>
      </c>
      <c r="K360">
        <v>29000</v>
      </c>
      <c r="L360" t="s">
        <v>126</v>
      </c>
      <c r="M360">
        <f>DOWNLOAD_2kLRbPnDtawQopEJ_UKtt22ud9U57gk8mqebZIeugNk[[#This Row],[Standard Value]]</f>
        <v>29000</v>
      </c>
      <c r="N360">
        <f>-LOG(DOWNLOAD_2kLRbPnDtawQopEJ_UKtt22ud9U57gk8mqebZIeugNk[[#This Row],[IC50]]*POWER(10, -9), 10)</f>
        <v>4.5376020021010435</v>
      </c>
      <c r="O360">
        <v>4.54</v>
      </c>
      <c r="P360" t="s">
        <v>48</v>
      </c>
      <c r="R360" t="s">
        <v>127</v>
      </c>
      <c r="S360">
        <v>14.76</v>
      </c>
      <c r="T360">
        <v>0.27</v>
      </c>
      <c r="U360">
        <v>2.71</v>
      </c>
      <c r="V360">
        <v>4.6900000000000004</v>
      </c>
      <c r="W360">
        <v>0</v>
      </c>
      <c r="X360" t="s">
        <v>144</v>
      </c>
      <c r="Y360" t="s">
        <v>145</v>
      </c>
      <c r="Z360" t="s">
        <v>58</v>
      </c>
      <c r="AA360" t="s">
        <v>59</v>
      </c>
      <c r="AB360" t="s">
        <v>60</v>
      </c>
      <c r="AC360" t="s">
        <v>61</v>
      </c>
      <c r="AD360" t="s">
        <v>49</v>
      </c>
      <c r="AE360" t="s">
        <v>49</v>
      </c>
      <c r="AF360" t="s">
        <v>49</v>
      </c>
      <c r="AG360" t="s">
        <v>49</v>
      </c>
      <c r="AH360" t="s">
        <v>48</v>
      </c>
      <c r="AI360" t="s">
        <v>48</v>
      </c>
      <c r="AJ360" t="s">
        <v>48</v>
      </c>
      <c r="AK360" t="s">
        <v>62</v>
      </c>
      <c r="AL360" t="s">
        <v>63</v>
      </c>
      <c r="AM360" t="s">
        <v>61</v>
      </c>
      <c r="AN360" t="s">
        <v>64</v>
      </c>
      <c r="AO360" t="s">
        <v>146</v>
      </c>
      <c r="AP360">
        <v>1</v>
      </c>
      <c r="AQ360" t="s">
        <v>66</v>
      </c>
      <c r="AR360" t="s">
        <v>67</v>
      </c>
      <c r="AS360">
        <v>2015</v>
      </c>
      <c r="AT360" t="s">
        <v>49</v>
      </c>
      <c r="AU360" t="s">
        <v>48</v>
      </c>
      <c r="AV360" t="s">
        <v>48</v>
      </c>
      <c r="AW360" t="s">
        <v>48</v>
      </c>
    </row>
    <row r="361" spans="1:49" x14ac:dyDescent="0.3">
      <c r="A361" t="s">
        <v>1174</v>
      </c>
      <c r="B361" t="s">
        <v>48</v>
      </c>
      <c r="C361" t="s">
        <v>49</v>
      </c>
      <c r="D361">
        <v>426.5</v>
      </c>
      <c r="E361">
        <v>0</v>
      </c>
      <c r="F361">
        <v>2.8</v>
      </c>
      <c r="G361" t="s">
        <v>1175</v>
      </c>
      <c r="H361" t="s">
        <v>1176</v>
      </c>
      <c r="I361" t="s">
        <v>52</v>
      </c>
      <c r="J361" t="s">
        <v>53</v>
      </c>
      <c r="K361">
        <v>9100</v>
      </c>
      <c r="L361" t="s">
        <v>126</v>
      </c>
      <c r="M361">
        <f>DOWNLOAD_2kLRbPnDtawQopEJ_UKtt22ud9U57gk8mqebZIeugNk[[#This Row],[Standard Value]]</f>
        <v>9100</v>
      </c>
      <c r="N361">
        <f>-LOG(DOWNLOAD_2kLRbPnDtawQopEJ_UKtt22ud9U57gk8mqebZIeugNk[[#This Row],[IC50]]*POWER(10, -9), 10)</f>
        <v>5.0409586076789052</v>
      </c>
      <c r="O361">
        <v>5.04</v>
      </c>
      <c r="P361" t="s">
        <v>48</v>
      </c>
      <c r="R361" t="s">
        <v>127</v>
      </c>
      <c r="S361">
        <v>11.82</v>
      </c>
      <c r="T361">
        <v>0.23</v>
      </c>
      <c r="U361">
        <v>2.2400000000000002</v>
      </c>
      <c r="V361">
        <v>4.45</v>
      </c>
      <c r="W361">
        <v>0</v>
      </c>
      <c r="X361" t="s">
        <v>144</v>
      </c>
      <c r="Y361" t="s">
        <v>145</v>
      </c>
      <c r="Z361" t="s">
        <v>58</v>
      </c>
      <c r="AA361" t="s">
        <v>59</v>
      </c>
      <c r="AB361" t="s">
        <v>60</v>
      </c>
      <c r="AC361" t="s">
        <v>61</v>
      </c>
      <c r="AD361" t="s">
        <v>49</v>
      </c>
      <c r="AE361" t="s">
        <v>49</v>
      </c>
      <c r="AF361" t="s">
        <v>49</v>
      </c>
      <c r="AG361" t="s">
        <v>49</v>
      </c>
      <c r="AH361" t="s">
        <v>48</v>
      </c>
      <c r="AI361" t="s">
        <v>48</v>
      </c>
      <c r="AJ361" t="s">
        <v>48</v>
      </c>
      <c r="AK361" t="s">
        <v>62</v>
      </c>
      <c r="AL361" t="s">
        <v>63</v>
      </c>
      <c r="AM361" t="s">
        <v>61</v>
      </c>
      <c r="AN361" t="s">
        <v>64</v>
      </c>
      <c r="AO361" t="s">
        <v>146</v>
      </c>
      <c r="AP361">
        <v>1</v>
      </c>
      <c r="AQ361" t="s">
        <v>66</v>
      </c>
      <c r="AR361" t="s">
        <v>67</v>
      </c>
      <c r="AS361">
        <v>2015</v>
      </c>
      <c r="AT361" t="s">
        <v>49</v>
      </c>
      <c r="AU361" t="s">
        <v>48</v>
      </c>
      <c r="AV361" t="s">
        <v>48</v>
      </c>
      <c r="AW361" t="s">
        <v>48</v>
      </c>
    </row>
    <row r="362" spans="1:49" x14ac:dyDescent="0.3">
      <c r="A362" t="s">
        <v>1177</v>
      </c>
      <c r="B362" t="s">
        <v>48</v>
      </c>
      <c r="C362" t="s">
        <v>49</v>
      </c>
      <c r="D362">
        <v>398.44</v>
      </c>
      <c r="E362">
        <v>0</v>
      </c>
      <c r="F362">
        <v>2.3199999999999998</v>
      </c>
      <c r="G362" t="s">
        <v>407</v>
      </c>
      <c r="H362" t="s">
        <v>1178</v>
      </c>
      <c r="I362" t="s">
        <v>52</v>
      </c>
      <c r="J362" t="s">
        <v>53</v>
      </c>
      <c r="K362">
        <v>7600</v>
      </c>
      <c r="L362" t="s">
        <v>126</v>
      </c>
      <c r="M362">
        <f>DOWNLOAD_2kLRbPnDtawQopEJ_UKtt22ud9U57gk8mqebZIeugNk[[#This Row],[Standard Value]]</f>
        <v>7600</v>
      </c>
      <c r="N362">
        <f>-LOG(DOWNLOAD_2kLRbPnDtawQopEJ_UKtt22ud9U57gk8mqebZIeugNk[[#This Row],[IC50]]*POWER(10, -9), 10)</f>
        <v>5.1191864077192086</v>
      </c>
      <c r="O362">
        <v>5.12</v>
      </c>
      <c r="P362" t="s">
        <v>48</v>
      </c>
      <c r="R362" t="s">
        <v>127</v>
      </c>
      <c r="S362">
        <v>12.85</v>
      </c>
      <c r="T362">
        <v>0.25</v>
      </c>
      <c r="U362">
        <v>2.8</v>
      </c>
      <c r="V362">
        <v>4.12</v>
      </c>
      <c r="W362">
        <v>0</v>
      </c>
      <c r="X362" t="s">
        <v>144</v>
      </c>
      <c r="Y362" t="s">
        <v>145</v>
      </c>
      <c r="Z362" t="s">
        <v>58</v>
      </c>
      <c r="AA362" t="s">
        <v>59</v>
      </c>
      <c r="AB362" t="s">
        <v>60</v>
      </c>
      <c r="AC362" t="s">
        <v>61</v>
      </c>
      <c r="AD362" t="s">
        <v>49</v>
      </c>
      <c r="AE362" t="s">
        <v>49</v>
      </c>
      <c r="AF362" t="s">
        <v>49</v>
      </c>
      <c r="AG362" t="s">
        <v>49</v>
      </c>
      <c r="AH362" t="s">
        <v>48</v>
      </c>
      <c r="AI362" t="s">
        <v>48</v>
      </c>
      <c r="AJ362" t="s">
        <v>48</v>
      </c>
      <c r="AK362" t="s">
        <v>62</v>
      </c>
      <c r="AL362" t="s">
        <v>63</v>
      </c>
      <c r="AM362" t="s">
        <v>61</v>
      </c>
      <c r="AN362" t="s">
        <v>64</v>
      </c>
      <c r="AO362" t="s">
        <v>146</v>
      </c>
      <c r="AP362">
        <v>1</v>
      </c>
      <c r="AQ362" t="s">
        <v>66</v>
      </c>
      <c r="AR362" t="s">
        <v>67</v>
      </c>
      <c r="AS362">
        <v>2015</v>
      </c>
      <c r="AT362" t="s">
        <v>49</v>
      </c>
      <c r="AU362" t="s">
        <v>48</v>
      </c>
      <c r="AV362" t="s">
        <v>48</v>
      </c>
      <c r="AW362" t="s">
        <v>48</v>
      </c>
    </row>
    <row r="363" spans="1:49" x14ac:dyDescent="0.3">
      <c r="A363" t="s">
        <v>461</v>
      </c>
      <c r="B363" t="s">
        <v>462</v>
      </c>
      <c r="C363" t="s">
        <v>112</v>
      </c>
      <c r="D363">
        <v>232.24</v>
      </c>
      <c r="E363">
        <v>0</v>
      </c>
      <c r="F363">
        <v>1.42</v>
      </c>
      <c r="G363" t="s">
        <v>1016</v>
      </c>
      <c r="H363" t="s">
        <v>464</v>
      </c>
      <c r="I363" t="s">
        <v>52</v>
      </c>
      <c r="J363" t="s">
        <v>53</v>
      </c>
      <c r="K363">
        <v>1.74</v>
      </c>
      <c r="L363" t="s">
        <v>54</v>
      </c>
      <c r="M363">
        <f>DOWNLOAD_2kLRbPnDtawQopEJ_UKtt22ud9U57gk8mqebZIeugNk[[#This Row],[Standard Value]]/DOWNLOAD_2kLRbPnDtawQopEJ_UKtt22ud9U57gk8mqebZIeugNk[[#This Row],[Molecular Weight]]*1000*1000</f>
        <v>7492.2493971753356</v>
      </c>
      <c r="N363">
        <f>-LOG(DOWNLOAD_2kLRbPnDtawQopEJ_UKtt22ud9U57gk8mqebZIeugNk[[#This Row],[IC50]]*POWER(10, -9), 10)</f>
        <v>5.125387774541017</v>
      </c>
      <c r="P363" t="s">
        <v>48</v>
      </c>
      <c r="R363" t="s">
        <v>55</v>
      </c>
      <c r="W363">
        <v>0</v>
      </c>
      <c r="X363" t="s">
        <v>992</v>
      </c>
      <c r="Y363" t="s">
        <v>993</v>
      </c>
      <c r="Z363" t="s">
        <v>58</v>
      </c>
      <c r="AA363" t="s">
        <v>59</v>
      </c>
      <c r="AB363" t="s">
        <v>60</v>
      </c>
      <c r="AC363" t="s">
        <v>61</v>
      </c>
      <c r="AD363" t="s">
        <v>49</v>
      </c>
      <c r="AE363" t="s">
        <v>49</v>
      </c>
      <c r="AF363" t="s">
        <v>49</v>
      </c>
      <c r="AG363" t="s">
        <v>49</v>
      </c>
      <c r="AH363" t="s">
        <v>48</v>
      </c>
      <c r="AI363" t="s">
        <v>48</v>
      </c>
      <c r="AJ363" t="s">
        <v>48</v>
      </c>
      <c r="AK363" t="s">
        <v>62</v>
      </c>
      <c r="AL363" t="s">
        <v>63</v>
      </c>
      <c r="AM363" t="s">
        <v>61</v>
      </c>
      <c r="AN363" t="s">
        <v>64</v>
      </c>
      <c r="AO363" t="s">
        <v>994</v>
      </c>
      <c r="AP363">
        <v>1</v>
      </c>
      <c r="AQ363" t="s">
        <v>66</v>
      </c>
      <c r="AR363" t="s">
        <v>131</v>
      </c>
      <c r="AS363">
        <v>2019</v>
      </c>
      <c r="AT363" t="s">
        <v>49</v>
      </c>
      <c r="AU363" t="s">
        <v>48</v>
      </c>
      <c r="AV363" t="s">
        <v>48</v>
      </c>
      <c r="AW363" t="s">
        <v>48</v>
      </c>
    </row>
    <row r="364" spans="1:49" x14ac:dyDescent="0.3">
      <c r="A364" t="s">
        <v>1179</v>
      </c>
      <c r="B364" t="s">
        <v>48</v>
      </c>
      <c r="C364" t="s">
        <v>49</v>
      </c>
      <c r="D364">
        <v>365.82</v>
      </c>
      <c r="E364">
        <v>0</v>
      </c>
      <c r="F364">
        <v>4.62</v>
      </c>
      <c r="G364" t="s">
        <v>847</v>
      </c>
      <c r="H364" t="s">
        <v>1180</v>
      </c>
      <c r="I364" t="s">
        <v>52</v>
      </c>
      <c r="J364" t="s">
        <v>53</v>
      </c>
      <c r="K364">
        <v>500</v>
      </c>
      <c r="L364" t="s">
        <v>126</v>
      </c>
      <c r="M364">
        <f>DOWNLOAD_2kLRbPnDtawQopEJ_UKtt22ud9U57gk8mqebZIeugNk[[#This Row],[Standard Value]]</f>
        <v>500</v>
      </c>
      <c r="N364">
        <f>-LOG(DOWNLOAD_2kLRbPnDtawQopEJ_UKtt22ud9U57gk8mqebZIeugNk[[#This Row],[IC50]]*POWER(10, -9), 10)</f>
        <v>6.3010299956639804</v>
      </c>
      <c r="O364">
        <v>6.3</v>
      </c>
      <c r="P364" t="s">
        <v>48</v>
      </c>
      <c r="R364" t="s">
        <v>127</v>
      </c>
      <c r="S364">
        <v>17.22</v>
      </c>
      <c r="T364">
        <v>0.33</v>
      </c>
      <c r="U364">
        <v>1.68</v>
      </c>
      <c r="V364">
        <v>8.5</v>
      </c>
      <c r="W364">
        <v>0</v>
      </c>
      <c r="X364" t="s">
        <v>563</v>
      </c>
      <c r="Y364" t="s">
        <v>564</v>
      </c>
      <c r="Z364" t="s">
        <v>58</v>
      </c>
      <c r="AA364" t="s">
        <v>59</v>
      </c>
      <c r="AB364" t="s">
        <v>60</v>
      </c>
      <c r="AC364" t="s">
        <v>61</v>
      </c>
      <c r="AD364" t="s">
        <v>49</v>
      </c>
      <c r="AE364" t="s">
        <v>49</v>
      </c>
      <c r="AF364" t="s">
        <v>49</v>
      </c>
      <c r="AG364" t="s">
        <v>49</v>
      </c>
      <c r="AH364" t="s">
        <v>48</v>
      </c>
      <c r="AI364" t="s">
        <v>48</v>
      </c>
      <c r="AJ364" t="s">
        <v>48</v>
      </c>
      <c r="AK364" t="s">
        <v>62</v>
      </c>
      <c r="AL364" t="s">
        <v>63</v>
      </c>
      <c r="AM364" t="s">
        <v>61</v>
      </c>
      <c r="AN364" t="s">
        <v>64</v>
      </c>
      <c r="AO364" t="s">
        <v>565</v>
      </c>
      <c r="AP364">
        <v>1</v>
      </c>
      <c r="AQ364" t="s">
        <v>66</v>
      </c>
      <c r="AR364" t="s">
        <v>76</v>
      </c>
      <c r="AS364">
        <v>2019</v>
      </c>
      <c r="AT364" t="s">
        <v>49</v>
      </c>
      <c r="AU364" t="s">
        <v>48</v>
      </c>
      <c r="AV364" t="s">
        <v>48</v>
      </c>
      <c r="AW364" t="s">
        <v>48</v>
      </c>
    </row>
    <row r="365" spans="1:49" x14ac:dyDescent="0.3">
      <c r="A365" t="s">
        <v>1181</v>
      </c>
      <c r="B365" t="s">
        <v>48</v>
      </c>
      <c r="C365" t="s">
        <v>49</v>
      </c>
      <c r="D365">
        <v>365.82</v>
      </c>
      <c r="E365">
        <v>0</v>
      </c>
      <c r="F365">
        <v>4.62</v>
      </c>
      <c r="G365" t="s">
        <v>203</v>
      </c>
      <c r="H365" t="s">
        <v>1182</v>
      </c>
      <c r="I365" t="s">
        <v>52</v>
      </c>
      <c r="J365" t="s">
        <v>53</v>
      </c>
      <c r="K365">
        <v>500</v>
      </c>
      <c r="L365" t="s">
        <v>126</v>
      </c>
      <c r="M365">
        <f>DOWNLOAD_2kLRbPnDtawQopEJ_UKtt22ud9U57gk8mqebZIeugNk[[#This Row],[Standard Value]]</f>
        <v>500</v>
      </c>
      <c r="N365">
        <f>-LOG(DOWNLOAD_2kLRbPnDtawQopEJ_UKtt22ud9U57gk8mqebZIeugNk[[#This Row],[IC50]]*POWER(10, -9), 10)</f>
        <v>6.3010299956639804</v>
      </c>
      <c r="O365">
        <v>6.3</v>
      </c>
      <c r="P365" t="s">
        <v>48</v>
      </c>
      <c r="R365" t="s">
        <v>127</v>
      </c>
      <c r="S365">
        <v>17.22</v>
      </c>
      <c r="T365">
        <v>0.33</v>
      </c>
      <c r="U365">
        <v>1.68</v>
      </c>
      <c r="V365">
        <v>8.5</v>
      </c>
      <c r="W365">
        <v>0</v>
      </c>
      <c r="X365" t="s">
        <v>563</v>
      </c>
      <c r="Y365" t="s">
        <v>564</v>
      </c>
      <c r="Z365" t="s">
        <v>58</v>
      </c>
      <c r="AA365" t="s">
        <v>59</v>
      </c>
      <c r="AB365" t="s">
        <v>60</v>
      </c>
      <c r="AC365" t="s">
        <v>61</v>
      </c>
      <c r="AD365" t="s">
        <v>49</v>
      </c>
      <c r="AE365" t="s">
        <v>49</v>
      </c>
      <c r="AF365" t="s">
        <v>49</v>
      </c>
      <c r="AG365" t="s">
        <v>49</v>
      </c>
      <c r="AH365" t="s">
        <v>48</v>
      </c>
      <c r="AI365" t="s">
        <v>48</v>
      </c>
      <c r="AJ365" t="s">
        <v>48</v>
      </c>
      <c r="AK365" t="s">
        <v>62</v>
      </c>
      <c r="AL365" t="s">
        <v>63</v>
      </c>
      <c r="AM365" t="s">
        <v>61</v>
      </c>
      <c r="AN365" t="s">
        <v>64</v>
      </c>
      <c r="AO365" t="s">
        <v>565</v>
      </c>
      <c r="AP365">
        <v>1</v>
      </c>
      <c r="AQ365" t="s">
        <v>66</v>
      </c>
      <c r="AR365" t="s">
        <v>76</v>
      </c>
      <c r="AS365">
        <v>2019</v>
      </c>
      <c r="AT365" t="s">
        <v>49</v>
      </c>
      <c r="AU365" t="s">
        <v>48</v>
      </c>
      <c r="AV365" t="s">
        <v>48</v>
      </c>
      <c r="AW365" t="s">
        <v>48</v>
      </c>
    </row>
    <row r="366" spans="1:49" x14ac:dyDescent="0.3">
      <c r="A366" t="s">
        <v>1183</v>
      </c>
      <c r="B366" t="s">
        <v>48</v>
      </c>
      <c r="C366" t="s">
        <v>49</v>
      </c>
      <c r="D366">
        <v>479.47</v>
      </c>
      <c r="E366">
        <v>0</v>
      </c>
      <c r="F366">
        <v>2.3199999999999998</v>
      </c>
      <c r="G366" t="s">
        <v>1184</v>
      </c>
      <c r="H366" t="s">
        <v>1185</v>
      </c>
      <c r="I366" t="s">
        <v>52</v>
      </c>
      <c r="J366" t="s">
        <v>53</v>
      </c>
      <c r="K366">
        <v>125</v>
      </c>
      <c r="L366" t="s">
        <v>126</v>
      </c>
      <c r="M366">
        <f>DOWNLOAD_2kLRbPnDtawQopEJ_UKtt22ud9U57gk8mqebZIeugNk[[#This Row],[Standard Value]]</f>
        <v>125</v>
      </c>
      <c r="N366">
        <f>-LOG(DOWNLOAD_2kLRbPnDtawQopEJ_UKtt22ud9U57gk8mqebZIeugNk[[#This Row],[IC50]]*POWER(10, -9), 10)</f>
        <v>6.9030899869919429</v>
      </c>
      <c r="O366">
        <v>6.9</v>
      </c>
      <c r="P366" t="s">
        <v>48</v>
      </c>
      <c r="R366" t="s">
        <v>127</v>
      </c>
      <c r="S366">
        <v>14.4</v>
      </c>
      <c r="T366">
        <v>0.27</v>
      </c>
      <c r="U366">
        <v>4.58</v>
      </c>
      <c r="V366">
        <v>6.01</v>
      </c>
      <c r="W366">
        <v>0</v>
      </c>
      <c r="X366" t="s">
        <v>1186</v>
      </c>
      <c r="Y366" t="s">
        <v>878</v>
      </c>
      <c r="Z366" t="s">
        <v>58</v>
      </c>
      <c r="AA366" t="s">
        <v>59</v>
      </c>
      <c r="AB366" t="s">
        <v>60</v>
      </c>
      <c r="AC366" t="s">
        <v>61</v>
      </c>
      <c r="AD366" t="s">
        <v>49</v>
      </c>
      <c r="AE366" t="s">
        <v>49</v>
      </c>
      <c r="AF366" t="s">
        <v>49</v>
      </c>
      <c r="AG366" t="s">
        <v>49</v>
      </c>
      <c r="AH366" t="s">
        <v>48</v>
      </c>
      <c r="AI366" t="s">
        <v>48</v>
      </c>
      <c r="AJ366" t="s">
        <v>48</v>
      </c>
      <c r="AK366" t="s">
        <v>62</v>
      </c>
      <c r="AL366" t="s">
        <v>63</v>
      </c>
      <c r="AM366" t="s">
        <v>61</v>
      </c>
      <c r="AN366" t="s">
        <v>64</v>
      </c>
      <c r="AO366" t="s">
        <v>571</v>
      </c>
      <c r="AP366">
        <v>1</v>
      </c>
      <c r="AQ366" t="s">
        <v>66</v>
      </c>
      <c r="AR366" t="s">
        <v>67</v>
      </c>
      <c r="AS366">
        <v>2019</v>
      </c>
      <c r="AT366" t="s">
        <v>49</v>
      </c>
      <c r="AU366" t="s">
        <v>48</v>
      </c>
      <c r="AV366" t="s">
        <v>48</v>
      </c>
      <c r="AW366" t="s">
        <v>48</v>
      </c>
    </row>
    <row r="367" spans="1:49" x14ac:dyDescent="0.3">
      <c r="A367" t="s">
        <v>1187</v>
      </c>
      <c r="B367" t="s">
        <v>48</v>
      </c>
      <c r="C367" t="s">
        <v>49</v>
      </c>
      <c r="D367">
        <v>461.59</v>
      </c>
      <c r="E367">
        <v>0</v>
      </c>
      <c r="F367">
        <v>3.75</v>
      </c>
      <c r="G367" t="s">
        <v>1188</v>
      </c>
      <c r="H367" t="s">
        <v>1189</v>
      </c>
      <c r="I367" t="s">
        <v>52</v>
      </c>
      <c r="J367" t="s">
        <v>53</v>
      </c>
      <c r="K367">
        <v>100</v>
      </c>
      <c r="L367" t="s">
        <v>126</v>
      </c>
      <c r="M367">
        <f>DOWNLOAD_2kLRbPnDtawQopEJ_UKtt22ud9U57gk8mqebZIeugNk[[#This Row],[Standard Value]]</f>
        <v>100</v>
      </c>
      <c r="N367">
        <f>-LOG(DOWNLOAD_2kLRbPnDtawQopEJ_UKtt22ud9U57gk8mqebZIeugNk[[#This Row],[IC50]]*POWER(10, -9), 10)</f>
        <v>7</v>
      </c>
      <c r="O367">
        <v>7</v>
      </c>
      <c r="P367" t="s">
        <v>48</v>
      </c>
      <c r="R367" t="s">
        <v>127</v>
      </c>
      <c r="S367">
        <v>15.16</v>
      </c>
      <c r="T367">
        <v>0.28999999999999998</v>
      </c>
      <c r="U367">
        <v>3.25</v>
      </c>
      <c r="V367">
        <v>8.4</v>
      </c>
      <c r="W367">
        <v>0</v>
      </c>
      <c r="X367" t="s">
        <v>1186</v>
      </c>
      <c r="Y367" t="s">
        <v>878</v>
      </c>
      <c r="Z367" t="s">
        <v>58</v>
      </c>
      <c r="AA367" t="s">
        <v>59</v>
      </c>
      <c r="AB367" t="s">
        <v>60</v>
      </c>
      <c r="AC367" t="s">
        <v>61</v>
      </c>
      <c r="AD367" t="s">
        <v>49</v>
      </c>
      <c r="AE367" t="s">
        <v>49</v>
      </c>
      <c r="AF367" t="s">
        <v>49</v>
      </c>
      <c r="AG367" t="s">
        <v>49</v>
      </c>
      <c r="AH367" t="s">
        <v>48</v>
      </c>
      <c r="AI367" t="s">
        <v>48</v>
      </c>
      <c r="AJ367" t="s">
        <v>48</v>
      </c>
      <c r="AK367" t="s">
        <v>62</v>
      </c>
      <c r="AL367" t="s">
        <v>63</v>
      </c>
      <c r="AM367" t="s">
        <v>61</v>
      </c>
      <c r="AN367" t="s">
        <v>64</v>
      </c>
      <c r="AO367" t="s">
        <v>571</v>
      </c>
      <c r="AP367">
        <v>1</v>
      </c>
      <c r="AQ367" t="s">
        <v>66</v>
      </c>
      <c r="AR367" t="s">
        <v>67</v>
      </c>
      <c r="AS367">
        <v>2019</v>
      </c>
      <c r="AT367" t="s">
        <v>49</v>
      </c>
      <c r="AU367" t="s">
        <v>48</v>
      </c>
      <c r="AV367" t="s">
        <v>48</v>
      </c>
      <c r="AW367" t="s">
        <v>48</v>
      </c>
    </row>
    <row r="368" spans="1:49" x14ac:dyDescent="0.3">
      <c r="A368" t="s">
        <v>1190</v>
      </c>
      <c r="B368" t="s">
        <v>48</v>
      </c>
      <c r="C368" t="s">
        <v>49</v>
      </c>
      <c r="D368">
        <v>441.3</v>
      </c>
      <c r="E368">
        <v>0</v>
      </c>
      <c r="F368">
        <v>3.99</v>
      </c>
      <c r="G368" t="s">
        <v>1191</v>
      </c>
      <c r="H368" t="s">
        <v>1192</v>
      </c>
      <c r="I368" t="s">
        <v>52</v>
      </c>
      <c r="J368" t="s">
        <v>53</v>
      </c>
      <c r="K368">
        <v>200</v>
      </c>
      <c r="L368" t="s">
        <v>126</v>
      </c>
      <c r="M368">
        <f>DOWNLOAD_2kLRbPnDtawQopEJ_UKtt22ud9U57gk8mqebZIeugNk[[#This Row],[Standard Value]]</f>
        <v>200</v>
      </c>
      <c r="N368">
        <f>-LOG(DOWNLOAD_2kLRbPnDtawQopEJ_UKtt22ud9U57gk8mqebZIeugNk[[#This Row],[IC50]]*POWER(10, -9), 10)</f>
        <v>6.6989700043360187</v>
      </c>
      <c r="O368">
        <v>6.7</v>
      </c>
      <c r="P368" t="s">
        <v>48</v>
      </c>
      <c r="R368" t="s">
        <v>127</v>
      </c>
      <c r="S368">
        <v>15.18</v>
      </c>
      <c r="T368">
        <v>0.33</v>
      </c>
      <c r="U368">
        <v>2.71</v>
      </c>
      <c r="V368">
        <v>5.92</v>
      </c>
      <c r="W368">
        <v>0</v>
      </c>
      <c r="X368" t="s">
        <v>684</v>
      </c>
      <c r="Y368" t="s">
        <v>327</v>
      </c>
      <c r="Z368" t="s">
        <v>58</v>
      </c>
      <c r="AA368" t="s">
        <v>59</v>
      </c>
      <c r="AB368" t="s">
        <v>60</v>
      </c>
      <c r="AC368" t="s">
        <v>61</v>
      </c>
      <c r="AD368" t="s">
        <v>49</v>
      </c>
      <c r="AE368" t="s">
        <v>49</v>
      </c>
      <c r="AF368" t="s">
        <v>49</v>
      </c>
      <c r="AG368" t="s">
        <v>49</v>
      </c>
      <c r="AH368" t="s">
        <v>48</v>
      </c>
      <c r="AI368" t="s">
        <v>48</v>
      </c>
      <c r="AJ368" t="s">
        <v>48</v>
      </c>
      <c r="AK368" t="s">
        <v>62</v>
      </c>
      <c r="AL368" t="s">
        <v>63</v>
      </c>
      <c r="AM368" t="s">
        <v>61</v>
      </c>
      <c r="AN368" t="s">
        <v>64</v>
      </c>
      <c r="AO368" t="s">
        <v>685</v>
      </c>
      <c r="AP368">
        <v>1</v>
      </c>
      <c r="AQ368" t="s">
        <v>66</v>
      </c>
      <c r="AR368" t="s">
        <v>686</v>
      </c>
      <c r="AS368">
        <v>2020</v>
      </c>
      <c r="AT368" t="s">
        <v>49</v>
      </c>
      <c r="AU368" t="s">
        <v>299</v>
      </c>
      <c r="AV368" t="s">
        <v>269</v>
      </c>
      <c r="AW368" t="s">
        <v>48</v>
      </c>
    </row>
    <row r="369" spans="1:49" x14ac:dyDescent="0.3">
      <c r="A369" t="s">
        <v>1193</v>
      </c>
      <c r="B369" t="s">
        <v>48</v>
      </c>
      <c r="C369" t="s">
        <v>49</v>
      </c>
      <c r="D369">
        <v>557.64</v>
      </c>
      <c r="E369">
        <v>1</v>
      </c>
      <c r="F369">
        <v>2.85</v>
      </c>
      <c r="G369" t="s">
        <v>1194</v>
      </c>
      <c r="H369" t="s">
        <v>1195</v>
      </c>
      <c r="I369" t="s">
        <v>52</v>
      </c>
      <c r="J369" t="s">
        <v>53</v>
      </c>
      <c r="K369">
        <v>0.35</v>
      </c>
      <c r="L369" t="s">
        <v>54</v>
      </c>
      <c r="M369">
        <f>DOWNLOAD_2kLRbPnDtawQopEJ_UKtt22ud9U57gk8mqebZIeugNk[[#This Row],[Standard Value]]/DOWNLOAD_2kLRbPnDtawQopEJ_UKtt22ud9U57gk8mqebZIeugNk[[#This Row],[Molecular Weight]]*1000*1000</f>
        <v>627.64507567606347</v>
      </c>
      <c r="N369">
        <f>-LOG(DOWNLOAD_2kLRbPnDtawQopEJ_UKtt22ud9U57gk8mqebZIeugNk[[#This Row],[IC50]]*POWER(10, -9), 10)</f>
        <v>6.2022858741762166</v>
      </c>
      <c r="P369" t="s">
        <v>48</v>
      </c>
      <c r="R369" t="s">
        <v>55</v>
      </c>
      <c r="W369">
        <v>0</v>
      </c>
      <c r="X369" t="s">
        <v>86</v>
      </c>
      <c r="Y369" t="s">
        <v>87</v>
      </c>
      <c r="Z369" t="s">
        <v>58</v>
      </c>
      <c r="AA369" t="s">
        <v>59</v>
      </c>
      <c r="AB369" t="s">
        <v>60</v>
      </c>
      <c r="AC369" t="s">
        <v>61</v>
      </c>
      <c r="AD369" t="s">
        <v>49</v>
      </c>
      <c r="AE369" t="s">
        <v>49</v>
      </c>
      <c r="AF369" t="s">
        <v>49</v>
      </c>
      <c r="AG369" t="s">
        <v>49</v>
      </c>
      <c r="AH369" t="s">
        <v>48</v>
      </c>
      <c r="AI369" t="s">
        <v>48</v>
      </c>
      <c r="AJ369" t="s">
        <v>48</v>
      </c>
      <c r="AK369" t="s">
        <v>62</v>
      </c>
      <c r="AL369" t="s">
        <v>63</v>
      </c>
      <c r="AM369" t="s">
        <v>61</v>
      </c>
      <c r="AN369" t="s">
        <v>64</v>
      </c>
      <c r="AO369" t="s">
        <v>88</v>
      </c>
      <c r="AP369">
        <v>1</v>
      </c>
      <c r="AQ369" t="s">
        <v>66</v>
      </c>
      <c r="AR369" t="s">
        <v>76</v>
      </c>
      <c r="AS369">
        <v>2001</v>
      </c>
      <c r="AT369" t="s">
        <v>49</v>
      </c>
      <c r="AU369" t="s">
        <v>48</v>
      </c>
      <c r="AV369" t="s">
        <v>48</v>
      </c>
      <c r="AW369" t="s">
        <v>48</v>
      </c>
    </row>
    <row r="370" spans="1:49" x14ac:dyDescent="0.3">
      <c r="A370" t="s">
        <v>1196</v>
      </c>
      <c r="B370" t="s">
        <v>48</v>
      </c>
      <c r="C370" t="s">
        <v>49</v>
      </c>
      <c r="D370">
        <v>345.37</v>
      </c>
      <c r="E370">
        <v>0</v>
      </c>
      <c r="F370">
        <v>2.1</v>
      </c>
      <c r="G370" t="s">
        <v>1197</v>
      </c>
      <c r="H370" t="s">
        <v>1198</v>
      </c>
      <c r="I370" t="s">
        <v>52</v>
      </c>
      <c r="J370" t="s">
        <v>53</v>
      </c>
      <c r="K370">
        <v>0.8</v>
      </c>
      <c r="L370" t="s">
        <v>54</v>
      </c>
      <c r="M370">
        <f>DOWNLOAD_2kLRbPnDtawQopEJ_UKtt22ud9U57gk8mqebZIeugNk[[#This Row],[Standard Value]]/DOWNLOAD_2kLRbPnDtawQopEJ_UKtt22ud9U57gk8mqebZIeugNk[[#This Row],[Molecular Weight]]*1000*1000</f>
        <v>2316.3563714277443</v>
      </c>
      <c r="N370">
        <f>-LOG(DOWNLOAD_2kLRbPnDtawQopEJ_UKtt22ud9U57gk8mqebZIeugNk[[#This Row],[IC50]]*POWER(10, -9), 10)</f>
        <v>5.6351946235981965</v>
      </c>
      <c r="P370" t="s">
        <v>48</v>
      </c>
      <c r="R370" t="s">
        <v>55</v>
      </c>
      <c r="W370">
        <v>0</v>
      </c>
      <c r="X370" t="s">
        <v>98</v>
      </c>
      <c r="Y370" t="s">
        <v>99</v>
      </c>
      <c r="Z370" t="s">
        <v>58</v>
      </c>
      <c r="AA370" t="s">
        <v>59</v>
      </c>
      <c r="AB370" t="s">
        <v>60</v>
      </c>
      <c r="AC370" t="s">
        <v>49</v>
      </c>
      <c r="AD370" t="s">
        <v>49</v>
      </c>
      <c r="AE370" t="s">
        <v>49</v>
      </c>
      <c r="AF370" t="s">
        <v>49</v>
      </c>
      <c r="AG370" t="s">
        <v>49</v>
      </c>
      <c r="AH370" t="s">
        <v>48</v>
      </c>
      <c r="AI370" t="s">
        <v>48</v>
      </c>
      <c r="AJ370" t="s">
        <v>48</v>
      </c>
      <c r="AK370" t="s">
        <v>62</v>
      </c>
      <c r="AL370" t="s">
        <v>63</v>
      </c>
      <c r="AM370" t="s">
        <v>61</v>
      </c>
      <c r="AN370" t="s">
        <v>64</v>
      </c>
      <c r="AO370" t="s">
        <v>100</v>
      </c>
      <c r="AP370">
        <v>1</v>
      </c>
      <c r="AQ370" t="s">
        <v>66</v>
      </c>
      <c r="AR370" t="s">
        <v>67</v>
      </c>
      <c r="AS370">
        <v>1991</v>
      </c>
      <c r="AT370" t="s">
        <v>49</v>
      </c>
      <c r="AU370" t="s">
        <v>48</v>
      </c>
      <c r="AV370" t="s">
        <v>48</v>
      </c>
      <c r="AW370" t="s">
        <v>48</v>
      </c>
    </row>
    <row r="371" spans="1:49" x14ac:dyDescent="0.3">
      <c r="A371" t="s">
        <v>1199</v>
      </c>
      <c r="B371" t="s">
        <v>1200</v>
      </c>
      <c r="C371" t="s">
        <v>305</v>
      </c>
      <c r="D371">
        <v>369.34</v>
      </c>
      <c r="E371">
        <v>0</v>
      </c>
      <c r="F371">
        <v>1.7</v>
      </c>
      <c r="G371" t="s">
        <v>999</v>
      </c>
      <c r="H371" t="s">
        <v>1201</v>
      </c>
      <c r="I371" t="s">
        <v>52</v>
      </c>
      <c r="J371" t="s">
        <v>53</v>
      </c>
      <c r="K371">
        <v>3.8</v>
      </c>
      <c r="L371" t="s">
        <v>54</v>
      </c>
      <c r="M371">
        <f>DOWNLOAD_2kLRbPnDtawQopEJ_UKtt22ud9U57gk8mqebZIeugNk[[#This Row],[Standard Value]]/DOWNLOAD_2kLRbPnDtawQopEJ_UKtt22ud9U57gk8mqebZIeugNk[[#This Row],[Molecular Weight]]*1000*1000</f>
        <v>10288.62294904424</v>
      </c>
      <c r="N371">
        <f>-LOG(DOWNLOAD_2kLRbPnDtawQopEJ_UKtt22ud9U57gk8mqebZIeugNk[[#This Row],[IC50]]*POWER(10, -9), 10)</f>
        <v>4.9876427482357633</v>
      </c>
      <c r="P371" t="s">
        <v>48</v>
      </c>
      <c r="R371" t="s">
        <v>55</v>
      </c>
      <c r="W371">
        <v>0</v>
      </c>
      <c r="X371" t="s">
        <v>115</v>
      </c>
      <c r="Y371" t="s">
        <v>116</v>
      </c>
      <c r="Z371" t="s">
        <v>58</v>
      </c>
      <c r="AA371" t="s">
        <v>59</v>
      </c>
      <c r="AB371" t="s">
        <v>60</v>
      </c>
      <c r="AC371" t="s">
        <v>61</v>
      </c>
      <c r="AD371" t="s">
        <v>49</v>
      </c>
      <c r="AE371" t="s">
        <v>49</v>
      </c>
      <c r="AF371" t="s">
        <v>49</v>
      </c>
      <c r="AG371" t="s">
        <v>49</v>
      </c>
      <c r="AH371" t="s">
        <v>48</v>
      </c>
      <c r="AI371" t="s">
        <v>48</v>
      </c>
      <c r="AJ371" t="s">
        <v>48</v>
      </c>
      <c r="AK371" t="s">
        <v>62</v>
      </c>
      <c r="AL371" t="s">
        <v>63</v>
      </c>
      <c r="AM371" t="s">
        <v>61</v>
      </c>
      <c r="AN371" t="s">
        <v>64</v>
      </c>
      <c r="AO371" t="s">
        <v>117</v>
      </c>
      <c r="AP371">
        <v>1</v>
      </c>
      <c r="AQ371" t="s">
        <v>66</v>
      </c>
      <c r="AR371" t="s">
        <v>67</v>
      </c>
      <c r="AS371">
        <v>1986</v>
      </c>
      <c r="AT371" t="s">
        <v>49</v>
      </c>
      <c r="AU371" t="s">
        <v>48</v>
      </c>
      <c r="AV371" t="s">
        <v>48</v>
      </c>
      <c r="AW371" t="s">
        <v>48</v>
      </c>
    </row>
    <row r="372" spans="1:49" x14ac:dyDescent="0.3">
      <c r="A372" t="s">
        <v>1202</v>
      </c>
      <c r="B372" t="s">
        <v>48</v>
      </c>
      <c r="C372" t="s">
        <v>49</v>
      </c>
      <c r="D372">
        <v>343.36</v>
      </c>
      <c r="E372">
        <v>0</v>
      </c>
      <c r="F372">
        <v>1.72</v>
      </c>
      <c r="G372" t="s">
        <v>312</v>
      </c>
      <c r="H372" t="s">
        <v>1203</v>
      </c>
      <c r="I372" t="s">
        <v>52</v>
      </c>
      <c r="J372" t="s">
        <v>53</v>
      </c>
      <c r="K372">
        <v>2.8</v>
      </c>
      <c r="L372" t="s">
        <v>54</v>
      </c>
      <c r="M372">
        <f>DOWNLOAD_2kLRbPnDtawQopEJ_UKtt22ud9U57gk8mqebZIeugNk[[#This Row],[Standard Value]]/DOWNLOAD_2kLRbPnDtawQopEJ_UKtt22ud9U57gk8mqebZIeugNk[[#This Row],[Molecular Weight]]*1000*1000</f>
        <v>8154.7064305684989</v>
      </c>
      <c r="N372">
        <f>-LOG(DOWNLOAD_2kLRbPnDtawQopEJ_UKtt22ud9U57gk8mqebZIeugNk[[#This Row],[IC50]]*POWER(10, -9), 10)</f>
        <v>5.0885916689436375</v>
      </c>
      <c r="P372" t="s">
        <v>48</v>
      </c>
      <c r="R372" t="s">
        <v>55</v>
      </c>
      <c r="W372">
        <v>0</v>
      </c>
      <c r="X372" t="s">
        <v>98</v>
      </c>
      <c r="Y372" t="s">
        <v>99</v>
      </c>
      <c r="Z372" t="s">
        <v>58</v>
      </c>
      <c r="AA372" t="s">
        <v>59</v>
      </c>
      <c r="AB372" t="s">
        <v>60</v>
      </c>
      <c r="AC372" t="s">
        <v>49</v>
      </c>
      <c r="AD372" t="s">
        <v>49</v>
      </c>
      <c r="AE372" t="s">
        <v>49</v>
      </c>
      <c r="AF372" t="s">
        <v>49</v>
      </c>
      <c r="AG372" t="s">
        <v>49</v>
      </c>
      <c r="AH372" t="s">
        <v>48</v>
      </c>
      <c r="AI372" t="s">
        <v>48</v>
      </c>
      <c r="AJ372" t="s">
        <v>48</v>
      </c>
      <c r="AK372" t="s">
        <v>62</v>
      </c>
      <c r="AL372" t="s">
        <v>63</v>
      </c>
      <c r="AM372" t="s">
        <v>61</v>
      </c>
      <c r="AN372" t="s">
        <v>64</v>
      </c>
      <c r="AO372" t="s">
        <v>100</v>
      </c>
      <c r="AP372">
        <v>1</v>
      </c>
      <c r="AQ372" t="s">
        <v>66</v>
      </c>
      <c r="AR372" t="s">
        <v>67</v>
      </c>
      <c r="AS372">
        <v>1991</v>
      </c>
      <c r="AT372" t="s">
        <v>49</v>
      </c>
      <c r="AU372" t="s">
        <v>48</v>
      </c>
      <c r="AV372" t="s">
        <v>48</v>
      </c>
      <c r="AW372" t="s">
        <v>48</v>
      </c>
    </row>
    <row r="373" spans="1:49" x14ac:dyDescent="0.3">
      <c r="A373" t="s">
        <v>1204</v>
      </c>
      <c r="B373" t="s">
        <v>48</v>
      </c>
      <c r="C373" t="s">
        <v>49</v>
      </c>
      <c r="D373">
        <v>456.35</v>
      </c>
      <c r="E373">
        <v>0</v>
      </c>
      <c r="F373">
        <v>1.71</v>
      </c>
      <c r="G373" t="s">
        <v>1205</v>
      </c>
      <c r="H373" t="s">
        <v>1206</v>
      </c>
      <c r="I373" t="s">
        <v>52</v>
      </c>
      <c r="J373" t="s">
        <v>53</v>
      </c>
      <c r="K373">
        <v>4400</v>
      </c>
      <c r="L373" t="s">
        <v>126</v>
      </c>
      <c r="M373">
        <f>DOWNLOAD_2kLRbPnDtawQopEJ_UKtt22ud9U57gk8mqebZIeugNk[[#This Row],[Standard Value]]</f>
        <v>4400</v>
      </c>
      <c r="N373">
        <f>-LOG(DOWNLOAD_2kLRbPnDtawQopEJ_UKtt22ud9U57gk8mqebZIeugNk[[#This Row],[IC50]]*POWER(10, -9), 10)</f>
        <v>5.3565473235138121</v>
      </c>
      <c r="O373">
        <v>5.36</v>
      </c>
      <c r="P373" t="s">
        <v>48</v>
      </c>
      <c r="Q373">
        <v>302926</v>
      </c>
      <c r="R373" t="s">
        <v>127</v>
      </c>
      <c r="S373">
        <v>11.74</v>
      </c>
      <c r="T373">
        <v>0.23</v>
      </c>
      <c r="U373">
        <v>3.65</v>
      </c>
      <c r="V373">
        <v>4.71</v>
      </c>
      <c r="W373">
        <v>0</v>
      </c>
      <c r="X373" t="s">
        <v>251</v>
      </c>
      <c r="Y373" t="s">
        <v>252</v>
      </c>
      <c r="Z373" t="s">
        <v>58</v>
      </c>
      <c r="AA373" t="s">
        <v>59</v>
      </c>
      <c r="AB373" t="s">
        <v>60</v>
      </c>
      <c r="AC373" t="s">
        <v>61</v>
      </c>
      <c r="AD373" t="s">
        <v>49</v>
      </c>
      <c r="AE373" t="s">
        <v>49</v>
      </c>
      <c r="AF373" t="s">
        <v>49</v>
      </c>
      <c r="AG373" t="s">
        <v>49</v>
      </c>
      <c r="AH373" t="s">
        <v>48</v>
      </c>
      <c r="AI373" t="s">
        <v>48</v>
      </c>
      <c r="AJ373" t="s">
        <v>48</v>
      </c>
      <c r="AK373" t="s">
        <v>62</v>
      </c>
      <c r="AL373" t="s">
        <v>63</v>
      </c>
      <c r="AM373" t="s">
        <v>61</v>
      </c>
      <c r="AN373" t="s">
        <v>64</v>
      </c>
      <c r="AO373" t="s">
        <v>253</v>
      </c>
      <c r="AP373">
        <v>37</v>
      </c>
      <c r="AQ373" t="s">
        <v>254</v>
      </c>
      <c r="AR373" t="s">
        <v>48</v>
      </c>
      <c r="AS373">
        <v>2015</v>
      </c>
      <c r="AT373" t="s">
        <v>49</v>
      </c>
      <c r="AU373" t="s">
        <v>48</v>
      </c>
      <c r="AV373" t="s">
        <v>48</v>
      </c>
      <c r="AW373" t="s">
        <v>48</v>
      </c>
    </row>
    <row r="374" spans="1:49" x14ac:dyDescent="0.3">
      <c r="A374" t="s">
        <v>1207</v>
      </c>
      <c r="B374" t="s">
        <v>48</v>
      </c>
      <c r="C374" t="s">
        <v>49</v>
      </c>
      <c r="D374">
        <v>471.45</v>
      </c>
      <c r="E374">
        <v>0</v>
      </c>
      <c r="F374">
        <v>0.75</v>
      </c>
      <c r="G374" t="s">
        <v>1208</v>
      </c>
      <c r="H374" t="s">
        <v>1209</v>
      </c>
      <c r="I374" t="s">
        <v>52</v>
      </c>
      <c r="J374" t="s">
        <v>53</v>
      </c>
      <c r="K374">
        <v>1300</v>
      </c>
      <c r="L374" t="s">
        <v>126</v>
      </c>
      <c r="M374">
        <f>DOWNLOAD_2kLRbPnDtawQopEJ_UKtt22ud9U57gk8mqebZIeugNk[[#This Row],[Standard Value]]</f>
        <v>1300</v>
      </c>
      <c r="N374">
        <f>-LOG(DOWNLOAD_2kLRbPnDtawQopEJ_UKtt22ud9U57gk8mqebZIeugNk[[#This Row],[IC50]]*POWER(10, -9), 10)</f>
        <v>5.8860566476931622</v>
      </c>
      <c r="O374">
        <v>5.89</v>
      </c>
      <c r="P374" t="s">
        <v>48</v>
      </c>
      <c r="Q374">
        <v>302927</v>
      </c>
      <c r="R374" t="s">
        <v>127</v>
      </c>
      <c r="S374">
        <v>12.49</v>
      </c>
      <c r="T374">
        <v>0.24</v>
      </c>
      <c r="U374">
        <v>5.14</v>
      </c>
      <c r="V374">
        <v>4.12</v>
      </c>
      <c r="W374">
        <v>0</v>
      </c>
      <c r="X374" t="s">
        <v>251</v>
      </c>
      <c r="Y374" t="s">
        <v>252</v>
      </c>
      <c r="Z374" t="s">
        <v>58</v>
      </c>
      <c r="AA374" t="s">
        <v>59</v>
      </c>
      <c r="AB374" t="s">
        <v>60</v>
      </c>
      <c r="AC374" t="s">
        <v>61</v>
      </c>
      <c r="AD374" t="s">
        <v>49</v>
      </c>
      <c r="AE374" t="s">
        <v>49</v>
      </c>
      <c r="AF374" t="s">
        <v>49</v>
      </c>
      <c r="AG374" t="s">
        <v>49</v>
      </c>
      <c r="AH374" t="s">
        <v>48</v>
      </c>
      <c r="AI374" t="s">
        <v>48</v>
      </c>
      <c r="AJ374" t="s">
        <v>48</v>
      </c>
      <c r="AK374" t="s">
        <v>62</v>
      </c>
      <c r="AL374" t="s">
        <v>63</v>
      </c>
      <c r="AM374" t="s">
        <v>61</v>
      </c>
      <c r="AN374" t="s">
        <v>64</v>
      </c>
      <c r="AO374" t="s">
        <v>253</v>
      </c>
      <c r="AP374">
        <v>37</v>
      </c>
      <c r="AQ374" t="s">
        <v>254</v>
      </c>
      <c r="AR374" t="s">
        <v>48</v>
      </c>
      <c r="AS374">
        <v>2015</v>
      </c>
      <c r="AT374" t="s">
        <v>49</v>
      </c>
      <c r="AU374" t="s">
        <v>48</v>
      </c>
      <c r="AV374" t="s">
        <v>48</v>
      </c>
      <c r="AW374" t="s">
        <v>48</v>
      </c>
    </row>
    <row r="375" spans="1:49" x14ac:dyDescent="0.3">
      <c r="A375" t="s">
        <v>1210</v>
      </c>
      <c r="B375" t="s">
        <v>48</v>
      </c>
      <c r="C375" t="s">
        <v>49</v>
      </c>
      <c r="D375">
        <v>525.5</v>
      </c>
      <c r="E375">
        <v>1</v>
      </c>
      <c r="F375">
        <v>0.52</v>
      </c>
      <c r="G375" t="s">
        <v>1211</v>
      </c>
      <c r="H375" t="s">
        <v>1212</v>
      </c>
      <c r="I375" t="s">
        <v>52</v>
      </c>
      <c r="J375" t="s">
        <v>53</v>
      </c>
      <c r="K375">
        <v>2100</v>
      </c>
      <c r="L375" t="s">
        <v>126</v>
      </c>
      <c r="M375">
        <f>DOWNLOAD_2kLRbPnDtawQopEJ_UKtt22ud9U57gk8mqebZIeugNk[[#This Row],[Standard Value]]</f>
        <v>2100</v>
      </c>
      <c r="N375">
        <f>-LOG(DOWNLOAD_2kLRbPnDtawQopEJ_UKtt22ud9U57gk8mqebZIeugNk[[#This Row],[IC50]]*POWER(10, -9), 10)</f>
        <v>5.6777807052660796</v>
      </c>
      <c r="O375">
        <v>5.68</v>
      </c>
      <c r="P375" t="s">
        <v>48</v>
      </c>
      <c r="Q375">
        <v>302939</v>
      </c>
      <c r="R375" t="s">
        <v>127</v>
      </c>
      <c r="S375">
        <v>10.8</v>
      </c>
      <c r="T375">
        <v>0.2</v>
      </c>
      <c r="U375">
        <v>5.16</v>
      </c>
      <c r="V375">
        <v>3.53</v>
      </c>
      <c r="W375">
        <v>0</v>
      </c>
      <c r="X375" t="s">
        <v>251</v>
      </c>
      <c r="Y375" t="s">
        <v>252</v>
      </c>
      <c r="Z375" t="s">
        <v>58</v>
      </c>
      <c r="AA375" t="s">
        <v>59</v>
      </c>
      <c r="AB375" t="s">
        <v>60</v>
      </c>
      <c r="AC375" t="s">
        <v>61</v>
      </c>
      <c r="AD375" t="s">
        <v>49</v>
      </c>
      <c r="AE375" t="s">
        <v>49</v>
      </c>
      <c r="AF375" t="s">
        <v>49</v>
      </c>
      <c r="AG375" t="s">
        <v>49</v>
      </c>
      <c r="AH375" t="s">
        <v>48</v>
      </c>
      <c r="AI375" t="s">
        <v>48</v>
      </c>
      <c r="AJ375" t="s">
        <v>48</v>
      </c>
      <c r="AK375" t="s">
        <v>62</v>
      </c>
      <c r="AL375" t="s">
        <v>63</v>
      </c>
      <c r="AM375" t="s">
        <v>61</v>
      </c>
      <c r="AN375" t="s">
        <v>64</v>
      </c>
      <c r="AO375" t="s">
        <v>253</v>
      </c>
      <c r="AP375">
        <v>37</v>
      </c>
      <c r="AQ375" t="s">
        <v>254</v>
      </c>
      <c r="AR375" t="s">
        <v>48</v>
      </c>
      <c r="AS375">
        <v>2015</v>
      </c>
      <c r="AT375" t="s">
        <v>49</v>
      </c>
      <c r="AU375" t="s">
        <v>48</v>
      </c>
      <c r="AV375" t="s">
        <v>48</v>
      </c>
      <c r="AW375" t="s">
        <v>48</v>
      </c>
    </row>
    <row r="376" spans="1:49" x14ac:dyDescent="0.3">
      <c r="A376" t="s">
        <v>1213</v>
      </c>
      <c r="B376" t="s">
        <v>48</v>
      </c>
      <c r="C376" t="s">
        <v>49</v>
      </c>
      <c r="D376">
        <v>496.46</v>
      </c>
      <c r="E376">
        <v>0</v>
      </c>
      <c r="F376">
        <v>1.32</v>
      </c>
      <c r="G376" t="s">
        <v>1214</v>
      </c>
      <c r="H376" t="s">
        <v>1215</v>
      </c>
      <c r="I376" t="s">
        <v>52</v>
      </c>
      <c r="J376" t="s">
        <v>53</v>
      </c>
      <c r="K376">
        <v>900</v>
      </c>
      <c r="L376" t="s">
        <v>126</v>
      </c>
      <c r="M376">
        <f>DOWNLOAD_2kLRbPnDtawQopEJ_UKtt22ud9U57gk8mqebZIeugNk[[#This Row],[Standard Value]]</f>
        <v>900</v>
      </c>
      <c r="N376">
        <f>-LOG(DOWNLOAD_2kLRbPnDtawQopEJ_UKtt22ud9U57gk8mqebZIeugNk[[#This Row],[IC50]]*POWER(10, -9), 10)</f>
        <v>6.0457574905606748</v>
      </c>
      <c r="O376">
        <v>6.05</v>
      </c>
      <c r="P376" t="s">
        <v>48</v>
      </c>
      <c r="Q376">
        <v>302951</v>
      </c>
      <c r="R376" t="s">
        <v>127</v>
      </c>
      <c r="S376">
        <v>12.18</v>
      </c>
      <c r="T376">
        <v>0.23</v>
      </c>
      <c r="U376">
        <v>4.7300000000000004</v>
      </c>
      <c r="V376">
        <v>4.0599999999999996</v>
      </c>
      <c r="W376">
        <v>0</v>
      </c>
      <c r="X376" t="s">
        <v>251</v>
      </c>
      <c r="Y376" t="s">
        <v>252</v>
      </c>
      <c r="Z376" t="s">
        <v>58</v>
      </c>
      <c r="AA376" t="s">
        <v>59</v>
      </c>
      <c r="AB376" t="s">
        <v>60</v>
      </c>
      <c r="AC376" t="s">
        <v>61</v>
      </c>
      <c r="AD376" t="s">
        <v>49</v>
      </c>
      <c r="AE376" t="s">
        <v>49</v>
      </c>
      <c r="AF376" t="s">
        <v>49</v>
      </c>
      <c r="AG376" t="s">
        <v>49</v>
      </c>
      <c r="AH376" t="s">
        <v>48</v>
      </c>
      <c r="AI376" t="s">
        <v>48</v>
      </c>
      <c r="AJ376" t="s">
        <v>48</v>
      </c>
      <c r="AK376" t="s">
        <v>62</v>
      </c>
      <c r="AL376" t="s">
        <v>63</v>
      </c>
      <c r="AM376" t="s">
        <v>61</v>
      </c>
      <c r="AN376" t="s">
        <v>64</v>
      </c>
      <c r="AO376" t="s">
        <v>253</v>
      </c>
      <c r="AP376">
        <v>37</v>
      </c>
      <c r="AQ376" t="s">
        <v>254</v>
      </c>
      <c r="AR376" t="s">
        <v>48</v>
      </c>
      <c r="AS376">
        <v>2015</v>
      </c>
      <c r="AT376" t="s">
        <v>49</v>
      </c>
      <c r="AU376" t="s">
        <v>48</v>
      </c>
      <c r="AV376" t="s">
        <v>48</v>
      </c>
      <c r="AW376" t="s">
        <v>48</v>
      </c>
    </row>
    <row r="377" spans="1:49" x14ac:dyDescent="0.3">
      <c r="A377" t="s">
        <v>1216</v>
      </c>
      <c r="B377" t="s">
        <v>48</v>
      </c>
      <c r="C377" t="s">
        <v>49</v>
      </c>
      <c r="D377">
        <v>375.38</v>
      </c>
      <c r="E377">
        <v>0</v>
      </c>
      <c r="F377">
        <v>2.25</v>
      </c>
      <c r="G377" t="s">
        <v>1217</v>
      </c>
      <c r="H377" t="s">
        <v>1218</v>
      </c>
      <c r="I377" t="s">
        <v>52</v>
      </c>
      <c r="J377" t="s">
        <v>53</v>
      </c>
      <c r="K377">
        <v>6.3</v>
      </c>
      <c r="L377" t="s">
        <v>54</v>
      </c>
      <c r="M377">
        <f>DOWNLOAD_2kLRbPnDtawQopEJ_UKtt22ud9U57gk8mqebZIeugNk[[#This Row],[Standard Value]]/DOWNLOAD_2kLRbPnDtawQopEJ_UKtt22ud9U57gk8mqebZIeugNk[[#This Row],[Molecular Weight]]*1000*1000</f>
        <v>16782.993233523364</v>
      </c>
      <c r="N377">
        <f>-LOG(DOWNLOAD_2kLRbPnDtawQopEJ_UKtt22ud9U57gk8mqebZIeugNk[[#This Row],[IC50]]*POWER(10, -9), 10)</f>
        <v>4.7751305805232125</v>
      </c>
      <c r="P377" t="s">
        <v>48</v>
      </c>
      <c r="R377" t="s">
        <v>55</v>
      </c>
      <c r="W377">
        <v>0</v>
      </c>
      <c r="X377" t="s">
        <v>98</v>
      </c>
      <c r="Y377" t="s">
        <v>99</v>
      </c>
      <c r="Z377" t="s">
        <v>58</v>
      </c>
      <c r="AA377" t="s">
        <v>59</v>
      </c>
      <c r="AB377" t="s">
        <v>60</v>
      </c>
      <c r="AC377" t="s">
        <v>49</v>
      </c>
      <c r="AD377" t="s">
        <v>49</v>
      </c>
      <c r="AE377" t="s">
        <v>49</v>
      </c>
      <c r="AF377" t="s">
        <v>49</v>
      </c>
      <c r="AG377" t="s">
        <v>49</v>
      </c>
      <c r="AH377" t="s">
        <v>48</v>
      </c>
      <c r="AI377" t="s">
        <v>48</v>
      </c>
      <c r="AJ377" t="s">
        <v>48</v>
      </c>
      <c r="AK377" t="s">
        <v>62</v>
      </c>
      <c r="AL377" t="s">
        <v>63</v>
      </c>
      <c r="AM377" t="s">
        <v>61</v>
      </c>
      <c r="AN377" t="s">
        <v>64</v>
      </c>
      <c r="AO377" t="s">
        <v>100</v>
      </c>
      <c r="AP377">
        <v>1</v>
      </c>
      <c r="AQ377" t="s">
        <v>66</v>
      </c>
      <c r="AR377" t="s">
        <v>67</v>
      </c>
      <c r="AS377">
        <v>1991</v>
      </c>
      <c r="AT377" t="s">
        <v>49</v>
      </c>
      <c r="AU377" t="s">
        <v>48</v>
      </c>
      <c r="AV377" t="s">
        <v>48</v>
      </c>
      <c r="AW377" t="s">
        <v>48</v>
      </c>
    </row>
    <row r="378" spans="1:49" x14ac:dyDescent="0.3">
      <c r="A378" t="s">
        <v>1219</v>
      </c>
      <c r="B378" t="s">
        <v>48</v>
      </c>
      <c r="C378" t="s">
        <v>49</v>
      </c>
      <c r="D378">
        <v>498.39</v>
      </c>
      <c r="E378">
        <v>0</v>
      </c>
      <c r="F378">
        <v>4.96</v>
      </c>
      <c r="G378" t="s">
        <v>1220</v>
      </c>
      <c r="H378" t="s">
        <v>1221</v>
      </c>
      <c r="I378" t="s">
        <v>52</v>
      </c>
      <c r="J378" t="s">
        <v>53</v>
      </c>
      <c r="K378">
        <v>29</v>
      </c>
      <c r="L378" t="s">
        <v>126</v>
      </c>
      <c r="M378">
        <f>DOWNLOAD_2kLRbPnDtawQopEJ_UKtt22ud9U57gk8mqebZIeugNk[[#This Row],[Standard Value]]</f>
        <v>29</v>
      </c>
      <c r="N378">
        <f>-LOG(DOWNLOAD_2kLRbPnDtawQopEJ_UKtt22ud9U57gk8mqebZIeugNk[[#This Row],[IC50]]*POWER(10, -9), 10)</f>
        <v>7.5376020021010426</v>
      </c>
      <c r="O378">
        <v>7.54</v>
      </c>
      <c r="P378" t="s">
        <v>48</v>
      </c>
      <c r="R378" t="s">
        <v>127</v>
      </c>
      <c r="S378">
        <v>15.12</v>
      </c>
      <c r="T378">
        <v>0.32</v>
      </c>
      <c r="U378">
        <v>2.58</v>
      </c>
      <c r="V378">
        <v>6.02</v>
      </c>
      <c r="W378">
        <v>0</v>
      </c>
      <c r="X378" t="s">
        <v>684</v>
      </c>
      <c r="Y378" t="s">
        <v>327</v>
      </c>
      <c r="Z378" t="s">
        <v>58</v>
      </c>
      <c r="AA378" t="s">
        <v>59</v>
      </c>
      <c r="AB378" t="s">
        <v>60</v>
      </c>
      <c r="AC378" t="s">
        <v>61</v>
      </c>
      <c r="AD378" t="s">
        <v>49</v>
      </c>
      <c r="AE378" t="s">
        <v>49</v>
      </c>
      <c r="AF378" t="s">
        <v>49</v>
      </c>
      <c r="AG378" t="s">
        <v>49</v>
      </c>
      <c r="AH378" t="s">
        <v>48</v>
      </c>
      <c r="AI378" t="s">
        <v>48</v>
      </c>
      <c r="AJ378" t="s">
        <v>48</v>
      </c>
      <c r="AK378" t="s">
        <v>62</v>
      </c>
      <c r="AL378" t="s">
        <v>63</v>
      </c>
      <c r="AM378" t="s">
        <v>61</v>
      </c>
      <c r="AN378" t="s">
        <v>64</v>
      </c>
      <c r="AO378" t="s">
        <v>685</v>
      </c>
      <c r="AP378">
        <v>1</v>
      </c>
      <c r="AQ378" t="s">
        <v>66</v>
      </c>
      <c r="AR378" t="s">
        <v>686</v>
      </c>
      <c r="AS378">
        <v>2020</v>
      </c>
      <c r="AT378" t="s">
        <v>49</v>
      </c>
      <c r="AU378" t="s">
        <v>299</v>
      </c>
      <c r="AV378" t="s">
        <v>269</v>
      </c>
      <c r="AW378" t="s">
        <v>48</v>
      </c>
    </row>
    <row r="379" spans="1:49" x14ac:dyDescent="0.3">
      <c r="A379" t="s">
        <v>902</v>
      </c>
      <c r="B379" t="s">
        <v>48</v>
      </c>
      <c r="C379" t="s">
        <v>49</v>
      </c>
      <c r="D379">
        <v>360.39</v>
      </c>
      <c r="E379">
        <v>0</v>
      </c>
      <c r="F379">
        <v>1.74</v>
      </c>
      <c r="G379" t="s">
        <v>1222</v>
      </c>
      <c r="H379" t="s">
        <v>904</v>
      </c>
      <c r="I379" t="s">
        <v>52</v>
      </c>
      <c r="J379" t="s">
        <v>53</v>
      </c>
      <c r="K379">
        <v>0.75</v>
      </c>
      <c r="L379" t="s">
        <v>54</v>
      </c>
      <c r="M379">
        <f>DOWNLOAD_2kLRbPnDtawQopEJ_UKtt22ud9U57gk8mqebZIeugNk[[#This Row],[Standard Value]]/DOWNLOAD_2kLRbPnDtawQopEJ_UKtt22ud9U57gk8mqebZIeugNk[[#This Row],[Molecular Weight]]*1000*1000</f>
        <v>2081.0788312661284</v>
      </c>
      <c r="N379">
        <f>-LOG(DOWNLOAD_2kLRbPnDtawQopEJ_UKtt22ud9U57gk8mqebZIeugNk[[#This Row],[IC50]]*POWER(10, -9), 10)</f>
        <v>5.6817114684018071</v>
      </c>
      <c r="P379" t="s">
        <v>48</v>
      </c>
      <c r="R379" t="s">
        <v>55</v>
      </c>
      <c r="W379">
        <v>0</v>
      </c>
      <c r="X379" t="s">
        <v>80</v>
      </c>
      <c r="Y379" t="s">
        <v>81</v>
      </c>
      <c r="Z379" t="s">
        <v>58</v>
      </c>
      <c r="AA379" t="s">
        <v>59</v>
      </c>
      <c r="AB379" t="s">
        <v>60</v>
      </c>
      <c r="AC379" t="s">
        <v>61</v>
      </c>
      <c r="AD379" t="s">
        <v>49</v>
      </c>
      <c r="AE379" t="s">
        <v>49</v>
      </c>
      <c r="AF379" t="s">
        <v>49</v>
      </c>
      <c r="AG379" t="s">
        <v>49</v>
      </c>
      <c r="AH379" t="s">
        <v>48</v>
      </c>
      <c r="AI379" t="s">
        <v>48</v>
      </c>
      <c r="AJ379" t="s">
        <v>48</v>
      </c>
      <c r="AK379" t="s">
        <v>62</v>
      </c>
      <c r="AL379" t="s">
        <v>63</v>
      </c>
      <c r="AM379" t="s">
        <v>61</v>
      </c>
      <c r="AN379" t="s">
        <v>64</v>
      </c>
      <c r="AO379" t="s">
        <v>82</v>
      </c>
      <c r="AP379">
        <v>1</v>
      </c>
      <c r="AQ379" t="s">
        <v>66</v>
      </c>
      <c r="AR379" t="s">
        <v>67</v>
      </c>
      <c r="AS379">
        <v>1993</v>
      </c>
      <c r="AT379" t="s">
        <v>49</v>
      </c>
      <c r="AU379" t="s">
        <v>48</v>
      </c>
      <c r="AV379" t="s">
        <v>48</v>
      </c>
      <c r="AW379" t="s">
        <v>48</v>
      </c>
    </row>
    <row r="380" spans="1:49" x14ac:dyDescent="0.3">
      <c r="A380" t="s">
        <v>1223</v>
      </c>
      <c r="B380" t="s">
        <v>48</v>
      </c>
      <c r="C380" t="s">
        <v>49</v>
      </c>
      <c r="D380">
        <v>346.36</v>
      </c>
      <c r="E380">
        <v>0</v>
      </c>
      <c r="F380">
        <v>1.5</v>
      </c>
      <c r="G380" t="s">
        <v>1224</v>
      </c>
      <c r="H380" t="s">
        <v>1225</v>
      </c>
      <c r="I380" t="s">
        <v>52</v>
      </c>
      <c r="J380" t="s">
        <v>53</v>
      </c>
      <c r="K380">
        <v>1.6</v>
      </c>
      <c r="L380" t="s">
        <v>54</v>
      </c>
      <c r="M380">
        <f>DOWNLOAD_2kLRbPnDtawQopEJ_UKtt22ud9U57gk8mqebZIeugNk[[#This Row],[Standard Value]]/DOWNLOAD_2kLRbPnDtawQopEJ_UKtt22ud9U57gk8mqebZIeugNk[[#This Row],[Molecular Weight]]*1000*1000</f>
        <v>4619.4710705624211</v>
      </c>
      <c r="N380">
        <f>-LOG(DOWNLOAD_2kLRbPnDtawQopEJ_UKtt22ud9U57gk8mqebZIeugNk[[#This Row],[IC50]]*POWER(10, -9), 10)</f>
        <v>5.335407748315415</v>
      </c>
      <c r="P380" t="s">
        <v>48</v>
      </c>
      <c r="R380" t="s">
        <v>55</v>
      </c>
      <c r="W380">
        <v>0</v>
      </c>
      <c r="X380" t="s">
        <v>372</v>
      </c>
      <c r="Y380" t="s">
        <v>373</v>
      </c>
      <c r="Z380" t="s">
        <v>58</v>
      </c>
      <c r="AA380" t="s">
        <v>59</v>
      </c>
      <c r="AB380" t="s">
        <v>60</v>
      </c>
      <c r="AC380" t="s">
        <v>61</v>
      </c>
      <c r="AD380" t="s">
        <v>49</v>
      </c>
      <c r="AE380" t="s">
        <v>49</v>
      </c>
      <c r="AF380" t="s">
        <v>49</v>
      </c>
      <c r="AG380" t="s">
        <v>49</v>
      </c>
      <c r="AH380" t="s">
        <v>48</v>
      </c>
      <c r="AI380" t="s">
        <v>48</v>
      </c>
      <c r="AJ380" t="s">
        <v>48</v>
      </c>
      <c r="AK380" t="s">
        <v>62</v>
      </c>
      <c r="AL380" t="s">
        <v>63</v>
      </c>
      <c r="AM380" t="s">
        <v>61</v>
      </c>
      <c r="AN380" t="s">
        <v>64</v>
      </c>
      <c r="AO380" t="s">
        <v>94</v>
      </c>
      <c r="AP380">
        <v>1</v>
      </c>
      <c r="AQ380" t="s">
        <v>66</v>
      </c>
      <c r="AR380" t="s">
        <v>67</v>
      </c>
      <c r="AS380">
        <v>2003</v>
      </c>
      <c r="AT380" t="s">
        <v>49</v>
      </c>
      <c r="AU380" t="s">
        <v>48</v>
      </c>
      <c r="AV380" t="s">
        <v>48</v>
      </c>
      <c r="AW380" t="s">
        <v>48</v>
      </c>
    </row>
    <row r="381" spans="1:49" x14ac:dyDescent="0.3">
      <c r="A381" t="s">
        <v>749</v>
      </c>
      <c r="B381" t="s">
        <v>48</v>
      </c>
      <c r="C381" t="s">
        <v>49</v>
      </c>
      <c r="D381">
        <v>431.38</v>
      </c>
      <c r="E381">
        <v>0</v>
      </c>
      <c r="F381">
        <v>-0.04</v>
      </c>
      <c r="G381" t="s">
        <v>750</v>
      </c>
      <c r="H381" t="s">
        <v>751</v>
      </c>
      <c r="I381" t="s">
        <v>52</v>
      </c>
      <c r="J381" t="s">
        <v>53</v>
      </c>
      <c r="K381">
        <v>300</v>
      </c>
      <c r="L381" t="s">
        <v>126</v>
      </c>
      <c r="M381">
        <f>DOWNLOAD_2kLRbPnDtawQopEJ_UKtt22ud9U57gk8mqebZIeugNk[[#This Row],[Standard Value]]</f>
        <v>300</v>
      </c>
      <c r="N381">
        <f>-LOG(DOWNLOAD_2kLRbPnDtawQopEJ_UKtt22ud9U57gk8mqebZIeugNk[[#This Row],[IC50]]*POWER(10, -9), 10)</f>
        <v>6.5228787452803365</v>
      </c>
      <c r="O381">
        <v>6.52</v>
      </c>
      <c r="P381" t="s">
        <v>48</v>
      </c>
      <c r="Q381">
        <v>302915</v>
      </c>
      <c r="R381" t="s">
        <v>127</v>
      </c>
      <c r="S381">
        <v>15.12</v>
      </c>
      <c r="T381">
        <v>0.28999999999999998</v>
      </c>
      <c r="U381">
        <v>6.56</v>
      </c>
      <c r="V381">
        <v>4.16</v>
      </c>
      <c r="W381">
        <v>0</v>
      </c>
      <c r="X381" t="s">
        <v>251</v>
      </c>
      <c r="Y381" t="s">
        <v>252</v>
      </c>
      <c r="Z381" t="s">
        <v>58</v>
      </c>
      <c r="AA381" t="s">
        <v>59</v>
      </c>
      <c r="AB381" t="s">
        <v>60</v>
      </c>
      <c r="AC381" t="s">
        <v>61</v>
      </c>
      <c r="AD381" t="s">
        <v>49</v>
      </c>
      <c r="AE381" t="s">
        <v>49</v>
      </c>
      <c r="AF381" t="s">
        <v>49</v>
      </c>
      <c r="AG381" t="s">
        <v>49</v>
      </c>
      <c r="AH381" t="s">
        <v>48</v>
      </c>
      <c r="AI381" t="s">
        <v>48</v>
      </c>
      <c r="AJ381" t="s">
        <v>48</v>
      </c>
      <c r="AK381" t="s">
        <v>62</v>
      </c>
      <c r="AL381" t="s">
        <v>63</v>
      </c>
      <c r="AM381" t="s">
        <v>61</v>
      </c>
      <c r="AN381" t="s">
        <v>64</v>
      </c>
      <c r="AO381" t="s">
        <v>253</v>
      </c>
      <c r="AP381">
        <v>37</v>
      </c>
      <c r="AQ381" t="s">
        <v>254</v>
      </c>
      <c r="AR381" t="s">
        <v>48</v>
      </c>
      <c r="AS381">
        <v>2015</v>
      </c>
      <c r="AT381" t="s">
        <v>49</v>
      </c>
      <c r="AU381" t="s">
        <v>48</v>
      </c>
      <c r="AV381" t="s">
        <v>48</v>
      </c>
      <c r="AW381" t="s">
        <v>48</v>
      </c>
    </row>
    <row r="382" spans="1:49" x14ac:dyDescent="0.3">
      <c r="A382" t="s">
        <v>1226</v>
      </c>
      <c r="B382" t="s">
        <v>48</v>
      </c>
      <c r="C382" t="s">
        <v>49</v>
      </c>
      <c r="D382">
        <v>466.43</v>
      </c>
      <c r="E382">
        <v>0</v>
      </c>
      <c r="F382">
        <v>1.31</v>
      </c>
      <c r="G382" t="s">
        <v>1227</v>
      </c>
      <c r="H382" t="s">
        <v>1228</v>
      </c>
      <c r="I382" t="s">
        <v>52</v>
      </c>
      <c r="J382" t="s">
        <v>53</v>
      </c>
      <c r="K382">
        <v>83000</v>
      </c>
      <c r="L382" t="s">
        <v>126</v>
      </c>
      <c r="M382">
        <f>DOWNLOAD_2kLRbPnDtawQopEJ_UKtt22ud9U57gk8mqebZIeugNk[[#This Row],[Standard Value]]</f>
        <v>83000</v>
      </c>
      <c r="N382">
        <f>-LOG(DOWNLOAD_2kLRbPnDtawQopEJ_UKtt22ud9U57gk8mqebZIeugNk[[#This Row],[IC50]]*POWER(10, -9), 10)</f>
        <v>4.0809219076239254</v>
      </c>
      <c r="O382">
        <v>4.08</v>
      </c>
      <c r="P382" t="s">
        <v>48</v>
      </c>
      <c r="Q382">
        <v>302924</v>
      </c>
      <c r="R382" t="s">
        <v>127</v>
      </c>
      <c r="S382">
        <v>8.75</v>
      </c>
      <c r="T382">
        <v>0.16</v>
      </c>
      <c r="U382">
        <v>2.77</v>
      </c>
      <c r="V382">
        <v>2.92</v>
      </c>
      <c r="W382">
        <v>0</v>
      </c>
      <c r="X382" t="s">
        <v>251</v>
      </c>
      <c r="Y382" t="s">
        <v>252</v>
      </c>
      <c r="Z382" t="s">
        <v>58</v>
      </c>
      <c r="AA382" t="s">
        <v>59</v>
      </c>
      <c r="AB382" t="s">
        <v>60</v>
      </c>
      <c r="AC382" t="s">
        <v>61</v>
      </c>
      <c r="AD382" t="s">
        <v>49</v>
      </c>
      <c r="AE382" t="s">
        <v>49</v>
      </c>
      <c r="AF382" t="s">
        <v>49</v>
      </c>
      <c r="AG382" t="s">
        <v>49</v>
      </c>
      <c r="AH382" t="s">
        <v>48</v>
      </c>
      <c r="AI382" t="s">
        <v>48</v>
      </c>
      <c r="AJ382" t="s">
        <v>48</v>
      </c>
      <c r="AK382" t="s">
        <v>62</v>
      </c>
      <c r="AL382" t="s">
        <v>63</v>
      </c>
      <c r="AM382" t="s">
        <v>61</v>
      </c>
      <c r="AN382" t="s">
        <v>64</v>
      </c>
      <c r="AO382" t="s">
        <v>253</v>
      </c>
      <c r="AP382">
        <v>37</v>
      </c>
      <c r="AQ382" t="s">
        <v>254</v>
      </c>
      <c r="AR382" t="s">
        <v>48</v>
      </c>
      <c r="AS382">
        <v>2015</v>
      </c>
      <c r="AT382" t="s">
        <v>49</v>
      </c>
      <c r="AU382" t="s">
        <v>48</v>
      </c>
      <c r="AV382" t="s">
        <v>48</v>
      </c>
      <c r="AW382" t="s">
        <v>48</v>
      </c>
    </row>
    <row r="383" spans="1:49" x14ac:dyDescent="0.3">
      <c r="A383" t="s">
        <v>1229</v>
      </c>
      <c r="B383" t="s">
        <v>48</v>
      </c>
      <c r="C383" t="s">
        <v>49</v>
      </c>
      <c r="D383">
        <v>761.86</v>
      </c>
      <c r="E383">
        <v>2</v>
      </c>
      <c r="F383">
        <v>0.54</v>
      </c>
      <c r="G383" t="s">
        <v>1175</v>
      </c>
      <c r="H383" t="s">
        <v>1230</v>
      </c>
      <c r="I383" t="s">
        <v>52</v>
      </c>
      <c r="J383" t="s">
        <v>53</v>
      </c>
      <c r="K383">
        <v>9000</v>
      </c>
      <c r="L383" t="s">
        <v>126</v>
      </c>
      <c r="M383">
        <f>DOWNLOAD_2kLRbPnDtawQopEJ_UKtt22ud9U57gk8mqebZIeugNk[[#This Row],[Standard Value]]</f>
        <v>9000</v>
      </c>
      <c r="N383">
        <f>-LOG(DOWNLOAD_2kLRbPnDtawQopEJ_UKtt22ud9U57gk8mqebZIeugNk[[#This Row],[IC50]]*POWER(10, -9), 10)</f>
        <v>5.0457574905606748</v>
      </c>
      <c r="O383">
        <v>5.05</v>
      </c>
      <c r="P383" t="s">
        <v>48</v>
      </c>
      <c r="R383" t="s">
        <v>127</v>
      </c>
      <c r="S383">
        <v>6.62</v>
      </c>
      <c r="T383">
        <v>0.13</v>
      </c>
      <c r="U383">
        <v>4.51</v>
      </c>
      <c r="V383">
        <v>2.37</v>
      </c>
      <c r="W383">
        <v>0</v>
      </c>
      <c r="X383" t="s">
        <v>926</v>
      </c>
      <c r="Y383" t="s">
        <v>927</v>
      </c>
      <c r="Z383" t="s">
        <v>58</v>
      </c>
      <c r="AA383" t="s">
        <v>59</v>
      </c>
      <c r="AB383" t="s">
        <v>60</v>
      </c>
      <c r="AC383" t="s">
        <v>61</v>
      </c>
      <c r="AD383" t="s">
        <v>49</v>
      </c>
      <c r="AE383" t="s">
        <v>49</v>
      </c>
      <c r="AF383" t="s">
        <v>49</v>
      </c>
      <c r="AG383" t="s">
        <v>49</v>
      </c>
      <c r="AH383" t="s">
        <v>48</v>
      </c>
      <c r="AI383" t="s">
        <v>48</v>
      </c>
      <c r="AJ383" t="s">
        <v>48</v>
      </c>
      <c r="AK383" t="s">
        <v>62</v>
      </c>
      <c r="AL383" t="s">
        <v>63</v>
      </c>
      <c r="AM383" t="s">
        <v>61</v>
      </c>
      <c r="AN383" t="s">
        <v>64</v>
      </c>
      <c r="AO383" t="s">
        <v>928</v>
      </c>
      <c r="AP383">
        <v>1</v>
      </c>
      <c r="AQ383" t="s">
        <v>66</v>
      </c>
      <c r="AR383" t="s">
        <v>67</v>
      </c>
      <c r="AS383">
        <v>2020</v>
      </c>
      <c r="AT383" t="s">
        <v>49</v>
      </c>
      <c r="AU383" t="s">
        <v>299</v>
      </c>
      <c r="AV383" t="s">
        <v>269</v>
      </c>
      <c r="AW383" t="s">
        <v>48</v>
      </c>
    </row>
    <row r="384" spans="1:49" x14ac:dyDescent="0.3">
      <c r="A384" t="s">
        <v>1231</v>
      </c>
      <c r="B384" t="s">
        <v>48</v>
      </c>
      <c r="C384" t="s">
        <v>49</v>
      </c>
      <c r="D384">
        <v>320.33</v>
      </c>
      <c r="E384">
        <v>0</v>
      </c>
      <c r="F384">
        <v>3.19</v>
      </c>
      <c r="G384" t="s">
        <v>410</v>
      </c>
      <c r="H384" t="s">
        <v>1232</v>
      </c>
      <c r="I384" t="s">
        <v>52</v>
      </c>
      <c r="J384" t="s">
        <v>53</v>
      </c>
      <c r="K384">
        <v>2500</v>
      </c>
      <c r="L384" t="s">
        <v>126</v>
      </c>
      <c r="M384">
        <f>DOWNLOAD_2kLRbPnDtawQopEJ_UKtt22ud9U57gk8mqebZIeugNk[[#This Row],[Standard Value]]</f>
        <v>2500</v>
      </c>
      <c r="N384">
        <f>-LOG(DOWNLOAD_2kLRbPnDtawQopEJ_UKtt22ud9U57gk8mqebZIeugNk[[#This Row],[IC50]]*POWER(10, -9), 10)</f>
        <v>5.6020599913279616</v>
      </c>
      <c r="O384">
        <v>5.6</v>
      </c>
      <c r="P384" t="s">
        <v>48</v>
      </c>
      <c r="R384" t="s">
        <v>127</v>
      </c>
      <c r="S384">
        <v>17.489999999999998</v>
      </c>
      <c r="T384">
        <v>0.32</v>
      </c>
      <c r="U384">
        <v>2.41</v>
      </c>
      <c r="V384">
        <v>10.73</v>
      </c>
      <c r="W384">
        <v>0</v>
      </c>
      <c r="X384" t="s">
        <v>740</v>
      </c>
      <c r="Y384" t="s">
        <v>741</v>
      </c>
      <c r="Z384" t="s">
        <v>58</v>
      </c>
      <c r="AA384" t="s">
        <v>59</v>
      </c>
      <c r="AB384" t="s">
        <v>60</v>
      </c>
      <c r="AC384" t="s">
        <v>61</v>
      </c>
      <c r="AD384" t="s">
        <v>49</v>
      </c>
      <c r="AE384" t="s">
        <v>49</v>
      </c>
      <c r="AF384" t="s">
        <v>49</v>
      </c>
      <c r="AG384" t="s">
        <v>49</v>
      </c>
      <c r="AH384" t="s">
        <v>48</v>
      </c>
      <c r="AI384" t="s">
        <v>48</v>
      </c>
      <c r="AJ384" t="s">
        <v>48</v>
      </c>
      <c r="AK384" t="s">
        <v>62</v>
      </c>
      <c r="AL384" t="s">
        <v>63</v>
      </c>
      <c r="AM384" t="s">
        <v>61</v>
      </c>
      <c r="AN384" t="s">
        <v>64</v>
      </c>
      <c r="AO384" t="s">
        <v>742</v>
      </c>
      <c r="AP384">
        <v>1</v>
      </c>
      <c r="AQ384" t="s">
        <v>66</v>
      </c>
      <c r="AR384" t="s">
        <v>67</v>
      </c>
      <c r="AS384">
        <v>2018</v>
      </c>
      <c r="AT384" t="s">
        <v>49</v>
      </c>
      <c r="AU384" t="s">
        <v>48</v>
      </c>
      <c r="AV384" t="s">
        <v>48</v>
      </c>
      <c r="AW384" t="s">
        <v>48</v>
      </c>
    </row>
    <row r="385" spans="1:49" x14ac:dyDescent="0.3">
      <c r="A385" t="s">
        <v>1233</v>
      </c>
      <c r="B385" t="s">
        <v>48</v>
      </c>
      <c r="C385" t="s">
        <v>49</v>
      </c>
      <c r="D385">
        <v>383.26</v>
      </c>
      <c r="E385">
        <v>0</v>
      </c>
      <c r="F385">
        <v>4.45</v>
      </c>
      <c r="G385" t="s">
        <v>1234</v>
      </c>
      <c r="H385" t="s">
        <v>1235</v>
      </c>
      <c r="I385" t="s">
        <v>52</v>
      </c>
      <c r="J385" t="s">
        <v>53</v>
      </c>
      <c r="K385">
        <v>9.5</v>
      </c>
      <c r="L385" t="s">
        <v>126</v>
      </c>
      <c r="M385">
        <f>DOWNLOAD_2kLRbPnDtawQopEJ_UKtt22ud9U57gk8mqebZIeugNk[[#This Row],[Standard Value]]</f>
        <v>9.5</v>
      </c>
      <c r="N385">
        <f>-LOG(DOWNLOAD_2kLRbPnDtawQopEJ_UKtt22ud9U57gk8mqebZIeugNk[[#This Row],[IC50]]*POWER(10, -9), 10)</f>
        <v>8.0222763947111506</v>
      </c>
      <c r="O385">
        <v>8.02</v>
      </c>
      <c r="P385" t="s">
        <v>48</v>
      </c>
      <c r="R385" t="s">
        <v>127</v>
      </c>
      <c r="S385">
        <v>20.93</v>
      </c>
      <c r="T385">
        <v>0.46</v>
      </c>
      <c r="U385">
        <v>3.57</v>
      </c>
      <c r="V385">
        <v>9.23</v>
      </c>
      <c r="W385">
        <v>0</v>
      </c>
      <c r="X385" t="s">
        <v>684</v>
      </c>
      <c r="Y385" t="s">
        <v>327</v>
      </c>
      <c r="Z385" t="s">
        <v>58</v>
      </c>
      <c r="AA385" t="s">
        <v>59</v>
      </c>
      <c r="AB385" t="s">
        <v>60</v>
      </c>
      <c r="AC385" t="s">
        <v>61</v>
      </c>
      <c r="AD385" t="s">
        <v>49</v>
      </c>
      <c r="AE385" t="s">
        <v>49</v>
      </c>
      <c r="AF385" t="s">
        <v>49</v>
      </c>
      <c r="AG385" t="s">
        <v>49</v>
      </c>
      <c r="AH385" t="s">
        <v>48</v>
      </c>
      <c r="AI385" t="s">
        <v>48</v>
      </c>
      <c r="AJ385" t="s">
        <v>48</v>
      </c>
      <c r="AK385" t="s">
        <v>62</v>
      </c>
      <c r="AL385" t="s">
        <v>63</v>
      </c>
      <c r="AM385" t="s">
        <v>61</v>
      </c>
      <c r="AN385" t="s">
        <v>64</v>
      </c>
      <c r="AO385" t="s">
        <v>685</v>
      </c>
      <c r="AP385">
        <v>1</v>
      </c>
      <c r="AQ385" t="s">
        <v>66</v>
      </c>
      <c r="AR385" t="s">
        <v>686</v>
      </c>
      <c r="AS385">
        <v>2020</v>
      </c>
      <c r="AT385" t="s">
        <v>49</v>
      </c>
      <c r="AU385" t="s">
        <v>299</v>
      </c>
      <c r="AV385" t="s">
        <v>269</v>
      </c>
      <c r="AW385" t="s">
        <v>48</v>
      </c>
    </row>
    <row r="386" spans="1:49" x14ac:dyDescent="0.3">
      <c r="A386" t="s">
        <v>1236</v>
      </c>
      <c r="B386" t="s">
        <v>48</v>
      </c>
      <c r="C386" t="s">
        <v>49</v>
      </c>
      <c r="D386">
        <v>583.47</v>
      </c>
      <c r="E386">
        <v>1</v>
      </c>
      <c r="F386">
        <v>4.8600000000000003</v>
      </c>
      <c r="G386" t="s">
        <v>677</v>
      </c>
      <c r="H386" t="s">
        <v>1237</v>
      </c>
      <c r="I386" t="s">
        <v>52</v>
      </c>
      <c r="J386" t="s">
        <v>53</v>
      </c>
      <c r="K386">
        <v>80</v>
      </c>
      <c r="L386" t="s">
        <v>126</v>
      </c>
      <c r="M386">
        <f>DOWNLOAD_2kLRbPnDtawQopEJ_UKtt22ud9U57gk8mqebZIeugNk[[#This Row],[Standard Value]]</f>
        <v>80</v>
      </c>
      <c r="N386">
        <f>-LOG(DOWNLOAD_2kLRbPnDtawQopEJ_UKtt22ud9U57gk8mqebZIeugNk[[#This Row],[IC50]]*POWER(10, -9), 10)</f>
        <v>7.0969100130080554</v>
      </c>
      <c r="O386">
        <v>7.1</v>
      </c>
      <c r="P386" t="s">
        <v>48</v>
      </c>
      <c r="R386" t="s">
        <v>127</v>
      </c>
      <c r="S386">
        <v>12.16</v>
      </c>
      <c r="T386">
        <v>0.25</v>
      </c>
      <c r="U386">
        <v>2.2400000000000002</v>
      </c>
      <c r="V386">
        <v>4.7300000000000004</v>
      </c>
      <c r="W386">
        <v>0</v>
      </c>
      <c r="X386" t="s">
        <v>716</v>
      </c>
      <c r="Y386" t="s">
        <v>717</v>
      </c>
      <c r="Z386" t="s">
        <v>58</v>
      </c>
      <c r="AA386" t="s">
        <v>59</v>
      </c>
      <c r="AB386" t="s">
        <v>60</v>
      </c>
      <c r="AC386" t="s">
        <v>61</v>
      </c>
      <c r="AD386" t="s">
        <v>49</v>
      </c>
      <c r="AE386" t="s">
        <v>49</v>
      </c>
      <c r="AF386" t="s">
        <v>49</v>
      </c>
      <c r="AG386" t="s">
        <v>49</v>
      </c>
      <c r="AH386" t="s">
        <v>48</v>
      </c>
      <c r="AI386" t="s">
        <v>48</v>
      </c>
      <c r="AJ386" t="s">
        <v>48</v>
      </c>
      <c r="AK386" t="s">
        <v>62</v>
      </c>
      <c r="AL386" t="s">
        <v>63</v>
      </c>
      <c r="AM386" t="s">
        <v>61</v>
      </c>
      <c r="AN386" t="s">
        <v>64</v>
      </c>
      <c r="AO386" t="s">
        <v>718</v>
      </c>
      <c r="AP386">
        <v>1</v>
      </c>
      <c r="AQ386" t="s">
        <v>66</v>
      </c>
      <c r="AR386" t="s">
        <v>131</v>
      </c>
      <c r="AS386">
        <v>2019</v>
      </c>
      <c r="AT386" t="s">
        <v>49</v>
      </c>
      <c r="AU386" t="s">
        <v>299</v>
      </c>
      <c r="AV386" t="s">
        <v>269</v>
      </c>
      <c r="AW386" t="s">
        <v>48</v>
      </c>
    </row>
    <row r="387" spans="1:49" x14ac:dyDescent="0.3">
      <c r="A387" t="s">
        <v>1238</v>
      </c>
      <c r="B387" t="s">
        <v>48</v>
      </c>
      <c r="C387" t="s">
        <v>49</v>
      </c>
      <c r="D387">
        <v>470.31</v>
      </c>
      <c r="E387">
        <v>0</v>
      </c>
      <c r="F387">
        <v>3.11</v>
      </c>
      <c r="G387" t="s">
        <v>1239</v>
      </c>
      <c r="H387" t="s">
        <v>1240</v>
      </c>
      <c r="I387" t="s">
        <v>52</v>
      </c>
      <c r="J387" t="s">
        <v>53</v>
      </c>
      <c r="K387">
        <v>7700</v>
      </c>
      <c r="L387" t="s">
        <v>126</v>
      </c>
      <c r="M387">
        <f>DOWNLOAD_2kLRbPnDtawQopEJ_UKtt22ud9U57gk8mqebZIeugNk[[#This Row],[Standard Value]]</f>
        <v>7700</v>
      </c>
      <c r="N387">
        <f>-LOG(DOWNLOAD_2kLRbPnDtawQopEJ_UKtt22ud9U57gk8mqebZIeugNk[[#This Row],[IC50]]*POWER(10, -9), 10)</f>
        <v>5.1135092748275177</v>
      </c>
      <c r="O387">
        <v>5.1100000000000003</v>
      </c>
      <c r="P387" t="s">
        <v>48</v>
      </c>
      <c r="R387" t="s">
        <v>127</v>
      </c>
      <c r="S387">
        <v>10.87</v>
      </c>
      <c r="T387">
        <v>0.23</v>
      </c>
      <c r="U387">
        <v>2</v>
      </c>
      <c r="V387">
        <v>4.04</v>
      </c>
      <c r="W387">
        <v>0</v>
      </c>
      <c r="X387" t="s">
        <v>716</v>
      </c>
      <c r="Y387" t="s">
        <v>717</v>
      </c>
      <c r="Z387" t="s">
        <v>58</v>
      </c>
      <c r="AA387" t="s">
        <v>59</v>
      </c>
      <c r="AB387" t="s">
        <v>60</v>
      </c>
      <c r="AC387" t="s">
        <v>61</v>
      </c>
      <c r="AD387" t="s">
        <v>49</v>
      </c>
      <c r="AE387" t="s">
        <v>49</v>
      </c>
      <c r="AF387" t="s">
        <v>49</v>
      </c>
      <c r="AG387" t="s">
        <v>49</v>
      </c>
      <c r="AH387" t="s">
        <v>48</v>
      </c>
      <c r="AI387" t="s">
        <v>48</v>
      </c>
      <c r="AJ387" t="s">
        <v>48</v>
      </c>
      <c r="AK387" t="s">
        <v>62</v>
      </c>
      <c r="AL387" t="s">
        <v>63</v>
      </c>
      <c r="AM387" t="s">
        <v>61</v>
      </c>
      <c r="AN387" t="s">
        <v>64</v>
      </c>
      <c r="AO387" t="s">
        <v>718</v>
      </c>
      <c r="AP387">
        <v>1</v>
      </c>
      <c r="AQ387" t="s">
        <v>66</v>
      </c>
      <c r="AR387" t="s">
        <v>131</v>
      </c>
      <c r="AS387">
        <v>2019</v>
      </c>
      <c r="AT387" t="s">
        <v>49</v>
      </c>
      <c r="AU387" t="s">
        <v>299</v>
      </c>
      <c r="AV387" t="s">
        <v>269</v>
      </c>
      <c r="AW387" t="s">
        <v>48</v>
      </c>
    </row>
    <row r="388" spans="1:49" x14ac:dyDescent="0.3">
      <c r="A388" t="s">
        <v>1241</v>
      </c>
      <c r="B388" t="s">
        <v>1242</v>
      </c>
      <c r="C388" t="s">
        <v>305</v>
      </c>
      <c r="D388">
        <v>300.29000000000002</v>
      </c>
      <c r="E388">
        <v>0</v>
      </c>
      <c r="F388">
        <v>2.65</v>
      </c>
      <c r="G388" t="s">
        <v>1243</v>
      </c>
      <c r="H388" t="s">
        <v>1244</v>
      </c>
      <c r="I388" t="s">
        <v>52</v>
      </c>
      <c r="J388" t="s">
        <v>53</v>
      </c>
      <c r="K388">
        <v>28</v>
      </c>
      <c r="L388" t="s">
        <v>54</v>
      </c>
      <c r="M388">
        <f>DOWNLOAD_2kLRbPnDtawQopEJ_UKtt22ud9U57gk8mqebZIeugNk[[#This Row],[Standard Value]]/DOWNLOAD_2kLRbPnDtawQopEJ_UKtt22ud9U57gk8mqebZIeugNk[[#This Row],[Molecular Weight]]*1000*1000</f>
        <v>93243.198241699691</v>
      </c>
      <c r="N388">
        <f>-LOG(DOWNLOAD_2kLRbPnDtawQopEJ_UKtt22ud9U57gk8mqebZIeugNk[[#This Row],[IC50]]*POWER(10, -9), 10)</f>
        <v>4.030382838595254</v>
      </c>
      <c r="P388" t="s">
        <v>48</v>
      </c>
      <c r="R388" t="s">
        <v>55</v>
      </c>
      <c r="W388">
        <v>0</v>
      </c>
      <c r="X388" t="s">
        <v>115</v>
      </c>
      <c r="Y388" t="s">
        <v>116</v>
      </c>
      <c r="Z388" t="s">
        <v>58</v>
      </c>
      <c r="AA388" t="s">
        <v>59</v>
      </c>
      <c r="AB388" t="s">
        <v>60</v>
      </c>
      <c r="AC388" t="s">
        <v>61</v>
      </c>
      <c r="AD388" t="s">
        <v>49</v>
      </c>
      <c r="AE388" t="s">
        <v>49</v>
      </c>
      <c r="AF388" t="s">
        <v>49</v>
      </c>
      <c r="AG388" t="s">
        <v>49</v>
      </c>
      <c r="AH388" t="s">
        <v>48</v>
      </c>
      <c r="AI388" t="s">
        <v>48</v>
      </c>
      <c r="AJ388" t="s">
        <v>48</v>
      </c>
      <c r="AK388" t="s">
        <v>62</v>
      </c>
      <c r="AL388" t="s">
        <v>63</v>
      </c>
      <c r="AM388" t="s">
        <v>61</v>
      </c>
      <c r="AN388" t="s">
        <v>64</v>
      </c>
      <c r="AO388" t="s">
        <v>117</v>
      </c>
      <c r="AP388">
        <v>1</v>
      </c>
      <c r="AQ388" t="s">
        <v>66</v>
      </c>
      <c r="AR388" t="s">
        <v>67</v>
      </c>
      <c r="AS388">
        <v>1986</v>
      </c>
      <c r="AT388" t="s">
        <v>49</v>
      </c>
      <c r="AU388" t="s">
        <v>48</v>
      </c>
      <c r="AV388" t="s">
        <v>48</v>
      </c>
      <c r="AW388" t="s">
        <v>48</v>
      </c>
    </row>
    <row r="389" spans="1:49" x14ac:dyDescent="0.3">
      <c r="A389" t="s">
        <v>1245</v>
      </c>
      <c r="B389" t="s">
        <v>48</v>
      </c>
      <c r="C389" t="s">
        <v>49</v>
      </c>
      <c r="D389">
        <v>535.84</v>
      </c>
      <c r="E389">
        <v>0</v>
      </c>
      <c r="F389">
        <v>3.9</v>
      </c>
      <c r="G389" t="s">
        <v>1246</v>
      </c>
      <c r="H389" t="s">
        <v>1247</v>
      </c>
      <c r="I389" t="s">
        <v>52</v>
      </c>
      <c r="J389" t="s">
        <v>295</v>
      </c>
      <c r="K389">
        <v>10</v>
      </c>
      <c r="L389" t="s">
        <v>126</v>
      </c>
      <c r="M389">
        <f>DOWNLOAD_2kLRbPnDtawQopEJ_UKtt22ud9U57gk8mqebZIeugNk[[#This Row],[Standard Value]]</f>
        <v>10</v>
      </c>
      <c r="N389">
        <f>-LOG(DOWNLOAD_2kLRbPnDtawQopEJ_UKtt22ud9U57gk8mqebZIeugNk[[#This Row],[IC50]]*POWER(10, -9), 10)</f>
        <v>8</v>
      </c>
      <c r="P389" t="s">
        <v>48</v>
      </c>
      <c r="R389" t="s">
        <v>127</v>
      </c>
      <c r="W389">
        <v>0</v>
      </c>
      <c r="X389" t="s">
        <v>296</v>
      </c>
      <c r="Y389" t="s">
        <v>297</v>
      </c>
      <c r="Z389" t="s">
        <v>58</v>
      </c>
      <c r="AA389" t="s">
        <v>59</v>
      </c>
      <c r="AB389" t="s">
        <v>60</v>
      </c>
      <c r="AC389" t="s">
        <v>61</v>
      </c>
      <c r="AD389" t="s">
        <v>49</v>
      </c>
      <c r="AE389" t="s">
        <v>49</v>
      </c>
      <c r="AF389" t="s">
        <v>49</v>
      </c>
      <c r="AG389" t="s">
        <v>49</v>
      </c>
      <c r="AH389" t="s">
        <v>48</v>
      </c>
      <c r="AI389" t="s">
        <v>48</v>
      </c>
      <c r="AJ389" t="s">
        <v>48</v>
      </c>
      <c r="AK389" t="s">
        <v>62</v>
      </c>
      <c r="AL389" t="s">
        <v>63</v>
      </c>
      <c r="AM389" t="s">
        <v>61</v>
      </c>
      <c r="AN389" t="s">
        <v>64</v>
      </c>
      <c r="AO389" t="s">
        <v>298</v>
      </c>
      <c r="AP389">
        <v>1</v>
      </c>
      <c r="AQ389" t="s">
        <v>66</v>
      </c>
      <c r="AR389" t="s">
        <v>131</v>
      </c>
      <c r="AS389">
        <v>2021</v>
      </c>
      <c r="AT389" t="s">
        <v>49</v>
      </c>
      <c r="AU389" t="s">
        <v>299</v>
      </c>
      <c r="AV389" t="s">
        <v>269</v>
      </c>
      <c r="AW389" t="s">
        <v>48</v>
      </c>
    </row>
    <row r="390" spans="1:49" x14ac:dyDescent="0.3">
      <c r="A390" t="s">
        <v>1248</v>
      </c>
      <c r="B390" t="s">
        <v>48</v>
      </c>
      <c r="C390" t="s">
        <v>49</v>
      </c>
      <c r="D390">
        <v>520.35</v>
      </c>
      <c r="E390">
        <v>2</v>
      </c>
      <c r="F390">
        <v>5.47</v>
      </c>
      <c r="G390" t="s">
        <v>1249</v>
      </c>
      <c r="H390" t="s">
        <v>1250</v>
      </c>
      <c r="I390" t="s">
        <v>52</v>
      </c>
      <c r="J390" t="s">
        <v>295</v>
      </c>
      <c r="K390">
        <v>10</v>
      </c>
      <c r="L390" t="s">
        <v>126</v>
      </c>
      <c r="M390">
        <f>DOWNLOAD_2kLRbPnDtawQopEJ_UKtt22ud9U57gk8mqebZIeugNk[[#This Row],[Standard Value]]</f>
        <v>10</v>
      </c>
      <c r="N390">
        <f>-LOG(DOWNLOAD_2kLRbPnDtawQopEJ_UKtt22ud9U57gk8mqebZIeugNk[[#This Row],[IC50]]*POWER(10, -9), 10)</f>
        <v>8</v>
      </c>
      <c r="P390" t="s">
        <v>48</v>
      </c>
      <c r="R390" t="s">
        <v>127</v>
      </c>
      <c r="W390">
        <v>0</v>
      </c>
      <c r="X390" t="s">
        <v>296</v>
      </c>
      <c r="Y390" t="s">
        <v>297</v>
      </c>
      <c r="Z390" t="s">
        <v>58</v>
      </c>
      <c r="AA390" t="s">
        <v>59</v>
      </c>
      <c r="AB390" t="s">
        <v>60</v>
      </c>
      <c r="AC390" t="s">
        <v>61</v>
      </c>
      <c r="AD390" t="s">
        <v>49</v>
      </c>
      <c r="AE390" t="s">
        <v>49</v>
      </c>
      <c r="AF390" t="s">
        <v>49</v>
      </c>
      <c r="AG390" t="s">
        <v>49</v>
      </c>
      <c r="AH390" t="s">
        <v>48</v>
      </c>
      <c r="AI390" t="s">
        <v>48</v>
      </c>
      <c r="AJ390" t="s">
        <v>48</v>
      </c>
      <c r="AK390" t="s">
        <v>62</v>
      </c>
      <c r="AL390" t="s">
        <v>63</v>
      </c>
      <c r="AM390" t="s">
        <v>61</v>
      </c>
      <c r="AN390" t="s">
        <v>64</v>
      </c>
      <c r="AO390" t="s">
        <v>298</v>
      </c>
      <c r="AP390">
        <v>1</v>
      </c>
      <c r="AQ390" t="s">
        <v>66</v>
      </c>
      <c r="AR390" t="s">
        <v>131</v>
      </c>
      <c r="AS390">
        <v>2021</v>
      </c>
      <c r="AT390" t="s">
        <v>49</v>
      </c>
      <c r="AU390" t="s">
        <v>299</v>
      </c>
      <c r="AV390" t="s">
        <v>269</v>
      </c>
      <c r="AW390" t="s">
        <v>48</v>
      </c>
    </row>
    <row r="391" spans="1:49" x14ac:dyDescent="0.3">
      <c r="A391" t="s">
        <v>1251</v>
      </c>
      <c r="B391" t="s">
        <v>48</v>
      </c>
      <c r="C391" t="s">
        <v>49</v>
      </c>
      <c r="D391">
        <v>482.37</v>
      </c>
      <c r="E391">
        <v>1</v>
      </c>
      <c r="F391">
        <v>5.83</v>
      </c>
      <c r="G391" t="s">
        <v>1252</v>
      </c>
      <c r="H391" t="s">
        <v>1253</v>
      </c>
      <c r="I391" t="s">
        <v>52</v>
      </c>
      <c r="J391" t="s">
        <v>295</v>
      </c>
      <c r="K391">
        <v>10</v>
      </c>
      <c r="L391" t="s">
        <v>126</v>
      </c>
      <c r="M391">
        <f>DOWNLOAD_2kLRbPnDtawQopEJ_UKtt22ud9U57gk8mqebZIeugNk[[#This Row],[Standard Value]]</f>
        <v>10</v>
      </c>
      <c r="N391">
        <f>-LOG(DOWNLOAD_2kLRbPnDtawQopEJ_UKtt22ud9U57gk8mqebZIeugNk[[#This Row],[IC50]]*POWER(10, -9), 10)</f>
        <v>8</v>
      </c>
      <c r="P391" t="s">
        <v>48</v>
      </c>
      <c r="R391" t="s">
        <v>127</v>
      </c>
      <c r="W391">
        <v>0</v>
      </c>
      <c r="X391" t="s">
        <v>296</v>
      </c>
      <c r="Y391" t="s">
        <v>297</v>
      </c>
      <c r="Z391" t="s">
        <v>58</v>
      </c>
      <c r="AA391" t="s">
        <v>59</v>
      </c>
      <c r="AB391" t="s">
        <v>60</v>
      </c>
      <c r="AC391" t="s">
        <v>61</v>
      </c>
      <c r="AD391" t="s">
        <v>49</v>
      </c>
      <c r="AE391" t="s">
        <v>49</v>
      </c>
      <c r="AF391" t="s">
        <v>49</v>
      </c>
      <c r="AG391" t="s">
        <v>49</v>
      </c>
      <c r="AH391" t="s">
        <v>48</v>
      </c>
      <c r="AI391" t="s">
        <v>48</v>
      </c>
      <c r="AJ391" t="s">
        <v>48</v>
      </c>
      <c r="AK391" t="s">
        <v>62</v>
      </c>
      <c r="AL391" t="s">
        <v>63</v>
      </c>
      <c r="AM391" t="s">
        <v>61</v>
      </c>
      <c r="AN391" t="s">
        <v>64</v>
      </c>
      <c r="AO391" t="s">
        <v>298</v>
      </c>
      <c r="AP391">
        <v>1</v>
      </c>
      <c r="AQ391" t="s">
        <v>66</v>
      </c>
      <c r="AR391" t="s">
        <v>131</v>
      </c>
      <c r="AS391">
        <v>2021</v>
      </c>
      <c r="AT391" t="s">
        <v>49</v>
      </c>
      <c r="AU391" t="s">
        <v>299</v>
      </c>
      <c r="AV391" t="s">
        <v>269</v>
      </c>
      <c r="AW391" t="s">
        <v>48</v>
      </c>
    </row>
    <row r="392" spans="1:49" x14ac:dyDescent="0.3">
      <c r="A392" t="s">
        <v>1254</v>
      </c>
      <c r="B392" t="s">
        <v>48</v>
      </c>
      <c r="C392" t="s">
        <v>49</v>
      </c>
      <c r="D392">
        <v>312.37</v>
      </c>
      <c r="E392">
        <v>0</v>
      </c>
      <c r="F392">
        <v>3.04</v>
      </c>
      <c r="G392" t="s">
        <v>274</v>
      </c>
      <c r="H392" t="s">
        <v>1255</v>
      </c>
      <c r="I392" t="s">
        <v>52</v>
      </c>
      <c r="J392" t="s">
        <v>53</v>
      </c>
      <c r="K392">
        <v>40400</v>
      </c>
      <c r="L392" t="s">
        <v>126</v>
      </c>
      <c r="M392">
        <f>DOWNLOAD_2kLRbPnDtawQopEJ_UKtt22ud9U57gk8mqebZIeugNk[[#This Row],[Standard Value]]</f>
        <v>40400</v>
      </c>
      <c r="N392">
        <f>-LOG(DOWNLOAD_2kLRbPnDtawQopEJ_UKtt22ud9U57gk8mqebZIeugNk[[#This Row],[IC50]]*POWER(10, -9), 10)</f>
        <v>4.3936186348893944</v>
      </c>
      <c r="O392">
        <v>4.3899999999999997</v>
      </c>
      <c r="P392" t="s">
        <v>48</v>
      </c>
      <c r="R392" t="s">
        <v>127</v>
      </c>
      <c r="S392">
        <v>14.07</v>
      </c>
      <c r="T392">
        <v>0.26</v>
      </c>
      <c r="U392">
        <v>1.35</v>
      </c>
      <c r="V392">
        <v>5.29</v>
      </c>
      <c r="W392">
        <v>0</v>
      </c>
      <c r="X392" t="s">
        <v>128</v>
      </c>
      <c r="Y392" t="s">
        <v>129</v>
      </c>
      <c r="Z392" t="s">
        <v>58</v>
      </c>
      <c r="AA392" t="s">
        <v>59</v>
      </c>
      <c r="AB392" t="s">
        <v>60</v>
      </c>
      <c r="AC392" t="s">
        <v>61</v>
      </c>
      <c r="AD392" t="s">
        <v>49</v>
      </c>
      <c r="AE392" t="s">
        <v>49</v>
      </c>
      <c r="AF392" t="s">
        <v>49</v>
      </c>
      <c r="AG392" t="s">
        <v>49</v>
      </c>
      <c r="AH392" t="s">
        <v>48</v>
      </c>
      <c r="AI392" t="s">
        <v>48</v>
      </c>
      <c r="AJ392" t="s">
        <v>48</v>
      </c>
      <c r="AK392" t="s">
        <v>62</v>
      </c>
      <c r="AL392" t="s">
        <v>63</v>
      </c>
      <c r="AM392" t="s">
        <v>61</v>
      </c>
      <c r="AN392" t="s">
        <v>64</v>
      </c>
      <c r="AO392" t="s">
        <v>130</v>
      </c>
      <c r="AP392">
        <v>1</v>
      </c>
      <c r="AQ392" t="s">
        <v>66</v>
      </c>
      <c r="AR392" t="s">
        <v>131</v>
      </c>
      <c r="AS392">
        <v>2014</v>
      </c>
      <c r="AT392" t="s">
        <v>49</v>
      </c>
      <c r="AU392" t="s">
        <v>48</v>
      </c>
      <c r="AV392" t="s">
        <v>48</v>
      </c>
      <c r="AW392" t="s">
        <v>48</v>
      </c>
    </row>
    <row r="393" spans="1:49" x14ac:dyDescent="0.3">
      <c r="A393" t="s">
        <v>1256</v>
      </c>
      <c r="B393" t="s">
        <v>48</v>
      </c>
      <c r="C393" t="s">
        <v>49</v>
      </c>
      <c r="D393">
        <v>371.41</v>
      </c>
      <c r="E393">
        <v>0</v>
      </c>
      <c r="F393">
        <v>2.63</v>
      </c>
      <c r="G393" t="s">
        <v>500</v>
      </c>
      <c r="H393" t="s">
        <v>1257</v>
      </c>
      <c r="I393" t="s">
        <v>52</v>
      </c>
      <c r="J393" t="s">
        <v>53</v>
      </c>
      <c r="K393">
        <v>3</v>
      </c>
      <c r="L393" t="s">
        <v>54</v>
      </c>
      <c r="M393">
        <f>DOWNLOAD_2kLRbPnDtawQopEJ_UKtt22ud9U57gk8mqebZIeugNk[[#This Row],[Standard Value]]/DOWNLOAD_2kLRbPnDtawQopEJ_UKtt22ud9U57gk8mqebZIeugNk[[#This Row],[Molecular Weight]]*1000*1000</f>
        <v>8077.32694327024</v>
      </c>
      <c r="N393">
        <f>-LOG(DOWNLOAD_2kLRbPnDtawQopEJ_UKtt22ud9U57gk8mqebZIeugNk[[#This Row],[IC50]]*POWER(10, -9), 10)</f>
        <v>5.0927323379699168</v>
      </c>
      <c r="P393" t="s">
        <v>48</v>
      </c>
      <c r="R393" t="s">
        <v>55</v>
      </c>
      <c r="W393">
        <v>0</v>
      </c>
      <c r="X393" t="s">
        <v>98</v>
      </c>
      <c r="Y393" t="s">
        <v>99</v>
      </c>
      <c r="Z393" t="s">
        <v>58</v>
      </c>
      <c r="AA393" t="s">
        <v>59</v>
      </c>
      <c r="AB393" t="s">
        <v>60</v>
      </c>
      <c r="AC393" t="s">
        <v>49</v>
      </c>
      <c r="AD393" t="s">
        <v>49</v>
      </c>
      <c r="AE393" t="s">
        <v>49</v>
      </c>
      <c r="AF393" t="s">
        <v>49</v>
      </c>
      <c r="AG393" t="s">
        <v>49</v>
      </c>
      <c r="AH393" t="s">
        <v>48</v>
      </c>
      <c r="AI393" t="s">
        <v>48</v>
      </c>
      <c r="AJ393" t="s">
        <v>48</v>
      </c>
      <c r="AK393" t="s">
        <v>62</v>
      </c>
      <c r="AL393" t="s">
        <v>63</v>
      </c>
      <c r="AM393" t="s">
        <v>61</v>
      </c>
      <c r="AN393" t="s">
        <v>64</v>
      </c>
      <c r="AO393" t="s">
        <v>100</v>
      </c>
      <c r="AP393">
        <v>1</v>
      </c>
      <c r="AQ393" t="s">
        <v>66</v>
      </c>
      <c r="AR393" t="s">
        <v>67</v>
      </c>
      <c r="AS393">
        <v>1991</v>
      </c>
      <c r="AT393" t="s">
        <v>49</v>
      </c>
      <c r="AU393" t="s">
        <v>48</v>
      </c>
      <c r="AV393" t="s">
        <v>48</v>
      </c>
      <c r="AW393" t="s">
        <v>48</v>
      </c>
    </row>
    <row r="394" spans="1:49" x14ac:dyDescent="0.3">
      <c r="A394" t="s">
        <v>1258</v>
      </c>
      <c r="B394" t="s">
        <v>48</v>
      </c>
      <c r="C394" t="s">
        <v>49</v>
      </c>
      <c r="D394">
        <v>387.91</v>
      </c>
      <c r="E394">
        <v>1</v>
      </c>
      <c r="F394">
        <v>5.81</v>
      </c>
      <c r="G394" t="s">
        <v>561</v>
      </c>
      <c r="H394" t="s">
        <v>1259</v>
      </c>
      <c r="I394" t="s">
        <v>52</v>
      </c>
      <c r="J394" t="s">
        <v>53</v>
      </c>
      <c r="K394">
        <v>32</v>
      </c>
      <c r="L394" t="s">
        <v>54</v>
      </c>
      <c r="M394">
        <f>DOWNLOAD_2kLRbPnDtawQopEJ_UKtt22ud9U57gk8mqebZIeugNk[[#This Row],[Standard Value]]/DOWNLOAD_2kLRbPnDtawQopEJ_UKtt22ud9U57gk8mqebZIeugNk[[#This Row],[Molecular Weight]]*1000*1000</f>
        <v>82493.361862287638</v>
      </c>
      <c r="N394">
        <f>-LOG(DOWNLOAD_2kLRbPnDtawQopEJ_UKtt22ud9U57gk8mqebZIeugNk[[#This Row],[IC50]]*POWER(10, -9), 10)</f>
        <v>4.0835809971781645</v>
      </c>
      <c r="P394" t="s">
        <v>48</v>
      </c>
      <c r="R394" t="s">
        <v>55</v>
      </c>
      <c r="W394">
        <v>0</v>
      </c>
      <c r="X394" t="s">
        <v>166</v>
      </c>
      <c r="Y394" t="s">
        <v>167</v>
      </c>
      <c r="Z394" t="s">
        <v>168</v>
      </c>
      <c r="AA394" t="s">
        <v>169</v>
      </c>
      <c r="AB394" t="s">
        <v>170</v>
      </c>
      <c r="AC394" t="s">
        <v>61</v>
      </c>
      <c r="AD394" t="s">
        <v>49</v>
      </c>
      <c r="AE394" t="s">
        <v>49</v>
      </c>
      <c r="AF394" t="s">
        <v>49</v>
      </c>
      <c r="AG394" t="s">
        <v>49</v>
      </c>
      <c r="AH394" t="s">
        <v>48</v>
      </c>
      <c r="AI394" t="s">
        <v>48</v>
      </c>
      <c r="AJ394" t="s">
        <v>48</v>
      </c>
      <c r="AK394" t="s">
        <v>62</v>
      </c>
      <c r="AL394" t="s">
        <v>63</v>
      </c>
      <c r="AM394" t="s">
        <v>61</v>
      </c>
      <c r="AN394" t="s">
        <v>64</v>
      </c>
      <c r="AO394" t="s">
        <v>171</v>
      </c>
      <c r="AP394">
        <v>1</v>
      </c>
      <c r="AQ394" t="s">
        <v>66</v>
      </c>
      <c r="AR394" t="s">
        <v>67</v>
      </c>
      <c r="AS394">
        <v>2004</v>
      </c>
      <c r="AT394" t="s">
        <v>49</v>
      </c>
      <c r="AU394" t="s">
        <v>48</v>
      </c>
      <c r="AV394" t="s">
        <v>48</v>
      </c>
      <c r="AW394" t="s">
        <v>48</v>
      </c>
    </row>
    <row r="395" spans="1:49" x14ac:dyDescent="0.3">
      <c r="A395" t="s">
        <v>461</v>
      </c>
      <c r="B395" t="s">
        <v>462</v>
      </c>
      <c r="C395" t="s">
        <v>112</v>
      </c>
      <c r="D395">
        <v>232.24</v>
      </c>
      <c r="E395">
        <v>0</v>
      </c>
      <c r="F395">
        <v>1.42</v>
      </c>
      <c r="G395" t="s">
        <v>1260</v>
      </c>
      <c r="H395" t="s">
        <v>464</v>
      </c>
      <c r="I395" t="s">
        <v>52</v>
      </c>
      <c r="J395" t="s">
        <v>53</v>
      </c>
      <c r="K395">
        <v>52</v>
      </c>
      <c r="L395" t="s">
        <v>54</v>
      </c>
      <c r="M395">
        <f>DOWNLOAD_2kLRbPnDtawQopEJ_UKtt22ud9U57gk8mqebZIeugNk[[#This Row],[Standard Value]]/DOWNLOAD_2kLRbPnDtawQopEJ_UKtt22ud9U57gk8mqebZIeugNk[[#This Row],[Molecular Weight]]*1000*1000</f>
        <v>223906.3038236307</v>
      </c>
      <c r="N395">
        <f>-LOG(DOWNLOAD_2kLRbPnDtawQopEJ_UKtt22ud9U57gk8mqebZIeugNk[[#This Row],[IC50]]*POWER(10, -9), 10)</f>
        <v>3.6499336791888175</v>
      </c>
      <c r="P395" t="s">
        <v>72</v>
      </c>
      <c r="R395" t="s">
        <v>55</v>
      </c>
      <c r="W395">
        <v>0</v>
      </c>
      <c r="X395" t="s">
        <v>314</v>
      </c>
      <c r="Y395" t="s">
        <v>315</v>
      </c>
      <c r="Z395" t="s">
        <v>58</v>
      </c>
      <c r="AA395" t="s">
        <v>59</v>
      </c>
      <c r="AB395" t="s">
        <v>60</v>
      </c>
      <c r="AC395" t="s">
        <v>61</v>
      </c>
      <c r="AD395" t="s">
        <v>49</v>
      </c>
      <c r="AE395" t="s">
        <v>49</v>
      </c>
      <c r="AF395" t="s">
        <v>49</v>
      </c>
      <c r="AG395" t="s">
        <v>49</v>
      </c>
      <c r="AH395" t="s">
        <v>48</v>
      </c>
      <c r="AI395" t="s">
        <v>48</v>
      </c>
      <c r="AJ395" t="s">
        <v>48</v>
      </c>
      <c r="AK395" t="s">
        <v>62</v>
      </c>
      <c r="AL395" t="s">
        <v>63</v>
      </c>
      <c r="AM395" t="s">
        <v>61</v>
      </c>
      <c r="AN395" t="s">
        <v>64</v>
      </c>
      <c r="AO395" t="s">
        <v>316</v>
      </c>
      <c r="AP395">
        <v>1</v>
      </c>
      <c r="AQ395" t="s">
        <v>66</v>
      </c>
      <c r="AR395" t="s">
        <v>76</v>
      </c>
      <c r="AS395">
        <v>1993</v>
      </c>
      <c r="AT395" t="s">
        <v>49</v>
      </c>
      <c r="AU395" t="s">
        <v>48</v>
      </c>
      <c r="AV395" t="s">
        <v>48</v>
      </c>
      <c r="AW395" t="s">
        <v>48</v>
      </c>
    </row>
    <row r="396" spans="1:49" x14ac:dyDescent="0.3">
      <c r="A396" t="s">
        <v>1261</v>
      </c>
      <c r="B396" t="s">
        <v>1262</v>
      </c>
      <c r="C396" t="s">
        <v>112</v>
      </c>
      <c r="D396">
        <v>401.44</v>
      </c>
      <c r="E396">
        <v>0</v>
      </c>
      <c r="F396">
        <v>2.37</v>
      </c>
      <c r="G396" t="s">
        <v>1263</v>
      </c>
      <c r="H396" t="s">
        <v>1264</v>
      </c>
      <c r="I396" t="s">
        <v>52</v>
      </c>
      <c r="J396" t="s">
        <v>53</v>
      </c>
      <c r="K396">
        <v>2500</v>
      </c>
      <c r="L396" t="s">
        <v>126</v>
      </c>
      <c r="M396">
        <f>DOWNLOAD_2kLRbPnDtawQopEJ_UKtt22ud9U57gk8mqebZIeugNk[[#This Row],[Standard Value]]</f>
        <v>2500</v>
      </c>
      <c r="N396">
        <f>-LOG(DOWNLOAD_2kLRbPnDtawQopEJ_UKtt22ud9U57gk8mqebZIeugNk[[#This Row],[IC50]]*POWER(10, -9), 10)</f>
        <v>5.6020599913279616</v>
      </c>
      <c r="O396">
        <v>5.6</v>
      </c>
      <c r="P396" t="s">
        <v>48</v>
      </c>
      <c r="R396" t="s">
        <v>127</v>
      </c>
      <c r="S396">
        <v>13.95</v>
      </c>
      <c r="T396">
        <v>0.26</v>
      </c>
      <c r="U396">
        <v>3.23</v>
      </c>
      <c r="V396">
        <v>6.69</v>
      </c>
      <c r="W396">
        <v>0</v>
      </c>
      <c r="X396" t="s">
        <v>895</v>
      </c>
      <c r="Y396" t="s">
        <v>896</v>
      </c>
      <c r="Z396" t="s">
        <v>58</v>
      </c>
      <c r="AA396" t="s">
        <v>59</v>
      </c>
      <c r="AB396" t="s">
        <v>60</v>
      </c>
      <c r="AC396" t="s">
        <v>61</v>
      </c>
      <c r="AD396" t="s">
        <v>49</v>
      </c>
      <c r="AE396" t="s">
        <v>49</v>
      </c>
      <c r="AF396" t="s">
        <v>49</v>
      </c>
      <c r="AG396" t="s">
        <v>49</v>
      </c>
      <c r="AH396" t="s">
        <v>48</v>
      </c>
      <c r="AI396" t="s">
        <v>48</v>
      </c>
      <c r="AJ396" t="s">
        <v>48</v>
      </c>
      <c r="AK396" t="s">
        <v>62</v>
      </c>
      <c r="AL396" t="s">
        <v>63</v>
      </c>
      <c r="AM396" t="s">
        <v>61</v>
      </c>
      <c r="AN396" t="s">
        <v>64</v>
      </c>
      <c r="AO396" t="s">
        <v>897</v>
      </c>
      <c r="AP396">
        <v>1</v>
      </c>
      <c r="AQ396" t="s">
        <v>66</v>
      </c>
      <c r="AR396" t="s">
        <v>353</v>
      </c>
      <c r="AS396">
        <v>2008</v>
      </c>
      <c r="AT396" t="s">
        <v>49</v>
      </c>
      <c r="AU396" t="s">
        <v>48</v>
      </c>
      <c r="AV396" t="s">
        <v>48</v>
      </c>
      <c r="AW396" t="s">
        <v>48</v>
      </c>
    </row>
    <row r="397" spans="1:49" x14ac:dyDescent="0.3">
      <c r="A397" t="s">
        <v>687</v>
      </c>
      <c r="B397" t="s">
        <v>48</v>
      </c>
      <c r="C397" t="s">
        <v>49</v>
      </c>
      <c r="D397">
        <v>359.4</v>
      </c>
      <c r="E397">
        <v>0</v>
      </c>
      <c r="F397">
        <v>2.35</v>
      </c>
      <c r="G397" t="s">
        <v>1265</v>
      </c>
      <c r="H397" t="s">
        <v>689</v>
      </c>
      <c r="I397" t="s">
        <v>52</v>
      </c>
      <c r="J397" t="s">
        <v>53</v>
      </c>
      <c r="K397">
        <v>0.5</v>
      </c>
      <c r="L397" t="s">
        <v>54</v>
      </c>
      <c r="M397">
        <f>DOWNLOAD_2kLRbPnDtawQopEJ_UKtt22ud9U57gk8mqebZIeugNk[[#This Row],[Standard Value]]/DOWNLOAD_2kLRbPnDtawQopEJ_UKtt22ud9U57gk8mqebZIeugNk[[#This Row],[Molecular Weight]]*1000*1000</f>
        <v>1391.2075681691708</v>
      </c>
      <c r="N397">
        <f>-LOG(DOWNLOAD_2kLRbPnDtawQopEJ_UKtt22ud9U57gk8mqebZIeugNk[[#This Row],[IC50]]*POWER(10, -9), 10)</f>
        <v>5.8566080684369348</v>
      </c>
      <c r="P397" t="s">
        <v>48</v>
      </c>
      <c r="R397" t="s">
        <v>55</v>
      </c>
      <c r="W397">
        <v>0</v>
      </c>
      <c r="X397" t="s">
        <v>80</v>
      </c>
      <c r="Y397" t="s">
        <v>81</v>
      </c>
      <c r="Z397" t="s">
        <v>58</v>
      </c>
      <c r="AA397" t="s">
        <v>59</v>
      </c>
      <c r="AB397" t="s">
        <v>60</v>
      </c>
      <c r="AC397" t="s">
        <v>61</v>
      </c>
      <c r="AD397" t="s">
        <v>49</v>
      </c>
      <c r="AE397" t="s">
        <v>49</v>
      </c>
      <c r="AF397" t="s">
        <v>49</v>
      </c>
      <c r="AG397" t="s">
        <v>49</v>
      </c>
      <c r="AH397" t="s">
        <v>48</v>
      </c>
      <c r="AI397" t="s">
        <v>48</v>
      </c>
      <c r="AJ397" t="s">
        <v>48</v>
      </c>
      <c r="AK397" t="s">
        <v>62</v>
      </c>
      <c r="AL397" t="s">
        <v>63</v>
      </c>
      <c r="AM397" t="s">
        <v>61</v>
      </c>
      <c r="AN397" t="s">
        <v>64</v>
      </c>
      <c r="AO397" t="s">
        <v>82</v>
      </c>
      <c r="AP397">
        <v>1</v>
      </c>
      <c r="AQ397" t="s">
        <v>66</v>
      </c>
      <c r="AR397" t="s">
        <v>67</v>
      </c>
      <c r="AS397">
        <v>1993</v>
      </c>
      <c r="AT397" t="s">
        <v>49</v>
      </c>
      <c r="AU397" t="s">
        <v>48</v>
      </c>
      <c r="AV397" t="s">
        <v>48</v>
      </c>
      <c r="AW397" t="s">
        <v>48</v>
      </c>
    </row>
    <row r="398" spans="1:49" x14ac:dyDescent="0.3">
      <c r="A398" t="s">
        <v>1266</v>
      </c>
      <c r="B398" t="s">
        <v>48</v>
      </c>
      <c r="C398" t="s">
        <v>49</v>
      </c>
      <c r="D398">
        <v>364.83</v>
      </c>
      <c r="E398">
        <v>1</v>
      </c>
      <c r="F398">
        <v>5.23</v>
      </c>
      <c r="G398" t="s">
        <v>470</v>
      </c>
      <c r="H398" t="s">
        <v>1267</v>
      </c>
      <c r="I398" t="s">
        <v>52</v>
      </c>
      <c r="J398" t="s">
        <v>53</v>
      </c>
      <c r="K398">
        <v>160</v>
      </c>
      <c r="L398" t="s">
        <v>126</v>
      </c>
      <c r="M398">
        <f>DOWNLOAD_2kLRbPnDtawQopEJ_UKtt22ud9U57gk8mqebZIeugNk[[#This Row],[Standard Value]]</f>
        <v>160</v>
      </c>
      <c r="N398">
        <f>-LOG(DOWNLOAD_2kLRbPnDtawQopEJ_UKtt22ud9U57gk8mqebZIeugNk[[#This Row],[IC50]]*POWER(10, -9), 10)</f>
        <v>6.7958800173440741</v>
      </c>
      <c r="O398">
        <v>6.8</v>
      </c>
      <c r="P398" t="s">
        <v>48</v>
      </c>
      <c r="R398" t="s">
        <v>127</v>
      </c>
      <c r="S398">
        <v>18.63</v>
      </c>
      <c r="T398">
        <v>0.36</v>
      </c>
      <c r="U398">
        <v>1.57</v>
      </c>
      <c r="V398">
        <v>11.09</v>
      </c>
      <c r="W398">
        <v>0</v>
      </c>
      <c r="X398" t="s">
        <v>563</v>
      </c>
      <c r="Y398" t="s">
        <v>564</v>
      </c>
      <c r="Z398" t="s">
        <v>58</v>
      </c>
      <c r="AA398" t="s">
        <v>59</v>
      </c>
      <c r="AB398" t="s">
        <v>60</v>
      </c>
      <c r="AC398" t="s">
        <v>61</v>
      </c>
      <c r="AD398" t="s">
        <v>49</v>
      </c>
      <c r="AE398" t="s">
        <v>49</v>
      </c>
      <c r="AF398" t="s">
        <v>49</v>
      </c>
      <c r="AG398" t="s">
        <v>49</v>
      </c>
      <c r="AH398" t="s">
        <v>48</v>
      </c>
      <c r="AI398" t="s">
        <v>48</v>
      </c>
      <c r="AJ398" t="s">
        <v>48</v>
      </c>
      <c r="AK398" t="s">
        <v>62</v>
      </c>
      <c r="AL398" t="s">
        <v>63</v>
      </c>
      <c r="AM398" t="s">
        <v>61</v>
      </c>
      <c r="AN398" t="s">
        <v>64</v>
      </c>
      <c r="AO398" t="s">
        <v>565</v>
      </c>
      <c r="AP398">
        <v>1</v>
      </c>
      <c r="AQ398" t="s">
        <v>66</v>
      </c>
      <c r="AR398" t="s">
        <v>76</v>
      </c>
      <c r="AS398">
        <v>2019</v>
      </c>
      <c r="AT398" t="s">
        <v>49</v>
      </c>
      <c r="AU398" t="s">
        <v>48</v>
      </c>
      <c r="AV398" t="s">
        <v>48</v>
      </c>
      <c r="AW398" t="s">
        <v>48</v>
      </c>
    </row>
    <row r="399" spans="1:49" x14ac:dyDescent="0.3">
      <c r="A399" t="s">
        <v>1268</v>
      </c>
      <c r="B399" t="s">
        <v>48</v>
      </c>
      <c r="C399" t="s">
        <v>49</v>
      </c>
      <c r="D399">
        <v>345.37</v>
      </c>
      <c r="E399">
        <v>0</v>
      </c>
      <c r="F399">
        <v>1.93</v>
      </c>
      <c r="G399" t="s">
        <v>1191</v>
      </c>
      <c r="H399" t="s">
        <v>1269</v>
      </c>
      <c r="I399" t="s">
        <v>52</v>
      </c>
      <c r="J399" t="s">
        <v>53</v>
      </c>
      <c r="K399">
        <v>1.5</v>
      </c>
      <c r="L399" t="s">
        <v>54</v>
      </c>
      <c r="M399">
        <f>DOWNLOAD_2kLRbPnDtawQopEJ_UKtt22ud9U57gk8mqebZIeugNk[[#This Row],[Standard Value]]/DOWNLOAD_2kLRbPnDtawQopEJ_UKtt22ud9U57gk8mqebZIeugNk[[#This Row],[Molecular Weight]]*1000*1000</f>
        <v>4343.1681964270201</v>
      </c>
      <c r="N399">
        <f>-LOG(DOWNLOAD_2kLRbPnDtawQopEJ_UKtt22ud9U57gk8mqebZIeugNk[[#This Row],[IC50]]*POWER(10, -9), 10)</f>
        <v>5.362193351534458</v>
      </c>
      <c r="P399" t="s">
        <v>48</v>
      </c>
      <c r="R399" t="s">
        <v>55</v>
      </c>
      <c r="W399">
        <v>0</v>
      </c>
      <c r="X399" t="s">
        <v>135</v>
      </c>
      <c r="Y399" t="s">
        <v>136</v>
      </c>
      <c r="Z399" t="s">
        <v>58</v>
      </c>
      <c r="AA399" t="s">
        <v>59</v>
      </c>
      <c r="AB399" t="s">
        <v>60</v>
      </c>
      <c r="AC399" t="s">
        <v>61</v>
      </c>
      <c r="AD399" t="s">
        <v>49</v>
      </c>
      <c r="AE399" t="s">
        <v>49</v>
      </c>
      <c r="AF399" t="s">
        <v>49</v>
      </c>
      <c r="AG399" t="s">
        <v>49</v>
      </c>
      <c r="AH399" t="s">
        <v>48</v>
      </c>
      <c r="AI399" t="s">
        <v>48</v>
      </c>
      <c r="AJ399" t="s">
        <v>48</v>
      </c>
      <c r="AK399" t="s">
        <v>62</v>
      </c>
      <c r="AL399" t="s">
        <v>63</v>
      </c>
      <c r="AM399" t="s">
        <v>61</v>
      </c>
      <c r="AN399" t="s">
        <v>64</v>
      </c>
      <c r="AO399" t="s">
        <v>137</v>
      </c>
      <c r="AP399">
        <v>1</v>
      </c>
      <c r="AQ399" t="s">
        <v>66</v>
      </c>
      <c r="AR399" t="s">
        <v>67</v>
      </c>
      <c r="AS399">
        <v>1996</v>
      </c>
      <c r="AT399" t="s">
        <v>49</v>
      </c>
      <c r="AU399" t="s">
        <v>48</v>
      </c>
      <c r="AV399" t="s">
        <v>48</v>
      </c>
      <c r="AW399" t="s">
        <v>48</v>
      </c>
    </row>
    <row r="400" spans="1:49" x14ac:dyDescent="0.3">
      <c r="A400" t="s">
        <v>461</v>
      </c>
      <c r="B400" t="s">
        <v>462</v>
      </c>
      <c r="C400" t="s">
        <v>112</v>
      </c>
      <c r="D400">
        <v>232.24</v>
      </c>
      <c r="E400">
        <v>0</v>
      </c>
      <c r="F400">
        <v>1.42</v>
      </c>
      <c r="G400" t="s">
        <v>1260</v>
      </c>
      <c r="H400" t="s">
        <v>464</v>
      </c>
      <c r="I400" t="s">
        <v>52</v>
      </c>
      <c r="J400" t="s">
        <v>53</v>
      </c>
      <c r="K400">
        <v>215000</v>
      </c>
      <c r="L400" t="s">
        <v>126</v>
      </c>
      <c r="M400">
        <f>DOWNLOAD_2kLRbPnDtawQopEJ_UKtt22ud9U57gk8mqebZIeugNk[[#This Row],[Standard Value]]</f>
        <v>215000</v>
      </c>
      <c r="N400">
        <f>-LOG(DOWNLOAD_2kLRbPnDtawQopEJ_UKtt22ud9U57gk8mqebZIeugNk[[#This Row],[IC50]]*POWER(10, -9), 10)</f>
        <v>3.6675615400843946</v>
      </c>
      <c r="P400" t="s">
        <v>72</v>
      </c>
      <c r="R400" t="s">
        <v>127</v>
      </c>
      <c r="W400">
        <v>0</v>
      </c>
      <c r="X400" t="s">
        <v>895</v>
      </c>
      <c r="Y400" t="s">
        <v>896</v>
      </c>
      <c r="Z400" t="s">
        <v>58</v>
      </c>
      <c r="AA400" t="s">
        <v>59</v>
      </c>
      <c r="AB400" t="s">
        <v>60</v>
      </c>
      <c r="AC400" t="s">
        <v>61</v>
      </c>
      <c r="AD400" t="s">
        <v>49</v>
      </c>
      <c r="AE400" t="s">
        <v>49</v>
      </c>
      <c r="AF400" t="s">
        <v>49</v>
      </c>
      <c r="AG400" t="s">
        <v>49</v>
      </c>
      <c r="AH400" t="s">
        <v>48</v>
      </c>
      <c r="AI400" t="s">
        <v>48</v>
      </c>
      <c r="AJ400" t="s">
        <v>48</v>
      </c>
      <c r="AK400" t="s">
        <v>62</v>
      </c>
      <c r="AL400" t="s">
        <v>63</v>
      </c>
      <c r="AM400" t="s">
        <v>61</v>
      </c>
      <c r="AN400" t="s">
        <v>64</v>
      </c>
      <c r="AO400" t="s">
        <v>897</v>
      </c>
      <c r="AP400">
        <v>1</v>
      </c>
      <c r="AQ400" t="s">
        <v>66</v>
      </c>
      <c r="AR400" t="s">
        <v>353</v>
      </c>
      <c r="AS400">
        <v>2008</v>
      </c>
      <c r="AT400" t="s">
        <v>49</v>
      </c>
      <c r="AU400" t="s">
        <v>48</v>
      </c>
      <c r="AV400" t="s">
        <v>48</v>
      </c>
      <c r="AW400" t="s">
        <v>48</v>
      </c>
    </row>
    <row r="401" spans="1:49" x14ac:dyDescent="0.3">
      <c r="A401" t="s">
        <v>1270</v>
      </c>
      <c r="B401" t="s">
        <v>48</v>
      </c>
      <c r="C401" t="s">
        <v>49</v>
      </c>
      <c r="D401">
        <v>323.35000000000002</v>
      </c>
      <c r="E401">
        <v>0</v>
      </c>
      <c r="F401">
        <v>1.76</v>
      </c>
      <c r="G401" t="s">
        <v>1271</v>
      </c>
      <c r="H401" t="s">
        <v>1272</v>
      </c>
      <c r="I401" t="s">
        <v>52</v>
      </c>
      <c r="J401" t="s">
        <v>53</v>
      </c>
      <c r="K401">
        <v>65</v>
      </c>
      <c r="L401" t="s">
        <v>54</v>
      </c>
      <c r="M401">
        <f>DOWNLOAD_2kLRbPnDtawQopEJ_UKtt22ud9U57gk8mqebZIeugNk[[#This Row],[Standard Value]]/DOWNLOAD_2kLRbPnDtawQopEJ_UKtt22ud9U57gk8mqebZIeugNk[[#This Row],[Molecular Weight]]*1000*1000</f>
        <v>201020.56595020872</v>
      </c>
      <c r="N401">
        <f>-LOG(DOWNLOAD_2kLRbPnDtawQopEJ_UKtt22ud9U57gk8mqebZIeugNk[[#This Row],[IC50]]*POWER(10, -9), 10)</f>
        <v>3.6967595086402798</v>
      </c>
      <c r="P401" t="s">
        <v>72</v>
      </c>
      <c r="R401" t="s">
        <v>55</v>
      </c>
      <c r="W401">
        <v>0</v>
      </c>
      <c r="X401" t="s">
        <v>115</v>
      </c>
      <c r="Y401" t="s">
        <v>116</v>
      </c>
      <c r="Z401" t="s">
        <v>58</v>
      </c>
      <c r="AA401" t="s">
        <v>59</v>
      </c>
      <c r="AB401" t="s">
        <v>60</v>
      </c>
      <c r="AC401" t="s">
        <v>61</v>
      </c>
      <c r="AD401" t="s">
        <v>49</v>
      </c>
      <c r="AE401" t="s">
        <v>49</v>
      </c>
      <c r="AF401" t="s">
        <v>49</v>
      </c>
      <c r="AG401" t="s">
        <v>49</v>
      </c>
      <c r="AH401" t="s">
        <v>48</v>
      </c>
      <c r="AI401" t="s">
        <v>48</v>
      </c>
      <c r="AJ401" t="s">
        <v>48</v>
      </c>
      <c r="AK401" t="s">
        <v>62</v>
      </c>
      <c r="AL401" t="s">
        <v>63</v>
      </c>
      <c r="AM401" t="s">
        <v>61</v>
      </c>
      <c r="AN401" t="s">
        <v>64</v>
      </c>
      <c r="AO401" t="s">
        <v>117</v>
      </c>
      <c r="AP401">
        <v>1</v>
      </c>
      <c r="AQ401" t="s">
        <v>66</v>
      </c>
      <c r="AR401" t="s">
        <v>67</v>
      </c>
      <c r="AS401">
        <v>1986</v>
      </c>
      <c r="AT401" t="s">
        <v>49</v>
      </c>
      <c r="AU401" t="s">
        <v>48</v>
      </c>
      <c r="AV401" t="s">
        <v>48</v>
      </c>
      <c r="AW401" t="s">
        <v>48</v>
      </c>
    </row>
    <row r="402" spans="1:49" x14ac:dyDescent="0.3">
      <c r="A402" t="s">
        <v>1273</v>
      </c>
      <c r="B402" t="s">
        <v>48</v>
      </c>
      <c r="C402" t="s">
        <v>49</v>
      </c>
      <c r="D402">
        <v>597.58000000000004</v>
      </c>
      <c r="E402">
        <v>1</v>
      </c>
      <c r="F402">
        <v>3.07</v>
      </c>
      <c r="G402" t="s">
        <v>1274</v>
      </c>
      <c r="H402" t="s">
        <v>1275</v>
      </c>
      <c r="I402" t="s">
        <v>52</v>
      </c>
      <c r="J402" t="s">
        <v>53</v>
      </c>
      <c r="K402">
        <v>2000</v>
      </c>
      <c r="L402" t="s">
        <v>126</v>
      </c>
      <c r="M402">
        <f>DOWNLOAD_2kLRbPnDtawQopEJ_UKtt22ud9U57gk8mqebZIeugNk[[#This Row],[Standard Value]]</f>
        <v>2000</v>
      </c>
      <c r="N402">
        <f>-LOG(DOWNLOAD_2kLRbPnDtawQopEJ_UKtt22ud9U57gk8mqebZIeugNk[[#This Row],[IC50]]*POWER(10, -9), 10)</f>
        <v>5.6989700043360179</v>
      </c>
      <c r="O402">
        <v>5.7</v>
      </c>
      <c r="P402" t="s">
        <v>48</v>
      </c>
      <c r="R402" t="s">
        <v>127</v>
      </c>
      <c r="S402">
        <v>9.5399999999999991</v>
      </c>
      <c r="T402">
        <v>0.18</v>
      </c>
      <c r="U402">
        <v>2.63</v>
      </c>
      <c r="V402">
        <v>3.98</v>
      </c>
      <c r="W402">
        <v>0</v>
      </c>
      <c r="X402" t="s">
        <v>193</v>
      </c>
      <c r="Y402" t="s">
        <v>194</v>
      </c>
      <c r="Z402" t="s">
        <v>58</v>
      </c>
      <c r="AA402" t="s">
        <v>59</v>
      </c>
      <c r="AB402" t="s">
        <v>60</v>
      </c>
      <c r="AC402" t="s">
        <v>61</v>
      </c>
      <c r="AD402" t="s">
        <v>49</v>
      </c>
      <c r="AE402" t="s">
        <v>49</v>
      </c>
      <c r="AF402" t="s">
        <v>49</v>
      </c>
      <c r="AG402" t="s">
        <v>49</v>
      </c>
      <c r="AH402" t="s">
        <v>48</v>
      </c>
      <c r="AI402" t="s">
        <v>48</v>
      </c>
      <c r="AJ402" t="s">
        <v>48</v>
      </c>
      <c r="AK402" t="s">
        <v>62</v>
      </c>
      <c r="AL402" t="s">
        <v>63</v>
      </c>
      <c r="AM402" t="s">
        <v>61</v>
      </c>
      <c r="AN402" t="s">
        <v>64</v>
      </c>
      <c r="AO402" t="s">
        <v>195</v>
      </c>
      <c r="AP402">
        <v>1</v>
      </c>
      <c r="AQ402" t="s">
        <v>66</v>
      </c>
      <c r="AR402" t="s">
        <v>76</v>
      </c>
      <c r="AS402">
        <v>2003</v>
      </c>
      <c r="AT402" t="s">
        <v>49</v>
      </c>
      <c r="AU402" t="s">
        <v>48</v>
      </c>
      <c r="AV402" t="s">
        <v>48</v>
      </c>
      <c r="AW402" t="s">
        <v>48</v>
      </c>
    </row>
    <row r="403" spans="1:49" x14ac:dyDescent="0.3">
      <c r="A403" t="s">
        <v>1276</v>
      </c>
      <c r="B403" t="s">
        <v>48</v>
      </c>
      <c r="C403" t="s">
        <v>49</v>
      </c>
      <c r="D403">
        <v>432.4</v>
      </c>
      <c r="E403">
        <v>0</v>
      </c>
      <c r="F403">
        <v>2.67</v>
      </c>
      <c r="G403" t="s">
        <v>1277</v>
      </c>
      <c r="H403" t="s">
        <v>1278</v>
      </c>
      <c r="I403" t="s">
        <v>52</v>
      </c>
      <c r="J403" t="s">
        <v>53</v>
      </c>
      <c r="K403">
        <v>0.5</v>
      </c>
      <c r="L403" t="s">
        <v>54</v>
      </c>
      <c r="M403">
        <f>DOWNLOAD_2kLRbPnDtawQopEJ_UKtt22ud9U57gk8mqebZIeugNk[[#This Row],[Standard Value]]/DOWNLOAD_2kLRbPnDtawQopEJ_UKtt22ud9U57gk8mqebZIeugNk[[#This Row],[Molecular Weight]]*1000*1000</f>
        <v>1156.3367252543942</v>
      </c>
      <c r="N403">
        <f>-LOG(DOWNLOAD_2kLRbPnDtawQopEJ_UKtt22ud9U57gk8mqebZIeugNk[[#This Row],[IC50]]*POWER(10, -9), 10)</f>
        <v>5.936915680945253</v>
      </c>
      <c r="P403" t="s">
        <v>48</v>
      </c>
      <c r="R403" t="s">
        <v>55</v>
      </c>
      <c r="W403">
        <v>0</v>
      </c>
      <c r="X403" t="s">
        <v>80</v>
      </c>
      <c r="Y403" t="s">
        <v>81</v>
      </c>
      <c r="Z403" t="s">
        <v>58</v>
      </c>
      <c r="AA403" t="s">
        <v>59</v>
      </c>
      <c r="AB403" t="s">
        <v>60</v>
      </c>
      <c r="AC403" t="s">
        <v>61</v>
      </c>
      <c r="AD403" t="s">
        <v>49</v>
      </c>
      <c r="AE403" t="s">
        <v>49</v>
      </c>
      <c r="AF403" t="s">
        <v>49</v>
      </c>
      <c r="AG403" t="s">
        <v>49</v>
      </c>
      <c r="AH403" t="s">
        <v>48</v>
      </c>
      <c r="AI403" t="s">
        <v>48</v>
      </c>
      <c r="AJ403" t="s">
        <v>48</v>
      </c>
      <c r="AK403" t="s">
        <v>62</v>
      </c>
      <c r="AL403" t="s">
        <v>63</v>
      </c>
      <c r="AM403" t="s">
        <v>61</v>
      </c>
      <c r="AN403" t="s">
        <v>64</v>
      </c>
      <c r="AO403" t="s">
        <v>82</v>
      </c>
      <c r="AP403">
        <v>1</v>
      </c>
      <c r="AQ403" t="s">
        <v>66</v>
      </c>
      <c r="AR403" t="s">
        <v>67</v>
      </c>
      <c r="AS403">
        <v>1993</v>
      </c>
      <c r="AT403" t="s">
        <v>49</v>
      </c>
      <c r="AU403" t="s">
        <v>48</v>
      </c>
      <c r="AV403" t="s">
        <v>48</v>
      </c>
      <c r="AW403" t="s">
        <v>48</v>
      </c>
    </row>
    <row r="404" spans="1:49" x14ac:dyDescent="0.3">
      <c r="A404" t="s">
        <v>1279</v>
      </c>
      <c r="B404" t="s">
        <v>48</v>
      </c>
      <c r="C404" t="s">
        <v>49</v>
      </c>
      <c r="D404">
        <v>392.43</v>
      </c>
      <c r="E404">
        <v>0</v>
      </c>
      <c r="F404">
        <v>4.04</v>
      </c>
      <c r="G404" t="s">
        <v>1028</v>
      </c>
      <c r="H404" t="s">
        <v>1280</v>
      </c>
      <c r="I404" t="s">
        <v>52</v>
      </c>
      <c r="J404" t="s">
        <v>53</v>
      </c>
      <c r="K404">
        <v>3</v>
      </c>
      <c r="L404" t="s">
        <v>54</v>
      </c>
      <c r="M404">
        <f>DOWNLOAD_2kLRbPnDtawQopEJ_UKtt22ud9U57gk8mqebZIeugNk[[#This Row],[Standard Value]]/DOWNLOAD_2kLRbPnDtawQopEJ_UKtt22ud9U57gk8mqebZIeugNk[[#This Row],[Molecular Weight]]*1000*1000</f>
        <v>7644.6754835257234</v>
      </c>
      <c r="N404">
        <f>-LOG(DOWNLOAD_2kLRbPnDtawQopEJ_UKtt22ud9U57gk8mqebZIeugNk[[#This Row],[IC50]]*POWER(10, -9), 10)</f>
        <v>5.1166409456611284</v>
      </c>
      <c r="P404" t="s">
        <v>48</v>
      </c>
      <c r="R404" t="s">
        <v>55</v>
      </c>
      <c r="W404">
        <v>0</v>
      </c>
      <c r="X404" t="s">
        <v>135</v>
      </c>
      <c r="Y404" t="s">
        <v>136</v>
      </c>
      <c r="Z404" t="s">
        <v>58</v>
      </c>
      <c r="AA404" t="s">
        <v>59</v>
      </c>
      <c r="AB404" t="s">
        <v>60</v>
      </c>
      <c r="AC404" t="s">
        <v>61</v>
      </c>
      <c r="AD404" t="s">
        <v>49</v>
      </c>
      <c r="AE404" t="s">
        <v>49</v>
      </c>
      <c r="AF404" t="s">
        <v>49</v>
      </c>
      <c r="AG404" t="s">
        <v>49</v>
      </c>
      <c r="AH404" t="s">
        <v>48</v>
      </c>
      <c r="AI404" t="s">
        <v>48</v>
      </c>
      <c r="AJ404" t="s">
        <v>48</v>
      </c>
      <c r="AK404" t="s">
        <v>62</v>
      </c>
      <c r="AL404" t="s">
        <v>63</v>
      </c>
      <c r="AM404" t="s">
        <v>61</v>
      </c>
      <c r="AN404" t="s">
        <v>64</v>
      </c>
      <c r="AO404" t="s">
        <v>137</v>
      </c>
      <c r="AP404">
        <v>1</v>
      </c>
      <c r="AQ404" t="s">
        <v>66</v>
      </c>
      <c r="AR404" t="s">
        <v>67</v>
      </c>
      <c r="AS404">
        <v>1996</v>
      </c>
      <c r="AT404" t="s">
        <v>49</v>
      </c>
      <c r="AU404" t="s">
        <v>48</v>
      </c>
      <c r="AV404" t="s">
        <v>48</v>
      </c>
      <c r="AW404" t="s">
        <v>48</v>
      </c>
    </row>
    <row r="405" spans="1:49" x14ac:dyDescent="0.3">
      <c r="A405" t="s">
        <v>1281</v>
      </c>
      <c r="B405" t="s">
        <v>48</v>
      </c>
      <c r="C405" t="s">
        <v>49</v>
      </c>
      <c r="D405">
        <v>408.86</v>
      </c>
      <c r="E405">
        <v>0</v>
      </c>
      <c r="F405">
        <v>2.0299999999999998</v>
      </c>
      <c r="G405" t="s">
        <v>214</v>
      </c>
      <c r="H405" t="s">
        <v>1282</v>
      </c>
      <c r="I405" t="s">
        <v>52</v>
      </c>
      <c r="J405" t="s">
        <v>53</v>
      </c>
      <c r="K405">
        <v>7.5</v>
      </c>
      <c r="L405" t="s">
        <v>54</v>
      </c>
      <c r="M405">
        <f>DOWNLOAD_2kLRbPnDtawQopEJ_UKtt22ud9U57gk8mqebZIeugNk[[#This Row],[Standard Value]]/DOWNLOAD_2kLRbPnDtawQopEJ_UKtt22ud9U57gk8mqebZIeugNk[[#This Row],[Molecular Weight]]*1000*1000</f>
        <v>18343.687325734973</v>
      </c>
      <c r="N405">
        <f>-LOG(DOWNLOAD_2kLRbPnDtawQopEJ_UKtt22ud9U57gk8mqebZIeugNk[[#This Row],[IC50]]*POWER(10, -9), 10)</f>
        <v>4.7365133609092362</v>
      </c>
      <c r="P405" t="s">
        <v>48</v>
      </c>
      <c r="R405" t="s">
        <v>55</v>
      </c>
      <c r="W405">
        <v>0</v>
      </c>
      <c r="X405" t="s">
        <v>98</v>
      </c>
      <c r="Y405" t="s">
        <v>99</v>
      </c>
      <c r="Z405" t="s">
        <v>58</v>
      </c>
      <c r="AA405" t="s">
        <v>59</v>
      </c>
      <c r="AB405" t="s">
        <v>60</v>
      </c>
      <c r="AC405" t="s">
        <v>49</v>
      </c>
      <c r="AD405" t="s">
        <v>49</v>
      </c>
      <c r="AE405" t="s">
        <v>49</v>
      </c>
      <c r="AF405" t="s">
        <v>49</v>
      </c>
      <c r="AG405" t="s">
        <v>49</v>
      </c>
      <c r="AH405" t="s">
        <v>48</v>
      </c>
      <c r="AI405" t="s">
        <v>48</v>
      </c>
      <c r="AJ405" t="s">
        <v>48</v>
      </c>
      <c r="AK405" t="s">
        <v>62</v>
      </c>
      <c r="AL405" t="s">
        <v>63</v>
      </c>
      <c r="AM405" t="s">
        <v>61</v>
      </c>
      <c r="AN405" t="s">
        <v>64</v>
      </c>
      <c r="AO405" t="s">
        <v>100</v>
      </c>
      <c r="AP405">
        <v>1</v>
      </c>
      <c r="AQ405" t="s">
        <v>66</v>
      </c>
      <c r="AR405" t="s">
        <v>67</v>
      </c>
      <c r="AS405">
        <v>1991</v>
      </c>
      <c r="AT405" t="s">
        <v>49</v>
      </c>
      <c r="AU405" t="s">
        <v>48</v>
      </c>
      <c r="AV405" t="s">
        <v>48</v>
      </c>
      <c r="AW405" t="s">
        <v>48</v>
      </c>
    </row>
    <row r="406" spans="1:49" x14ac:dyDescent="0.3">
      <c r="A406" t="s">
        <v>960</v>
      </c>
      <c r="B406" t="s">
        <v>48</v>
      </c>
      <c r="C406" t="s">
        <v>49</v>
      </c>
      <c r="D406">
        <v>389.88</v>
      </c>
      <c r="E406">
        <v>0</v>
      </c>
      <c r="F406">
        <v>3.25</v>
      </c>
      <c r="G406" t="s">
        <v>961</v>
      </c>
      <c r="H406" t="s">
        <v>962</v>
      </c>
      <c r="I406" t="s">
        <v>52</v>
      </c>
      <c r="J406" t="s">
        <v>53</v>
      </c>
      <c r="K406">
        <v>1.6</v>
      </c>
      <c r="L406" t="s">
        <v>54</v>
      </c>
      <c r="M406">
        <f>DOWNLOAD_2kLRbPnDtawQopEJ_UKtt22ud9U57gk8mqebZIeugNk[[#This Row],[Standard Value]]/DOWNLOAD_2kLRbPnDtawQopEJ_UKtt22ud9U57gk8mqebZIeugNk[[#This Row],[Molecular Weight]]*1000*1000</f>
        <v>4103.8268185082588</v>
      </c>
      <c r="N406">
        <f>-LOG(DOWNLOAD_2kLRbPnDtawQopEJ_UKtt22ud9U57gk8mqebZIeugNk[[#This Row],[IC50]]*POWER(10, -9), 10)</f>
        <v>5.3868109747366821</v>
      </c>
      <c r="P406" t="s">
        <v>48</v>
      </c>
      <c r="R406" t="s">
        <v>55</v>
      </c>
      <c r="W406">
        <v>0</v>
      </c>
      <c r="X406" t="s">
        <v>372</v>
      </c>
      <c r="Y406" t="s">
        <v>373</v>
      </c>
      <c r="Z406" t="s">
        <v>58</v>
      </c>
      <c r="AA406" t="s">
        <v>59</v>
      </c>
      <c r="AB406" t="s">
        <v>60</v>
      </c>
      <c r="AC406" t="s">
        <v>61</v>
      </c>
      <c r="AD406" t="s">
        <v>49</v>
      </c>
      <c r="AE406" t="s">
        <v>49</v>
      </c>
      <c r="AF406" t="s">
        <v>49</v>
      </c>
      <c r="AG406" t="s">
        <v>49</v>
      </c>
      <c r="AH406" t="s">
        <v>48</v>
      </c>
      <c r="AI406" t="s">
        <v>48</v>
      </c>
      <c r="AJ406" t="s">
        <v>48</v>
      </c>
      <c r="AK406" t="s">
        <v>62</v>
      </c>
      <c r="AL406" t="s">
        <v>63</v>
      </c>
      <c r="AM406" t="s">
        <v>61</v>
      </c>
      <c r="AN406" t="s">
        <v>64</v>
      </c>
      <c r="AO406" t="s">
        <v>94</v>
      </c>
      <c r="AP406">
        <v>1</v>
      </c>
      <c r="AQ406" t="s">
        <v>66</v>
      </c>
      <c r="AR406" t="s">
        <v>67</v>
      </c>
      <c r="AS406">
        <v>2003</v>
      </c>
      <c r="AT406" t="s">
        <v>49</v>
      </c>
      <c r="AU406" t="s">
        <v>48</v>
      </c>
      <c r="AV406" t="s">
        <v>48</v>
      </c>
      <c r="AW406" t="s">
        <v>48</v>
      </c>
    </row>
    <row r="407" spans="1:49" x14ac:dyDescent="0.3">
      <c r="A407" t="s">
        <v>1283</v>
      </c>
      <c r="B407" t="s">
        <v>48</v>
      </c>
      <c r="C407" t="s">
        <v>49</v>
      </c>
      <c r="D407">
        <v>406.43</v>
      </c>
      <c r="E407">
        <v>0</v>
      </c>
      <c r="F407">
        <v>2.13</v>
      </c>
      <c r="G407" t="s">
        <v>410</v>
      </c>
      <c r="H407" t="s">
        <v>1284</v>
      </c>
      <c r="I407" t="s">
        <v>52</v>
      </c>
      <c r="J407" t="s">
        <v>71</v>
      </c>
      <c r="K407">
        <v>200</v>
      </c>
      <c r="L407" t="s">
        <v>54</v>
      </c>
      <c r="M407">
        <f>DOWNLOAD_2kLRbPnDtawQopEJ_UKtt22ud9U57gk8mqebZIeugNk[[#This Row],[Standard Value]]/DOWNLOAD_2kLRbPnDtawQopEJ_UKtt22ud9U57gk8mqebZIeugNk[[#This Row],[Molecular Weight]]*1000*1000</f>
        <v>492089.65873582166</v>
      </c>
      <c r="N407">
        <f>-LOG(DOWNLOAD_2kLRbPnDtawQopEJ_UKtt22ud9U57gk8mqebZIeugNk[[#This Row],[IC50]]*POWER(10, -9), 10)</f>
        <v>3.3079557615685586</v>
      </c>
      <c r="P407" t="s">
        <v>72</v>
      </c>
      <c r="R407" t="s">
        <v>55</v>
      </c>
      <c r="W407">
        <v>0</v>
      </c>
      <c r="X407" t="s">
        <v>56</v>
      </c>
      <c r="Y407" t="s">
        <v>57</v>
      </c>
      <c r="Z407" t="s">
        <v>58</v>
      </c>
      <c r="AA407" t="s">
        <v>59</v>
      </c>
      <c r="AB407" t="s">
        <v>60</v>
      </c>
      <c r="AC407" t="s">
        <v>61</v>
      </c>
      <c r="AD407" t="s">
        <v>49</v>
      </c>
      <c r="AE407" t="s">
        <v>49</v>
      </c>
      <c r="AF407" t="s">
        <v>49</v>
      </c>
      <c r="AG407" t="s">
        <v>49</v>
      </c>
      <c r="AH407" t="s">
        <v>48</v>
      </c>
      <c r="AI407" t="s">
        <v>48</v>
      </c>
      <c r="AJ407" t="s">
        <v>48</v>
      </c>
      <c r="AK407" t="s">
        <v>62</v>
      </c>
      <c r="AL407" t="s">
        <v>63</v>
      </c>
      <c r="AM407" t="s">
        <v>61</v>
      </c>
      <c r="AN407" t="s">
        <v>64</v>
      </c>
      <c r="AO407" t="s">
        <v>65</v>
      </c>
      <c r="AP407">
        <v>1</v>
      </c>
      <c r="AQ407" t="s">
        <v>66</v>
      </c>
      <c r="AR407" t="s">
        <v>67</v>
      </c>
      <c r="AS407">
        <v>1988</v>
      </c>
      <c r="AT407" t="s">
        <v>49</v>
      </c>
      <c r="AU407" t="s">
        <v>48</v>
      </c>
      <c r="AV407" t="s">
        <v>48</v>
      </c>
      <c r="AW407" t="s">
        <v>48</v>
      </c>
    </row>
    <row r="408" spans="1:49" x14ac:dyDescent="0.3">
      <c r="A408" t="s">
        <v>1285</v>
      </c>
      <c r="B408" t="s">
        <v>1286</v>
      </c>
      <c r="C408" t="s">
        <v>49</v>
      </c>
      <c r="D408">
        <v>391.42</v>
      </c>
      <c r="E408">
        <v>0</v>
      </c>
      <c r="F408">
        <v>2.75</v>
      </c>
      <c r="G408" t="s">
        <v>1287</v>
      </c>
      <c r="H408" t="s">
        <v>1288</v>
      </c>
      <c r="I408" t="s">
        <v>52</v>
      </c>
      <c r="J408" t="s">
        <v>53</v>
      </c>
      <c r="K408">
        <v>1.4</v>
      </c>
      <c r="L408" t="s">
        <v>54</v>
      </c>
      <c r="M408">
        <f>DOWNLOAD_2kLRbPnDtawQopEJ_UKtt22ud9U57gk8mqebZIeugNk[[#This Row],[Standard Value]]/DOWNLOAD_2kLRbPnDtawQopEJ_UKtt22ud9U57gk8mqebZIeugNk[[#This Row],[Molecular Weight]]*1000*1000</f>
        <v>3576.7206581166006</v>
      </c>
      <c r="N408">
        <f>-LOG(DOWNLOAD_2kLRbPnDtawQopEJ_UKtt22ud9U57gk8mqebZIeugNk[[#This Row],[IC50]]*POWER(10, -9), 10)</f>
        <v>5.4465149769256227</v>
      </c>
      <c r="P408" t="s">
        <v>48</v>
      </c>
      <c r="R408" t="s">
        <v>55</v>
      </c>
      <c r="W408">
        <v>0</v>
      </c>
      <c r="X408" t="s">
        <v>56</v>
      </c>
      <c r="Y408" t="s">
        <v>57</v>
      </c>
      <c r="Z408" t="s">
        <v>58</v>
      </c>
      <c r="AA408" t="s">
        <v>59</v>
      </c>
      <c r="AB408" t="s">
        <v>60</v>
      </c>
      <c r="AC408" t="s">
        <v>61</v>
      </c>
      <c r="AD408" t="s">
        <v>49</v>
      </c>
      <c r="AE408" t="s">
        <v>49</v>
      </c>
      <c r="AF408" t="s">
        <v>49</v>
      </c>
      <c r="AG408" t="s">
        <v>49</v>
      </c>
      <c r="AH408" t="s">
        <v>48</v>
      </c>
      <c r="AI408" t="s">
        <v>48</v>
      </c>
      <c r="AJ408" t="s">
        <v>48</v>
      </c>
      <c r="AK408" t="s">
        <v>62</v>
      </c>
      <c r="AL408" t="s">
        <v>63</v>
      </c>
      <c r="AM408" t="s">
        <v>61</v>
      </c>
      <c r="AN408" t="s">
        <v>64</v>
      </c>
      <c r="AO408" t="s">
        <v>65</v>
      </c>
      <c r="AP408">
        <v>1</v>
      </c>
      <c r="AQ408" t="s">
        <v>66</v>
      </c>
      <c r="AR408" t="s">
        <v>67</v>
      </c>
      <c r="AS408">
        <v>1988</v>
      </c>
      <c r="AT408" t="s">
        <v>49</v>
      </c>
      <c r="AU408" t="s">
        <v>48</v>
      </c>
      <c r="AV408" t="s">
        <v>48</v>
      </c>
      <c r="AW408" t="s">
        <v>48</v>
      </c>
    </row>
    <row r="409" spans="1:49" x14ac:dyDescent="0.3">
      <c r="A409" t="s">
        <v>542</v>
      </c>
      <c r="B409" t="s">
        <v>543</v>
      </c>
      <c r="C409" t="s">
        <v>112</v>
      </c>
      <c r="D409">
        <v>319.33999999999997</v>
      </c>
      <c r="E409">
        <v>0</v>
      </c>
      <c r="F409">
        <v>1.27</v>
      </c>
      <c r="G409" t="s">
        <v>1289</v>
      </c>
      <c r="H409" t="s">
        <v>545</v>
      </c>
      <c r="I409" t="s">
        <v>52</v>
      </c>
      <c r="J409" t="s">
        <v>53</v>
      </c>
      <c r="K409">
        <v>600</v>
      </c>
      <c r="L409" t="s">
        <v>126</v>
      </c>
      <c r="M409">
        <f>DOWNLOAD_2kLRbPnDtawQopEJ_UKtt22ud9U57gk8mqebZIeugNk[[#This Row],[Standard Value]]</f>
        <v>600</v>
      </c>
      <c r="N409">
        <f>-LOG(DOWNLOAD_2kLRbPnDtawQopEJ_UKtt22ud9U57gk8mqebZIeugNk[[#This Row],[IC50]]*POWER(10, -9), 10)</f>
        <v>6.2218487496163553</v>
      </c>
      <c r="O409">
        <v>6.22</v>
      </c>
      <c r="P409" t="s">
        <v>48</v>
      </c>
      <c r="R409" t="s">
        <v>127</v>
      </c>
      <c r="S409">
        <v>19.48</v>
      </c>
      <c r="T409">
        <v>0.37</v>
      </c>
      <c r="U409">
        <v>4.95</v>
      </c>
      <c r="V409">
        <v>8.34</v>
      </c>
      <c r="W409">
        <v>0</v>
      </c>
      <c r="X409" t="s">
        <v>805</v>
      </c>
      <c r="Y409" t="s">
        <v>806</v>
      </c>
      <c r="Z409" t="s">
        <v>58</v>
      </c>
      <c r="AA409" t="s">
        <v>59</v>
      </c>
      <c r="AB409" t="s">
        <v>60</v>
      </c>
      <c r="AC409" t="s">
        <v>61</v>
      </c>
      <c r="AD409" t="s">
        <v>49</v>
      </c>
      <c r="AE409" t="s">
        <v>49</v>
      </c>
      <c r="AF409" t="s">
        <v>49</v>
      </c>
      <c r="AG409" t="s">
        <v>49</v>
      </c>
      <c r="AH409" t="s">
        <v>48</v>
      </c>
      <c r="AI409" t="s">
        <v>48</v>
      </c>
      <c r="AJ409" t="s">
        <v>48</v>
      </c>
      <c r="AK409" t="s">
        <v>62</v>
      </c>
      <c r="AL409" t="s">
        <v>63</v>
      </c>
      <c r="AM409" t="s">
        <v>61</v>
      </c>
      <c r="AN409" t="s">
        <v>64</v>
      </c>
      <c r="AO409" t="s">
        <v>807</v>
      </c>
      <c r="AP409">
        <v>1</v>
      </c>
      <c r="AQ409" t="s">
        <v>66</v>
      </c>
      <c r="AR409" t="s">
        <v>67</v>
      </c>
      <c r="AS409">
        <v>2006</v>
      </c>
      <c r="AT409" t="s">
        <v>49</v>
      </c>
      <c r="AU409" t="s">
        <v>48</v>
      </c>
      <c r="AV409" t="s">
        <v>48</v>
      </c>
      <c r="AW409" t="s">
        <v>48</v>
      </c>
    </row>
    <row r="410" spans="1:49" x14ac:dyDescent="0.3">
      <c r="A410" t="s">
        <v>1290</v>
      </c>
      <c r="B410" t="s">
        <v>48</v>
      </c>
      <c r="C410" t="s">
        <v>49</v>
      </c>
      <c r="D410">
        <v>438.36</v>
      </c>
      <c r="E410">
        <v>0</v>
      </c>
      <c r="F410">
        <v>1.8</v>
      </c>
      <c r="G410" t="s">
        <v>1291</v>
      </c>
      <c r="H410" t="s">
        <v>1292</v>
      </c>
      <c r="I410" t="s">
        <v>52</v>
      </c>
      <c r="J410" t="s">
        <v>53</v>
      </c>
      <c r="K410">
        <v>700</v>
      </c>
      <c r="L410" t="s">
        <v>126</v>
      </c>
      <c r="M410">
        <f>DOWNLOAD_2kLRbPnDtawQopEJ_UKtt22ud9U57gk8mqebZIeugNk[[#This Row],[Standard Value]]</f>
        <v>700</v>
      </c>
      <c r="N410">
        <f>-LOG(DOWNLOAD_2kLRbPnDtawQopEJ_UKtt22ud9U57gk8mqebZIeugNk[[#This Row],[IC50]]*POWER(10, -9), 10)</f>
        <v>6.1549019599857431</v>
      </c>
      <c r="O410">
        <v>6.16</v>
      </c>
      <c r="P410" t="s">
        <v>48</v>
      </c>
      <c r="Q410">
        <v>302860</v>
      </c>
      <c r="R410" t="s">
        <v>127</v>
      </c>
      <c r="S410">
        <v>14.04</v>
      </c>
      <c r="T410">
        <v>0.27</v>
      </c>
      <c r="U410">
        <v>4.3499999999999996</v>
      </c>
      <c r="V410">
        <v>5.41</v>
      </c>
      <c r="W410">
        <v>0</v>
      </c>
      <c r="X410" t="s">
        <v>251</v>
      </c>
      <c r="Y410" t="s">
        <v>252</v>
      </c>
      <c r="Z410" t="s">
        <v>58</v>
      </c>
      <c r="AA410" t="s">
        <v>59</v>
      </c>
      <c r="AB410" t="s">
        <v>60</v>
      </c>
      <c r="AC410" t="s">
        <v>61</v>
      </c>
      <c r="AD410" t="s">
        <v>49</v>
      </c>
      <c r="AE410" t="s">
        <v>49</v>
      </c>
      <c r="AF410" t="s">
        <v>49</v>
      </c>
      <c r="AG410" t="s">
        <v>49</v>
      </c>
      <c r="AH410" t="s">
        <v>48</v>
      </c>
      <c r="AI410" t="s">
        <v>48</v>
      </c>
      <c r="AJ410" t="s">
        <v>48</v>
      </c>
      <c r="AK410" t="s">
        <v>62</v>
      </c>
      <c r="AL410" t="s">
        <v>63</v>
      </c>
      <c r="AM410" t="s">
        <v>61</v>
      </c>
      <c r="AN410" t="s">
        <v>64</v>
      </c>
      <c r="AO410" t="s">
        <v>253</v>
      </c>
      <c r="AP410">
        <v>37</v>
      </c>
      <c r="AQ410" t="s">
        <v>254</v>
      </c>
      <c r="AR410" t="s">
        <v>48</v>
      </c>
      <c r="AS410">
        <v>2015</v>
      </c>
      <c r="AT410" t="s">
        <v>49</v>
      </c>
      <c r="AU410" t="s">
        <v>48</v>
      </c>
      <c r="AV410" t="s">
        <v>48</v>
      </c>
      <c r="AW410" t="s">
        <v>48</v>
      </c>
    </row>
    <row r="411" spans="1:49" x14ac:dyDescent="0.3">
      <c r="A411" t="s">
        <v>436</v>
      </c>
      <c r="B411" t="s">
        <v>48</v>
      </c>
      <c r="C411" t="s">
        <v>49</v>
      </c>
      <c r="D411">
        <v>495.41</v>
      </c>
      <c r="E411">
        <v>0</v>
      </c>
      <c r="F411">
        <v>0.85</v>
      </c>
      <c r="G411" t="s">
        <v>437</v>
      </c>
      <c r="H411" t="s">
        <v>438</v>
      </c>
      <c r="I411" t="s">
        <v>52</v>
      </c>
      <c r="J411" t="s">
        <v>53</v>
      </c>
      <c r="K411">
        <v>1600</v>
      </c>
      <c r="L411" t="s">
        <v>126</v>
      </c>
      <c r="M411">
        <f>DOWNLOAD_2kLRbPnDtawQopEJ_UKtt22ud9U57gk8mqebZIeugNk[[#This Row],[Standard Value]]</f>
        <v>1600</v>
      </c>
      <c r="N411">
        <f>-LOG(DOWNLOAD_2kLRbPnDtawQopEJ_UKtt22ud9U57gk8mqebZIeugNk[[#This Row],[IC50]]*POWER(10, -9), 10)</f>
        <v>5.795880017344075</v>
      </c>
      <c r="O411">
        <v>5.8</v>
      </c>
      <c r="P411" t="s">
        <v>48</v>
      </c>
      <c r="Q411">
        <v>302863</v>
      </c>
      <c r="R411" t="s">
        <v>127</v>
      </c>
      <c r="S411">
        <v>11.7</v>
      </c>
      <c r="T411">
        <v>0.23</v>
      </c>
      <c r="U411">
        <v>4.95</v>
      </c>
      <c r="V411">
        <v>4.0599999999999996</v>
      </c>
      <c r="W411">
        <v>0</v>
      </c>
      <c r="X411" t="s">
        <v>251</v>
      </c>
      <c r="Y411" t="s">
        <v>252</v>
      </c>
      <c r="Z411" t="s">
        <v>58</v>
      </c>
      <c r="AA411" t="s">
        <v>59</v>
      </c>
      <c r="AB411" t="s">
        <v>60</v>
      </c>
      <c r="AC411" t="s">
        <v>61</v>
      </c>
      <c r="AD411" t="s">
        <v>49</v>
      </c>
      <c r="AE411" t="s">
        <v>49</v>
      </c>
      <c r="AF411" t="s">
        <v>49</v>
      </c>
      <c r="AG411" t="s">
        <v>49</v>
      </c>
      <c r="AH411" t="s">
        <v>48</v>
      </c>
      <c r="AI411" t="s">
        <v>48</v>
      </c>
      <c r="AJ411" t="s">
        <v>48</v>
      </c>
      <c r="AK411" t="s">
        <v>62</v>
      </c>
      <c r="AL411" t="s">
        <v>63</v>
      </c>
      <c r="AM411" t="s">
        <v>61</v>
      </c>
      <c r="AN411" t="s">
        <v>64</v>
      </c>
      <c r="AO411" t="s">
        <v>253</v>
      </c>
      <c r="AP411">
        <v>37</v>
      </c>
      <c r="AQ411" t="s">
        <v>254</v>
      </c>
      <c r="AR411" t="s">
        <v>48</v>
      </c>
      <c r="AS411">
        <v>2015</v>
      </c>
      <c r="AT411" t="s">
        <v>49</v>
      </c>
      <c r="AU411" t="s">
        <v>48</v>
      </c>
      <c r="AV411" t="s">
        <v>48</v>
      </c>
      <c r="AW411" t="s">
        <v>48</v>
      </c>
    </row>
    <row r="412" spans="1:49" x14ac:dyDescent="0.3">
      <c r="A412" t="s">
        <v>1293</v>
      </c>
      <c r="B412" t="s">
        <v>48</v>
      </c>
      <c r="C412" t="s">
        <v>49</v>
      </c>
      <c r="D412">
        <v>376.39</v>
      </c>
      <c r="E412">
        <v>0</v>
      </c>
      <c r="F412">
        <v>1.1299999999999999</v>
      </c>
      <c r="G412" t="s">
        <v>239</v>
      </c>
      <c r="H412" t="s">
        <v>1294</v>
      </c>
      <c r="I412" t="s">
        <v>52</v>
      </c>
      <c r="J412" t="s">
        <v>53</v>
      </c>
      <c r="K412">
        <v>26</v>
      </c>
      <c r="L412" t="s">
        <v>54</v>
      </c>
      <c r="M412">
        <f>DOWNLOAD_2kLRbPnDtawQopEJ_UKtt22ud9U57gk8mqebZIeugNk[[#This Row],[Standard Value]]/DOWNLOAD_2kLRbPnDtawQopEJ_UKtt22ud9U57gk8mqebZIeugNk[[#This Row],[Molecular Weight]]*1000*1000</f>
        <v>69077.286856717765</v>
      </c>
      <c r="N412">
        <f>-LOG(DOWNLOAD_2kLRbPnDtawQopEJ_UKtt22ud9U57gk8mqebZIeugNk[[#This Row],[IC50]]*POWER(10, -9), 10)</f>
        <v>4.1606647285205574</v>
      </c>
      <c r="P412" t="s">
        <v>48</v>
      </c>
      <c r="R412" t="s">
        <v>55</v>
      </c>
      <c r="W412">
        <v>0</v>
      </c>
      <c r="X412" t="s">
        <v>56</v>
      </c>
      <c r="Y412" t="s">
        <v>57</v>
      </c>
      <c r="Z412" t="s">
        <v>58</v>
      </c>
      <c r="AA412" t="s">
        <v>59</v>
      </c>
      <c r="AB412" t="s">
        <v>60</v>
      </c>
      <c r="AC412" t="s">
        <v>61</v>
      </c>
      <c r="AD412" t="s">
        <v>49</v>
      </c>
      <c r="AE412" t="s">
        <v>49</v>
      </c>
      <c r="AF412" t="s">
        <v>49</v>
      </c>
      <c r="AG412" t="s">
        <v>49</v>
      </c>
      <c r="AH412" t="s">
        <v>48</v>
      </c>
      <c r="AI412" t="s">
        <v>48</v>
      </c>
      <c r="AJ412" t="s">
        <v>48</v>
      </c>
      <c r="AK412" t="s">
        <v>62</v>
      </c>
      <c r="AL412" t="s">
        <v>63</v>
      </c>
      <c r="AM412" t="s">
        <v>61</v>
      </c>
      <c r="AN412" t="s">
        <v>64</v>
      </c>
      <c r="AO412" t="s">
        <v>65</v>
      </c>
      <c r="AP412">
        <v>1</v>
      </c>
      <c r="AQ412" t="s">
        <v>66</v>
      </c>
      <c r="AR412" t="s">
        <v>67</v>
      </c>
      <c r="AS412">
        <v>1988</v>
      </c>
      <c r="AT412" t="s">
        <v>49</v>
      </c>
      <c r="AU412" t="s">
        <v>48</v>
      </c>
      <c r="AV412" t="s">
        <v>48</v>
      </c>
      <c r="AW412" t="s">
        <v>48</v>
      </c>
    </row>
    <row r="413" spans="1:49" x14ac:dyDescent="0.3">
      <c r="A413" t="s">
        <v>238</v>
      </c>
      <c r="B413" t="s">
        <v>48</v>
      </c>
      <c r="C413" t="s">
        <v>49</v>
      </c>
      <c r="D413">
        <v>451.4</v>
      </c>
      <c r="E413">
        <v>1</v>
      </c>
      <c r="F413">
        <v>6.31</v>
      </c>
      <c r="G413" t="s">
        <v>1295</v>
      </c>
      <c r="H413" t="s">
        <v>240</v>
      </c>
      <c r="I413" t="s">
        <v>52</v>
      </c>
      <c r="J413" t="s">
        <v>53</v>
      </c>
      <c r="K413">
        <v>13.9</v>
      </c>
      <c r="L413" t="s">
        <v>54</v>
      </c>
      <c r="M413">
        <f>DOWNLOAD_2kLRbPnDtawQopEJ_UKtt22ud9U57gk8mqebZIeugNk[[#This Row],[Standard Value]]/DOWNLOAD_2kLRbPnDtawQopEJ_UKtt22ud9U57gk8mqebZIeugNk[[#This Row],[Molecular Weight]]*1000*1000</f>
        <v>30793.088170137351</v>
      </c>
      <c r="N413">
        <f>-LOG(DOWNLOAD_2kLRbPnDtawQopEJ_UKtt22ud9U57gk8mqebZIeugNk[[#This Row],[IC50]]*POWER(10, -9), 10)</f>
        <v>4.5115467544876475</v>
      </c>
      <c r="P413" t="s">
        <v>48</v>
      </c>
      <c r="R413" t="s">
        <v>55</v>
      </c>
      <c r="W413">
        <v>0</v>
      </c>
      <c r="X413" t="s">
        <v>1167</v>
      </c>
      <c r="Y413" t="s">
        <v>1168</v>
      </c>
      <c r="Z413" t="s">
        <v>58</v>
      </c>
      <c r="AA413" t="s">
        <v>59</v>
      </c>
      <c r="AB413" t="s">
        <v>60</v>
      </c>
      <c r="AC413" t="s">
        <v>61</v>
      </c>
      <c r="AD413" t="s">
        <v>49</v>
      </c>
      <c r="AE413" t="s">
        <v>49</v>
      </c>
      <c r="AF413" t="s">
        <v>49</v>
      </c>
      <c r="AG413" t="s">
        <v>49</v>
      </c>
      <c r="AH413" t="s">
        <v>48</v>
      </c>
      <c r="AI413" t="s">
        <v>48</v>
      </c>
      <c r="AJ413" t="s">
        <v>48</v>
      </c>
      <c r="AK413" t="s">
        <v>62</v>
      </c>
      <c r="AL413" t="s">
        <v>63</v>
      </c>
      <c r="AM413" t="s">
        <v>61</v>
      </c>
      <c r="AN413" t="s">
        <v>64</v>
      </c>
      <c r="AO413" t="s">
        <v>1169</v>
      </c>
      <c r="AP413">
        <v>1</v>
      </c>
      <c r="AQ413" t="s">
        <v>66</v>
      </c>
      <c r="AR413" t="s">
        <v>76</v>
      </c>
      <c r="AS413">
        <v>2005</v>
      </c>
      <c r="AT413" t="s">
        <v>49</v>
      </c>
      <c r="AU413" t="s">
        <v>48</v>
      </c>
      <c r="AV413" t="s">
        <v>48</v>
      </c>
      <c r="AW413" t="s">
        <v>48</v>
      </c>
    </row>
    <row r="414" spans="1:49" x14ac:dyDescent="0.3">
      <c r="A414" t="s">
        <v>1296</v>
      </c>
      <c r="B414" t="s">
        <v>48</v>
      </c>
      <c r="C414" t="s">
        <v>49</v>
      </c>
      <c r="D414">
        <v>246.19</v>
      </c>
      <c r="E414">
        <v>0</v>
      </c>
      <c r="F414">
        <v>2.5</v>
      </c>
      <c r="G414" t="s">
        <v>1297</v>
      </c>
      <c r="H414" t="s">
        <v>1298</v>
      </c>
      <c r="I414" t="s">
        <v>52</v>
      </c>
      <c r="J414" t="s">
        <v>53</v>
      </c>
      <c r="K414">
        <v>110</v>
      </c>
      <c r="L414" t="s">
        <v>54</v>
      </c>
      <c r="M414">
        <f>DOWNLOAD_2kLRbPnDtawQopEJ_UKtt22ud9U57gk8mqebZIeugNk[[#This Row],[Standard Value]]/DOWNLOAD_2kLRbPnDtawQopEJ_UKtt22ud9U57gk8mqebZIeugNk[[#This Row],[Molecular Weight]]*1000*1000</f>
        <v>446809.37487306556</v>
      </c>
      <c r="N414">
        <f>-LOG(DOWNLOAD_2kLRbPnDtawQopEJ_UKtt22ud9U57gk8mqebZIeugNk[[#This Row],[IC50]]*POWER(10, -9), 10)</f>
        <v>3.3498777231729742</v>
      </c>
      <c r="P414" t="s">
        <v>72</v>
      </c>
      <c r="R414" t="s">
        <v>55</v>
      </c>
      <c r="W414">
        <v>0</v>
      </c>
      <c r="X414" t="s">
        <v>73</v>
      </c>
      <c r="Y414" t="s">
        <v>74</v>
      </c>
      <c r="Z414" t="s">
        <v>58</v>
      </c>
      <c r="AA414" t="s">
        <v>59</v>
      </c>
      <c r="AB414" t="s">
        <v>60</v>
      </c>
      <c r="AC414" t="s">
        <v>61</v>
      </c>
      <c r="AD414" t="s">
        <v>49</v>
      </c>
      <c r="AE414" t="s">
        <v>49</v>
      </c>
      <c r="AF414" t="s">
        <v>49</v>
      </c>
      <c r="AG414" t="s">
        <v>49</v>
      </c>
      <c r="AH414" t="s">
        <v>48</v>
      </c>
      <c r="AI414" t="s">
        <v>48</v>
      </c>
      <c r="AJ414" t="s">
        <v>48</v>
      </c>
      <c r="AK414" t="s">
        <v>62</v>
      </c>
      <c r="AL414" t="s">
        <v>63</v>
      </c>
      <c r="AM414" t="s">
        <v>61</v>
      </c>
      <c r="AN414" t="s">
        <v>64</v>
      </c>
      <c r="AO414" t="s">
        <v>75</v>
      </c>
      <c r="AP414">
        <v>1</v>
      </c>
      <c r="AQ414" t="s">
        <v>66</v>
      </c>
      <c r="AR414" t="s">
        <v>76</v>
      </c>
      <c r="AS414">
        <v>1998</v>
      </c>
      <c r="AT414" t="s">
        <v>49</v>
      </c>
      <c r="AU414" t="s">
        <v>48</v>
      </c>
      <c r="AV414" t="s">
        <v>48</v>
      </c>
      <c r="AW414" t="s">
        <v>48</v>
      </c>
    </row>
    <row r="415" spans="1:49" x14ac:dyDescent="0.3">
      <c r="A415" t="s">
        <v>1299</v>
      </c>
      <c r="B415" t="s">
        <v>48</v>
      </c>
      <c r="C415" t="s">
        <v>49</v>
      </c>
      <c r="D415">
        <v>409.88</v>
      </c>
      <c r="E415">
        <v>0</v>
      </c>
      <c r="F415">
        <v>4.87</v>
      </c>
      <c r="G415" t="s">
        <v>1300</v>
      </c>
      <c r="H415" t="s">
        <v>1301</v>
      </c>
      <c r="I415" t="s">
        <v>52</v>
      </c>
      <c r="J415" t="s">
        <v>53</v>
      </c>
      <c r="K415">
        <v>150</v>
      </c>
      <c r="L415" t="s">
        <v>126</v>
      </c>
      <c r="M415">
        <f>DOWNLOAD_2kLRbPnDtawQopEJ_UKtt22ud9U57gk8mqebZIeugNk[[#This Row],[Standard Value]]</f>
        <v>150</v>
      </c>
      <c r="N415">
        <f>-LOG(DOWNLOAD_2kLRbPnDtawQopEJ_UKtt22ud9U57gk8mqebZIeugNk[[#This Row],[IC50]]*POWER(10, -9), 10)</f>
        <v>6.8239087409443178</v>
      </c>
      <c r="O415">
        <v>6.82</v>
      </c>
      <c r="P415" t="s">
        <v>48</v>
      </c>
      <c r="R415" t="s">
        <v>127</v>
      </c>
      <c r="S415">
        <v>16.649999999999999</v>
      </c>
      <c r="T415">
        <v>0.32</v>
      </c>
      <c r="U415">
        <v>1.95</v>
      </c>
      <c r="V415">
        <v>7.17</v>
      </c>
      <c r="W415">
        <v>0</v>
      </c>
      <c r="X415" t="s">
        <v>128</v>
      </c>
      <c r="Y415" t="s">
        <v>129</v>
      </c>
      <c r="Z415" t="s">
        <v>58</v>
      </c>
      <c r="AA415" t="s">
        <v>59</v>
      </c>
      <c r="AB415" t="s">
        <v>60</v>
      </c>
      <c r="AC415" t="s">
        <v>61</v>
      </c>
      <c r="AD415" t="s">
        <v>49</v>
      </c>
      <c r="AE415" t="s">
        <v>49</v>
      </c>
      <c r="AF415" t="s">
        <v>49</v>
      </c>
      <c r="AG415" t="s">
        <v>49</v>
      </c>
      <c r="AH415" t="s">
        <v>48</v>
      </c>
      <c r="AI415" t="s">
        <v>48</v>
      </c>
      <c r="AJ415" t="s">
        <v>48</v>
      </c>
      <c r="AK415" t="s">
        <v>62</v>
      </c>
      <c r="AL415" t="s">
        <v>63</v>
      </c>
      <c r="AM415" t="s">
        <v>61</v>
      </c>
      <c r="AN415" t="s">
        <v>64</v>
      </c>
      <c r="AO415" t="s">
        <v>130</v>
      </c>
      <c r="AP415">
        <v>1</v>
      </c>
      <c r="AQ415" t="s">
        <v>66</v>
      </c>
      <c r="AR415" t="s">
        <v>131</v>
      </c>
      <c r="AS415">
        <v>2014</v>
      </c>
      <c r="AT415" t="s">
        <v>49</v>
      </c>
      <c r="AU415" t="s">
        <v>48</v>
      </c>
      <c r="AV415" t="s">
        <v>48</v>
      </c>
      <c r="AW415" t="s">
        <v>48</v>
      </c>
    </row>
    <row r="416" spans="1:49" x14ac:dyDescent="0.3">
      <c r="A416" t="s">
        <v>1302</v>
      </c>
      <c r="B416" t="s">
        <v>48</v>
      </c>
      <c r="C416" t="s">
        <v>49</v>
      </c>
      <c r="D416">
        <v>330.41</v>
      </c>
      <c r="E416">
        <v>0</v>
      </c>
      <c r="F416">
        <v>1.17</v>
      </c>
      <c r="G416" t="s">
        <v>1104</v>
      </c>
      <c r="H416" t="s">
        <v>1303</v>
      </c>
      <c r="I416" t="s">
        <v>52</v>
      </c>
      <c r="J416" t="s">
        <v>53</v>
      </c>
      <c r="K416">
        <v>14000</v>
      </c>
      <c r="L416" t="s">
        <v>126</v>
      </c>
      <c r="M416">
        <f>DOWNLOAD_2kLRbPnDtawQopEJ_UKtt22ud9U57gk8mqebZIeugNk[[#This Row],[Standard Value]]</f>
        <v>14000</v>
      </c>
      <c r="N416">
        <f>-LOG(DOWNLOAD_2kLRbPnDtawQopEJ_UKtt22ud9U57gk8mqebZIeugNk[[#This Row],[IC50]]*POWER(10, -9), 10)</f>
        <v>4.8538719643217609</v>
      </c>
      <c r="O416">
        <v>4.8499999999999996</v>
      </c>
      <c r="P416" t="s">
        <v>48</v>
      </c>
      <c r="R416" t="s">
        <v>127</v>
      </c>
      <c r="S416">
        <v>14.69</v>
      </c>
      <c r="T416">
        <v>0.28999999999999998</v>
      </c>
      <c r="U416">
        <v>3.68</v>
      </c>
      <c r="V416">
        <v>6.97</v>
      </c>
      <c r="W416">
        <v>0</v>
      </c>
      <c r="X416" t="s">
        <v>805</v>
      </c>
      <c r="Y416" t="s">
        <v>806</v>
      </c>
      <c r="Z416" t="s">
        <v>58</v>
      </c>
      <c r="AA416" t="s">
        <v>59</v>
      </c>
      <c r="AB416" t="s">
        <v>60</v>
      </c>
      <c r="AC416" t="s">
        <v>61</v>
      </c>
      <c r="AD416" t="s">
        <v>49</v>
      </c>
      <c r="AE416" t="s">
        <v>49</v>
      </c>
      <c r="AF416" t="s">
        <v>49</v>
      </c>
      <c r="AG416" t="s">
        <v>49</v>
      </c>
      <c r="AH416" t="s">
        <v>48</v>
      </c>
      <c r="AI416" t="s">
        <v>48</v>
      </c>
      <c r="AJ416" t="s">
        <v>48</v>
      </c>
      <c r="AK416" t="s">
        <v>62</v>
      </c>
      <c r="AL416" t="s">
        <v>63</v>
      </c>
      <c r="AM416" t="s">
        <v>61</v>
      </c>
      <c r="AN416" t="s">
        <v>64</v>
      </c>
      <c r="AO416" t="s">
        <v>807</v>
      </c>
      <c r="AP416">
        <v>1</v>
      </c>
      <c r="AQ416" t="s">
        <v>66</v>
      </c>
      <c r="AR416" t="s">
        <v>67</v>
      </c>
      <c r="AS416">
        <v>2006</v>
      </c>
      <c r="AT416" t="s">
        <v>49</v>
      </c>
      <c r="AU416" t="s">
        <v>48</v>
      </c>
      <c r="AV416" t="s">
        <v>48</v>
      </c>
      <c r="AW416" t="s">
        <v>48</v>
      </c>
    </row>
    <row r="417" spans="1:49" x14ac:dyDescent="0.3">
      <c r="A417" t="s">
        <v>1304</v>
      </c>
      <c r="B417" t="s">
        <v>48</v>
      </c>
      <c r="C417" t="s">
        <v>49</v>
      </c>
      <c r="D417">
        <v>406.39</v>
      </c>
      <c r="E417">
        <v>0</v>
      </c>
      <c r="F417">
        <v>1.68</v>
      </c>
      <c r="G417" t="s">
        <v>1305</v>
      </c>
      <c r="H417" t="s">
        <v>1306</v>
      </c>
      <c r="I417" t="s">
        <v>52</v>
      </c>
      <c r="J417" t="s">
        <v>71</v>
      </c>
      <c r="K417">
        <v>100</v>
      </c>
      <c r="L417" t="s">
        <v>54</v>
      </c>
      <c r="M417">
        <f>DOWNLOAD_2kLRbPnDtawQopEJ_UKtt22ud9U57gk8mqebZIeugNk[[#This Row],[Standard Value]]/DOWNLOAD_2kLRbPnDtawQopEJ_UKtt22ud9U57gk8mqebZIeugNk[[#This Row],[Molecular Weight]]*1000*1000</f>
        <v>246069.04697458106</v>
      </c>
      <c r="N417">
        <f>-LOG(DOWNLOAD_2kLRbPnDtawQopEJ_UKtt22ud9U57gk8mqebZIeugNk[[#This Row],[IC50]]*POWER(10, -9), 10)</f>
        <v>3.6089430127644162</v>
      </c>
      <c r="P417" t="s">
        <v>72</v>
      </c>
      <c r="R417" t="s">
        <v>55</v>
      </c>
      <c r="W417">
        <v>0</v>
      </c>
      <c r="X417" t="s">
        <v>56</v>
      </c>
      <c r="Y417" t="s">
        <v>57</v>
      </c>
      <c r="Z417" t="s">
        <v>58</v>
      </c>
      <c r="AA417" t="s">
        <v>59</v>
      </c>
      <c r="AB417" t="s">
        <v>60</v>
      </c>
      <c r="AC417" t="s">
        <v>61</v>
      </c>
      <c r="AD417" t="s">
        <v>49</v>
      </c>
      <c r="AE417" t="s">
        <v>49</v>
      </c>
      <c r="AF417" t="s">
        <v>49</v>
      </c>
      <c r="AG417" t="s">
        <v>49</v>
      </c>
      <c r="AH417" t="s">
        <v>48</v>
      </c>
      <c r="AI417" t="s">
        <v>48</v>
      </c>
      <c r="AJ417" t="s">
        <v>48</v>
      </c>
      <c r="AK417" t="s">
        <v>62</v>
      </c>
      <c r="AL417" t="s">
        <v>63</v>
      </c>
      <c r="AM417" t="s">
        <v>61</v>
      </c>
      <c r="AN417" t="s">
        <v>64</v>
      </c>
      <c r="AO417" t="s">
        <v>65</v>
      </c>
      <c r="AP417">
        <v>1</v>
      </c>
      <c r="AQ417" t="s">
        <v>66</v>
      </c>
      <c r="AR417" t="s">
        <v>67</v>
      </c>
      <c r="AS417">
        <v>1988</v>
      </c>
      <c r="AT417" t="s">
        <v>49</v>
      </c>
      <c r="AU417" t="s">
        <v>48</v>
      </c>
      <c r="AV417" t="s">
        <v>48</v>
      </c>
      <c r="AW417" t="s">
        <v>48</v>
      </c>
    </row>
    <row r="418" spans="1:49" x14ac:dyDescent="0.3">
      <c r="A418" t="s">
        <v>281</v>
      </c>
      <c r="B418" t="s">
        <v>282</v>
      </c>
      <c r="C418" t="s">
        <v>112</v>
      </c>
      <c r="D418">
        <v>331.35</v>
      </c>
      <c r="E418">
        <v>0</v>
      </c>
      <c r="F418">
        <v>1.58</v>
      </c>
      <c r="G418" t="s">
        <v>283</v>
      </c>
      <c r="H418" t="s">
        <v>284</v>
      </c>
      <c r="I418" t="s">
        <v>52</v>
      </c>
      <c r="J418" t="s">
        <v>53</v>
      </c>
      <c r="K418">
        <v>500</v>
      </c>
      <c r="L418" t="s">
        <v>126</v>
      </c>
      <c r="M418">
        <f>DOWNLOAD_2kLRbPnDtawQopEJ_UKtt22ud9U57gk8mqebZIeugNk[[#This Row],[Standard Value]]</f>
        <v>500</v>
      </c>
      <c r="N418">
        <f>-LOG(DOWNLOAD_2kLRbPnDtawQopEJ_UKtt22ud9U57gk8mqebZIeugNk[[#This Row],[IC50]]*POWER(10, -9), 10)</f>
        <v>6.3010299956639804</v>
      </c>
      <c r="O418">
        <v>6.3</v>
      </c>
      <c r="P418" t="s">
        <v>48</v>
      </c>
      <c r="R418" t="s">
        <v>127</v>
      </c>
      <c r="S418">
        <v>19.02</v>
      </c>
      <c r="T418">
        <v>0.36</v>
      </c>
      <c r="U418">
        <v>4.72</v>
      </c>
      <c r="V418">
        <v>8.4499999999999993</v>
      </c>
      <c r="W418">
        <v>0</v>
      </c>
      <c r="X418" t="s">
        <v>193</v>
      </c>
      <c r="Y418" t="s">
        <v>194</v>
      </c>
      <c r="Z418" t="s">
        <v>58</v>
      </c>
      <c r="AA418" t="s">
        <v>59</v>
      </c>
      <c r="AB418" t="s">
        <v>60</v>
      </c>
      <c r="AC418" t="s">
        <v>61</v>
      </c>
      <c r="AD418" t="s">
        <v>49</v>
      </c>
      <c r="AE418" t="s">
        <v>49</v>
      </c>
      <c r="AF418" t="s">
        <v>49</v>
      </c>
      <c r="AG418" t="s">
        <v>49</v>
      </c>
      <c r="AH418" t="s">
        <v>48</v>
      </c>
      <c r="AI418" t="s">
        <v>48</v>
      </c>
      <c r="AJ418" t="s">
        <v>48</v>
      </c>
      <c r="AK418" t="s">
        <v>62</v>
      </c>
      <c r="AL418" t="s">
        <v>63</v>
      </c>
      <c r="AM418" t="s">
        <v>61</v>
      </c>
      <c r="AN418" t="s">
        <v>64</v>
      </c>
      <c r="AO418" t="s">
        <v>195</v>
      </c>
      <c r="AP418">
        <v>1</v>
      </c>
      <c r="AQ418" t="s">
        <v>66</v>
      </c>
      <c r="AR418" t="s">
        <v>76</v>
      </c>
      <c r="AS418">
        <v>2003</v>
      </c>
      <c r="AT418" t="s">
        <v>49</v>
      </c>
      <c r="AU418" t="s">
        <v>48</v>
      </c>
      <c r="AV418" t="s">
        <v>48</v>
      </c>
      <c r="AW418" t="s">
        <v>48</v>
      </c>
    </row>
    <row r="419" spans="1:49" x14ac:dyDescent="0.3">
      <c r="A419" t="s">
        <v>1307</v>
      </c>
      <c r="B419" t="s">
        <v>48</v>
      </c>
      <c r="C419" t="s">
        <v>49</v>
      </c>
      <c r="D419">
        <v>360.39</v>
      </c>
      <c r="E419">
        <v>0</v>
      </c>
      <c r="F419">
        <v>1.74</v>
      </c>
      <c r="G419" t="s">
        <v>1308</v>
      </c>
      <c r="H419" t="s">
        <v>1309</v>
      </c>
      <c r="I419" t="s">
        <v>52</v>
      </c>
      <c r="J419" t="s">
        <v>53</v>
      </c>
      <c r="K419">
        <v>2.5</v>
      </c>
      <c r="L419" t="s">
        <v>54</v>
      </c>
      <c r="M419">
        <f>DOWNLOAD_2kLRbPnDtawQopEJ_UKtt22ud9U57gk8mqebZIeugNk[[#This Row],[Standard Value]]/DOWNLOAD_2kLRbPnDtawQopEJ_UKtt22ud9U57gk8mqebZIeugNk[[#This Row],[Molecular Weight]]*1000*1000</f>
        <v>6936.9294375537611</v>
      </c>
      <c r="N419">
        <f>-LOG(DOWNLOAD_2kLRbPnDtawQopEJ_UKtt22ud9U57gk8mqebZIeugNk[[#This Row],[IC50]]*POWER(10, -9), 10)</f>
        <v>5.1588327231214697</v>
      </c>
      <c r="P419" t="s">
        <v>48</v>
      </c>
      <c r="R419" t="s">
        <v>55</v>
      </c>
      <c r="W419">
        <v>0</v>
      </c>
      <c r="X419" t="s">
        <v>80</v>
      </c>
      <c r="Y419" t="s">
        <v>81</v>
      </c>
      <c r="Z419" t="s">
        <v>58</v>
      </c>
      <c r="AA419" t="s">
        <v>59</v>
      </c>
      <c r="AB419" t="s">
        <v>60</v>
      </c>
      <c r="AC419" t="s">
        <v>61</v>
      </c>
      <c r="AD419" t="s">
        <v>49</v>
      </c>
      <c r="AE419" t="s">
        <v>49</v>
      </c>
      <c r="AF419" t="s">
        <v>49</v>
      </c>
      <c r="AG419" t="s">
        <v>49</v>
      </c>
      <c r="AH419" t="s">
        <v>48</v>
      </c>
      <c r="AI419" t="s">
        <v>48</v>
      </c>
      <c r="AJ419" t="s">
        <v>48</v>
      </c>
      <c r="AK419" t="s">
        <v>62</v>
      </c>
      <c r="AL419" t="s">
        <v>63</v>
      </c>
      <c r="AM419" t="s">
        <v>61</v>
      </c>
      <c r="AN419" t="s">
        <v>64</v>
      </c>
      <c r="AO419" t="s">
        <v>82</v>
      </c>
      <c r="AP419">
        <v>1</v>
      </c>
      <c r="AQ419" t="s">
        <v>66</v>
      </c>
      <c r="AR419" t="s">
        <v>67</v>
      </c>
      <c r="AS419">
        <v>1993</v>
      </c>
      <c r="AT419" t="s">
        <v>49</v>
      </c>
      <c r="AU419" t="s">
        <v>48</v>
      </c>
      <c r="AV419" t="s">
        <v>48</v>
      </c>
      <c r="AW419" t="s">
        <v>48</v>
      </c>
    </row>
    <row r="420" spans="1:49" x14ac:dyDescent="0.3">
      <c r="A420" t="s">
        <v>1310</v>
      </c>
      <c r="B420" t="s">
        <v>1311</v>
      </c>
      <c r="C420" t="s">
        <v>112</v>
      </c>
      <c r="D420">
        <v>294.31</v>
      </c>
      <c r="E420">
        <v>0</v>
      </c>
      <c r="F420">
        <v>2.78</v>
      </c>
      <c r="G420" t="s">
        <v>1312</v>
      </c>
      <c r="H420" t="s">
        <v>1313</v>
      </c>
      <c r="I420" t="s">
        <v>52</v>
      </c>
      <c r="J420" t="s">
        <v>71</v>
      </c>
      <c r="K420">
        <v>10</v>
      </c>
      <c r="L420" t="s">
        <v>54</v>
      </c>
      <c r="M420">
        <f>DOWNLOAD_2kLRbPnDtawQopEJ_UKtt22ud9U57gk8mqebZIeugNk[[#This Row],[Standard Value]]/DOWNLOAD_2kLRbPnDtawQopEJ_UKtt22ud9U57gk8mqebZIeugNk[[#This Row],[Molecular Weight]]*1000*1000</f>
        <v>33977.778532839526</v>
      </c>
      <c r="N420">
        <f>-LOG(DOWNLOAD_2kLRbPnDtawQopEJ_UKtt22ud9U57gk8mqebZIeugNk[[#This Row],[IC50]]*POWER(10, -9), 10)</f>
        <v>4.4688050187120343</v>
      </c>
      <c r="P420" t="s">
        <v>48</v>
      </c>
      <c r="R420" t="s">
        <v>55</v>
      </c>
      <c r="W420">
        <v>0</v>
      </c>
      <c r="X420" t="s">
        <v>115</v>
      </c>
      <c r="Y420" t="s">
        <v>116</v>
      </c>
      <c r="Z420" t="s">
        <v>58</v>
      </c>
      <c r="AA420" t="s">
        <v>59</v>
      </c>
      <c r="AB420" t="s">
        <v>60</v>
      </c>
      <c r="AC420" t="s">
        <v>61</v>
      </c>
      <c r="AD420" t="s">
        <v>49</v>
      </c>
      <c r="AE420" t="s">
        <v>49</v>
      </c>
      <c r="AF420" t="s">
        <v>49</v>
      </c>
      <c r="AG420" t="s">
        <v>49</v>
      </c>
      <c r="AH420" t="s">
        <v>48</v>
      </c>
      <c r="AI420" t="s">
        <v>48</v>
      </c>
      <c r="AJ420" t="s">
        <v>48</v>
      </c>
      <c r="AK420" t="s">
        <v>62</v>
      </c>
      <c r="AL420" t="s">
        <v>63</v>
      </c>
      <c r="AM420" t="s">
        <v>61</v>
      </c>
      <c r="AN420" t="s">
        <v>64</v>
      </c>
      <c r="AO420" t="s">
        <v>117</v>
      </c>
      <c r="AP420">
        <v>1</v>
      </c>
      <c r="AQ420" t="s">
        <v>66</v>
      </c>
      <c r="AR420" t="s">
        <v>67</v>
      </c>
      <c r="AS420">
        <v>1986</v>
      </c>
      <c r="AT420" t="s">
        <v>49</v>
      </c>
      <c r="AU420" t="s">
        <v>48</v>
      </c>
      <c r="AV420" t="s">
        <v>48</v>
      </c>
      <c r="AW420" t="s">
        <v>48</v>
      </c>
    </row>
    <row r="421" spans="1:49" x14ac:dyDescent="0.3">
      <c r="A421" t="s">
        <v>1314</v>
      </c>
      <c r="B421" t="s">
        <v>48</v>
      </c>
      <c r="C421" t="s">
        <v>49</v>
      </c>
      <c r="D421">
        <v>360.39</v>
      </c>
      <c r="E421">
        <v>0</v>
      </c>
      <c r="F421">
        <v>1.74</v>
      </c>
      <c r="G421" t="s">
        <v>1315</v>
      </c>
      <c r="H421" t="s">
        <v>1316</v>
      </c>
      <c r="I421" t="s">
        <v>52</v>
      </c>
      <c r="J421" t="s">
        <v>53</v>
      </c>
      <c r="K421">
        <v>5</v>
      </c>
      <c r="L421" t="s">
        <v>54</v>
      </c>
      <c r="M421">
        <f>DOWNLOAD_2kLRbPnDtawQopEJ_UKtt22ud9U57gk8mqebZIeugNk[[#This Row],[Standard Value]]/DOWNLOAD_2kLRbPnDtawQopEJ_UKtt22ud9U57gk8mqebZIeugNk[[#This Row],[Molecular Weight]]*1000*1000</f>
        <v>13873.858875107522</v>
      </c>
      <c r="N421">
        <f>-LOG(DOWNLOAD_2kLRbPnDtawQopEJ_UKtt22ud9U57gk8mqebZIeugNk[[#This Row],[IC50]]*POWER(10, -9), 10)</f>
        <v>4.8578027274574884</v>
      </c>
      <c r="P421" t="s">
        <v>48</v>
      </c>
      <c r="R421" t="s">
        <v>55</v>
      </c>
      <c r="W421">
        <v>0</v>
      </c>
      <c r="X421" t="s">
        <v>80</v>
      </c>
      <c r="Y421" t="s">
        <v>81</v>
      </c>
      <c r="Z421" t="s">
        <v>58</v>
      </c>
      <c r="AA421" t="s">
        <v>59</v>
      </c>
      <c r="AB421" t="s">
        <v>60</v>
      </c>
      <c r="AC421" t="s">
        <v>61</v>
      </c>
      <c r="AD421" t="s">
        <v>49</v>
      </c>
      <c r="AE421" t="s">
        <v>49</v>
      </c>
      <c r="AF421" t="s">
        <v>49</v>
      </c>
      <c r="AG421" t="s">
        <v>49</v>
      </c>
      <c r="AH421" t="s">
        <v>48</v>
      </c>
      <c r="AI421" t="s">
        <v>48</v>
      </c>
      <c r="AJ421" t="s">
        <v>48</v>
      </c>
      <c r="AK421" t="s">
        <v>62</v>
      </c>
      <c r="AL421" t="s">
        <v>63</v>
      </c>
      <c r="AM421" t="s">
        <v>61</v>
      </c>
      <c r="AN421" t="s">
        <v>64</v>
      </c>
      <c r="AO421" t="s">
        <v>82</v>
      </c>
      <c r="AP421">
        <v>1</v>
      </c>
      <c r="AQ421" t="s">
        <v>66</v>
      </c>
      <c r="AR421" t="s">
        <v>67</v>
      </c>
      <c r="AS421">
        <v>1993</v>
      </c>
      <c r="AT421" t="s">
        <v>49</v>
      </c>
      <c r="AU421" t="s">
        <v>48</v>
      </c>
      <c r="AV421" t="s">
        <v>48</v>
      </c>
      <c r="AW421" t="s">
        <v>48</v>
      </c>
    </row>
    <row r="422" spans="1:49" x14ac:dyDescent="0.3">
      <c r="A422" t="s">
        <v>1317</v>
      </c>
      <c r="B422" t="s">
        <v>1318</v>
      </c>
      <c r="C422" t="s">
        <v>49</v>
      </c>
      <c r="D422">
        <v>270.24</v>
      </c>
      <c r="E422">
        <v>0</v>
      </c>
      <c r="F422">
        <v>2.58</v>
      </c>
      <c r="G422" t="s">
        <v>1319</v>
      </c>
      <c r="H422" t="s">
        <v>1320</v>
      </c>
      <c r="I422" t="s">
        <v>52</v>
      </c>
      <c r="J422" t="s">
        <v>71</v>
      </c>
      <c r="K422">
        <v>500</v>
      </c>
      <c r="L422" t="s">
        <v>54</v>
      </c>
      <c r="M422">
        <f>DOWNLOAD_2kLRbPnDtawQopEJ_UKtt22ud9U57gk8mqebZIeugNk[[#This Row],[Standard Value]]/DOWNLOAD_2kLRbPnDtawQopEJ_UKtt22ud9U57gk8mqebZIeugNk[[#This Row],[Molecular Weight]]*1000*1000</f>
        <v>1850207.2232089995</v>
      </c>
      <c r="N422">
        <f>-LOG(DOWNLOAD_2kLRbPnDtawQopEJ_UKtt22ud9U57gk8mqebZIeugNk[[#This Row],[IC50]]*POWER(10, -9), 10)</f>
        <v>2.7327796278909142</v>
      </c>
      <c r="P422" t="s">
        <v>72</v>
      </c>
      <c r="R422" t="s">
        <v>55</v>
      </c>
      <c r="W422">
        <v>0</v>
      </c>
      <c r="X422" t="s">
        <v>314</v>
      </c>
      <c r="Y422" t="s">
        <v>315</v>
      </c>
      <c r="Z422" t="s">
        <v>58</v>
      </c>
      <c r="AA422" t="s">
        <v>59</v>
      </c>
      <c r="AB422" t="s">
        <v>60</v>
      </c>
      <c r="AC422" t="s">
        <v>61</v>
      </c>
      <c r="AD422" t="s">
        <v>49</v>
      </c>
      <c r="AE422" t="s">
        <v>49</v>
      </c>
      <c r="AF422" t="s">
        <v>49</v>
      </c>
      <c r="AG422" t="s">
        <v>49</v>
      </c>
      <c r="AH422" t="s">
        <v>48</v>
      </c>
      <c r="AI422" t="s">
        <v>48</v>
      </c>
      <c r="AJ422" t="s">
        <v>48</v>
      </c>
      <c r="AK422" t="s">
        <v>62</v>
      </c>
      <c r="AL422" t="s">
        <v>63</v>
      </c>
      <c r="AM422" t="s">
        <v>61</v>
      </c>
      <c r="AN422" t="s">
        <v>64</v>
      </c>
      <c r="AO422" t="s">
        <v>316</v>
      </c>
      <c r="AP422">
        <v>1</v>
      </c>
      <c r="AQ422" t="s">
        <v>66</v>
      </c>
      <c r="AR422" t="s">
        <v>76</v>
      </c>
      <c r="AS422">
        <v>1993</v>
      </c>
      <c r="AT422" t="s">
        <v>49</v>
      </c>
      <c r="AU422" t="s">
        <v>48</v>
      </c>
      <c r="AV422" t="s">
        <v>48</v>
      </c>
      <c r="AW422" t="s">
        <v>48</v>
      </c>
    </row>
    <row r="423" spans="1:49" x14ac:dyDescent="0.3">
      <c r="A423" t="s">
        <v>911</v>
      </c>
      <c r="B423" t="s">
        <v>912</v>
      </c>
      <c r="C423" t="s">
        <v>913</v>
      </c>
      <c r="D423">
        <v>302.24</v>
      </c>
      <c r="E423">
        <v>0</v>
      </c>
      <c r="F423">
        <v>1.99</v>
      </c>
      <c r="G423" t="s">
        <v>1321</v>
      </c>
      <c r="H423" t="s">
        <v>914</v>
      </c>
      <c r="I423" t="s">
        <v>52</v>
      </c>
      <c r="J423" t="s">
        <v>53</v>
      </c>
      <c r="K423">
        <v>55</v>
      </c>
      <c r="L423" t="s">
        <v>54</v>
      </c>
      <c r="M423">
        <f>DOWNLOAD_2kLRbPnDtawQopEJ_UKtt22ud9U57gk8mqebZIeugNk[[#This Row],[Standard Value]]/DOWNLOAD_2kLRbPnDtawQopEJ_UKtt22ud9U57gk8mqebZIeugNk[[#This Row],[Molecular Weight]]*1000*1000</f>
        <v>181974.58973001587</v>
      </c>
      <c r="N423">
        <f>-LOG(DOWNLOAD_2kLRbPnDtawQopEJ_UKtt22ud9U57gk8mqebZIeugNk[[#This Row],[IC50]]*POWER(10, -9), 10)</f>
        <v>3.7399892510835144</v>
      </c>
      <c r="P423" t="s">
        <v>72</v>
      </c>
      <c r="R423" t="s">
        <v>55</v>
      </c>
      <c r="W423">
        <v>0</v>
      </c>
      <c r="X423" t="s">
        <v>314</v>
      </c>
      <c r="Y423" t="s">
        <v>315</v>
      </c>
      <c r="Z423" t="s">
        <v>58</v>
      </c>
      <c r="AA423" t="s">
        <v>59</v>
      </c>
      <c r="AB423" t="s">
        <v>60</v>
      </c>
      <c r="AC423" t="s">
        <v>61</v>
      </c>
      <c r="AD423" t="s">
        <v>49</v>
      </c>
      <c r="AE423" t="s">
        <v>49</v>
      </c>
      <c r="AF423" t="s">
        <v>49</v>
      </c>
      <c r="AG423" t="s">
        <v>49</v>
      </c>
      <c r="AH423" t="s">
        <v>48</v>
      </c>
      <c r="AI423" t="s">
        <v>48</v>
      </c>
      <c r="AJ423" t="s">
        <v>48</v>
      </c>
      <c r="AK423" t="s">
        <v>62</v>
      </c>
      <c r="AL423" t="s">
        <v>63</v>
      </c>
      <c r="AM423" t="s">
        <v>61</v>
      </c>
      <c r="AN423" t="s">
        <v>64</v>
      </c>
      <c r="AO423" t="s">
        <v>316</v>
      </c>
      <c r="AP423">
        <v>1</v>
      </c>
      <c r="AQ423" t="s">
        <v>66</v>
      </c>
      <c r="AR423" t="s">
        <v>76</v>
      </c>
      <c r="AS423">
        <v>1993</v>
      </c>
      <c r="AT423" t="s">
        <v>49</v>
      </c>
      <c r="AU423" t="s">
        <v>48</v>
      </c>
      <c r="AV423" t="s">
        <v>48</v>
      </c>
      <c r="AW423" t="s">
        <v>48</v>
      </c>
    </row>
    <row r="424" spans="1:49" x14ac:dyDescent="0.3">
      <c r="A424" t="s">
        <v>1322</v>
      </c>
      <c r="B424" t="s">
        <v>48</v>
      </c>
      <c r="C424" t="s">
        <v>49</v>
      </c>
      <c r="D424">
        <v>345.37</v>
      </c>
      <c r="E424">
        <v>0</v>
      </c>
      <c r="F424">
        <v>1.96</v>
      </c>
      <c r="G424" t="s">
        <v>1323</v>
      </c>
      <c r="H424" t="s">
        <v>1324</v>
      </c>
      <c r="I424" t="s">
        <v>52</v>
      </c>
      <c r="J424" t="s">
        <v>53</v>
      </c>
      <c r="K424">
        <v>0.5</v>
      </c>
      <c r="L424" t="s">
        <v>54</v>
      </c>
      <c r="M424">
        <f>DOWNLOAD_2kLRbPnDtawQopEJ_UKtt22ud9U57gk8mqebZIeugNk[[#This Row],[Standard Value]]/DOWNLOAD_2kLRbPnDtawQopEJ_UKtt22ud9U57gk8mqebZIeugNk[[#This Row],[Molecular Weight]]*1000*1000</f>
        <v>1447.72273214234</v>
      </c>
      <c r="N424">
        <f>-LOG(DOWNLOAD_2kLRbPnDtawQopEJ_UKtt22ud9U57gk8mqebZIeugNk[[#This Row],[IC50]]*POWER(10, -9), 10)</f>
        <v>5.8393146062541215</v>
      </c>
      <c r="P424" t="s">
        <v>48</v>
      </c>
      <c r="R424" t="s">
        <v>55</v>
      </c>
      <c r="W424">
        <v>0</v>
      </c>
      <c r="X424" t="s">
        <v>80</v>
      </c>
      <c r="Y424" t="s">
        <v>81</v>
      </c>
      <c r="Z424" t="s">
        <v>58</v>
      </c>
      <c r="AA424" t="s">
        <v>59</v>
      </c>
      <c r="AB424" t="s">
        <v>60</v>
      </c>
      <c r="AC424" t="s">
        <v>61</v>
      </c>
      <c r="AD424" t="s">
        <v>49</v>
      </c>
      <c r="AE424" t="s">
        <v>49</v>
      </c>
      <c r="AF424" t="s">
        <v>49</v>
      </c>
      <c r="AG424" t="s">
        <v>49</v>
      </c>
      <c r="AH424" t="s">
        <v>48</v>
      </c>
      <c r="AI424" t="s">
        <v>48</v>
      </c>
      <c r="AJ424" t="s">
        <v>48</v>
      </c>
      <c r="AK424" t="s">
        <v>62</v>
      </c>
      <c r="AL424" t="s">
        <v>63</v>
      </c>
      <c r="AM424" t="s">
        <v>61</v>
      </c>
      <c r="AN424" t="s">
        <v>64</v>
      </c>
      <c r="AO424" t="s">
        <v>82</v>
      </c>
      <c r="AP424">
        <v>1</v>
      </c>
      <c r="AQ424" t="s">
        <v>66</v>
      </c>
      <c r="AR424" t="s">
        <v>67</v>
      </c>
      <c r="AS424">
        <v>1993</v>
      </c>
      <c r="AT424" t="s">
        <v>49</v>
      </c>
      <c r="AU424" t="s">
        <v>48</v>
      </c>
      <c r="AV424" t="s">
        <v>48</v>
      </c>
      <c r="AW424" t="s">
        <v>48</v>
      </c>
    </row>
    <row r="425" spans="1:49" x14ac:dyDescent="0.3">
      <c r="A425" t="s">
        <v>118</v>
      </c>
      <c r="B425" t="s">
        <v>48</v>
      </c>
      <c r="C425" t="s">
        <v>49</v>
      </c>
      <c r="D425">
        <v>437.37</v>
      </c>
      <c r="E425">
        <v>1</v>
      </c>
      <c r="F425">
        <v>6.3</v>
      </c>
      <c r="G425" t="s">
        <v>1217</v>
      </c>
      <c r="H425" t="s">
        <v>120</v>
      </c>
      <c r="I425" t="s">
        <v>52</v>
      </c>
      <c r="J425" t="s">
        <v>53</v>
      </c>
      <c r="K425">
        <v>14</v>
      </c>
      <c r="L425" t="s">
        <v>54</v>
      </c>
      <c r="M425">
        <f>DOWNLOAD_2kLRbPnDtawQopEJ_UKtt22ud9U57gk8mqebZIeugNk[[#This Row],[Standard Value]]/DOWNLOAD_2kLRbPnDtawQopEJ_UKtt22ud9U57gk8mqebZIeugNk[[#This Row],[Molecular Weight]]*1000*1000</f>
        <v>32009.511397672446</v>
      </c>
      <c r="N425">
        <f>-LOG(DOWNLOAD_2kLRbPnDtawQopEJ_UKtt22ud9U57gk8mqebZIeugNk[[#This Row],[IC50]]*POWER(10, -9), 10)</f>
        <v>4.4947209550003286</v>
      </c>
      <c r="P425" t="s">
        <v>48</v>
      </c>
      <c r="R425" t="s">
        <v>55</v>
      </c>
      <c r="W425">
        <v>1</v>
      </c>
      <c r="X425" t="s">
        <v>166</v>
      </c>
      <c r="Y425" t="s">
        <v>167</v>
      </c>
      <c r="Z425" t="s">
        <v>168</v>
      </c>
      <c r="AA425" t="s">
        <v>169</v>
      </c>
      <c r="AB425" t="s">
        <v>170</v>
      </c>
      <c r="AC425" t="s">
        <v>61</v>
      </c>
      <c r="AD425" t="s">
        <v>49</v>
      </c>
      <c r="AE425" t="s">
        <v>49</v>
      </c>
      <c r="AF425" t="s">
        <v>49</v>
      </c>
      <c r="AG425" t="s">
        <v>49</v>
      </c>
      <c r="AH425" t="s">
        <v>48</v>
      </c>
      <c r="AI425" t="s">
        <v>48</v>
      </c>
      <c r="AJ425" t="s">
        <v>48</v>
      </c>
      <c r="AK425" t="s">
        <v>62</v>
      </c>
      <c r="AL425" t="s">
        <v>63</v>
      </c>
      <c r="AM425" t="s">
        <v>61</v>
      </c>
      <c r="AN425" t="s">
        <v>64</v>
      </c>
      <c r="AO425" t="s">
        <v>171</v>
      </c>
      <c r="AP425">
        <v>1</v>
      </c>
      <c r="AQ425" t="s">
        <v>66</v>
      </c>
      <c r="AR425" t="s">
        <v>67</v>
      </c>
      <c r="AS425">
        <v>2004</v>
      </c>
      <c r="AT425" t="s">
        <v>49</v>
      </c>
      <c r="AU425" t="s">
        <v>48</v>
      </c>
      <c r="AV425" t="s">
        <v>48</v>
      </c>
      <c r="AW425" t="s">
        <v>48</v>
      </c>
    </row>
    <row r="426" spans="1:49" x14ac:dyDescent="0.3">
      <c r="A426" t="s">
        <v>611</v>
      </c>
      <c r="B426" t="s">
        <v>48</v>
      </c>
      <c r="C426" t="s">
        <v>49</v>
      </c>
      <c r="D426">
        <v>391.42</v>
      </c>
      <c r="E426">
        <v>0</v>
      </c>
      <c r="F426">
        <v>2.88</v>
      </c>
      <c r="G426" t="s">
        <v>612</v>
      </c>
      <c r="H426" t="s">
        <v>613</v>
      </c>
      <c r="I426" t="s">
        <v>52</v>
      </c>
      <c r="J426" t="s">
        <v>53</v>
      </c>
      <c r="K426">
        <v>12.8</v>
      </c>
      <c r="L426" t="s">
        <v>54</v>
      </c>
      <c r="M426">
        <f>DOWNLOAD_2kLRbPnDtawQopEJ_UKtt22ud9U57gk8mqebZIeugNk[[#This Row],[Standard Value]]/DOWNLOAD_2kLRbPnDtawQopEJ_UKtt22ud9U57gk8mqebZIeugNk[[#This Row],[Molecular Weight]]*1000*1000</f>
        <v>32701.446017066068</v>
      </c>
      <c r="N426">
        <f>-LOG(DOWNLOAD_2kLRbPnDtawQopEJ_UKtt22ud9U57gk8mqebZIeugNk[[#This Row],[IC50]]*POWER(10, -9), 10)</f>
        <v>4.4854330429559921</v>
      </c>
      <c r="P426" t="s">
        <v>48</v>
      </c>
      <c r="R426" t="s">
        <v>55</v>
      </c>
      <c r="W426">
        <v>0</v>
      </c>
      <c r="X426" t="s">
        <v>92</v>
      </c>
      <c r="Y426" t="s">
        <v>93</v>
      </c>
      <c r="Z426" t="s">
        <v>58</v>
      </c>
      <c r="AA426" t="s">
        <v>59</v>
      </c>
      <c r="AB426" t="s">
        <v>60</v>
      </c>
      <c r="AC426" t="s">
        <v>61</v>
      </c>
      <c r="AD426" t="s">
        <v>49</v>
      </c>
      <c r="AE426" t="s">
        <v>49</v>
      </c>
      <c r="AF426" t="s">
        <v>49</v>
      </c>
      <c r="AG426" t="s">
        <v>49</v>
      </c>
      <c r="AH426" t="s">
        <v>48</v>
      </c>
      <c r="AI426" t="s">
        <v>48</v>
      </c>
      <c r="AJ426" t="s">
        <v>48</v>
      </c>
      <c r="AK426" t="s">
        <v>62</v>
      </c>
      <c r="AL426" t="s">
        <v>63</v>
      </c>
      <c r="AM426" t="s">
        <v>61</v>
      </c>
      <c r="AN426" t="s">
        <v>64</v>
      </c>
      <c r="AO426" t="s">
        <v>94</v>
      </c>
      <c r="AP426">
        <v>1</v>
      </c>
      <c r="AQ426" t="s">
        <v>66</v>
      </c>
      <c r="AR426" t="s">
        <v>67</v>
      </c>
      <c r="AS426">
        <v>2003</v>
      </c>
      <c r="AT426" t="s">
        <v>49</v>
      </c>
      <c r="AU426" t="s">
        <v>48</v>
      </c>
      <c r="AV426" t="s">
        <v>48</v>
      </c>
      <c r="AW426" t="s">
        <v>48</v>
      </c>
    </row>
    <row r="427" spans="1:49" x14ac:dyDescent="0.3">
      <c r="A427" t="s">
        <v>1325</v>
      </c>
      <c r="B427" t="s">
        <v>1326</v>
      </c>
      <c r="C427" t="s">
        <v>305</v>
      </c>
      <c r="D427">
        <v>286.24</v>
      </c>
      <c r="E427">
        <v>0</v>
      </c>
      <c r="F427">
        <v>2.2799999999999998</v>
      </c>
      <c r="G427" t="s">
        <v>1327</v>
      </c>
      <c r="H427" t="s">
        <v>1328</v>
      </c>
      <c r="I427" t="s">
        <v>52</v>
      </c>
      <c r="J427" t="s">
        <v>53</v>
      </c>
      <c r="K427">
        <v>83.3</v>
      </c>
      <c r="L427" t="s">
        <v>54</v>
      </c>
      <c r="M427">
        <f>DOWNLOAD_2kLRbPnDtawQopEJ_UKtt22ud9U57gk8mqebZIeugNk[[#This Row],[Standard Value]]/DOWNLOAD_2kLRbPnDtawQopEJ_UKtt22ud9U57gk8mqebZIeugNk[[#This Row],[Molecular Weight]]*1000*1000</f>
        <v>291014.53325880377</v>
      </c>
      <c r="N427">
        <f>-LOG(DOWNLOAD_2kLRbPnDtawQopEJ_UKtt22ud9U57gk8mqebZIeugNk[[#This Row],[IC50]]*POWER(10, -9), 10)</f>
        <v>3.5360853218165098</v>
      </c>
      <c r="P427" t="s">
        <v>72</v>
      </c>
      <c r="R427" t="s">
        <v>55</v>
      </c>
      <c r="W427">
        <v>0</v>
      </c>
      <c r="X427" t="s">
        <v>314</v>
      </c>
      <c r="Y427" t="s">
        <v>315</v>
      </c>
      <c r="Z427" t="s">
        <v>58</v>
      </c>
      <c r="AA427" t="s">
        <v>59</v>
      </c>
      <c r="AB427" t="s">
        <v>60</v>
      </c>
      <c r="AC427" t="s">
        <v>61</v>
      </c>
      <c r="AD427" t="s">
        <v>49</v>
      </c>
      <c r="AE427" t="s">
        <v>49</v>
      </c>
      <c r="AF427" t="s">
        <v>49</v>
      </c>
      <c r="AG427" t="s">
        <v>49</v>
      </c>
      <c r="AH427" t="s">
        <v>48</v>
      </c>
      <c r="AI427" t="s">
        <v>48</v>
      </c>
      <c r="AJ427" t="s">
        <v>48</v>
      </c>
      <c r="AK427" t="s">
        <v>62</v>
      </c>
      <c r="AL427" t="s">
        <v>63</v>
      </c>
      <c r="AM427" t="s">
        <v>61</v>
      </c>
      <c r="AN427" t="s">
        <v>64</v>
      </c>
      <c r="AO427" t="s">
        <v>316</v>
      </c>
      <c r="AP427">
        <v>1</v>
      </c>
      <c r="AQ427" t="s">
        <v>66</v>
      </c>
      <c r="AR427" t="s">
        <v>76</v>
      </c>
      <c r="AS427">
        <v>1993</v>
      </c>
      <c r="AT427" t="s">
        <v>49</v>
      </c>
      <c r="AU427" t="s">
        <v>48</v>
      </c>
      <c r="AV427" t="s">
        <v>48</v>
      </c>
      <c r="AW427" t="s">
        <v>48</v>
      </c>
    </row>
    <row r="428" spans="1:49" x14ac:dyDescent="0.3">
      <c r="A428" t="s">
        <v>281</v>
      </c>
      <c r="B428" t="s">
        <v>282</v>
      </c>
      <c r="C428" t="s">
        <v>112</v>
      </c>
      <c r="D428">
        <v>331.35</v>
      </c>
      <c r="E428">
        <v>0</v>
      </c>
      <c r="F428">
        <v>1.58</v>
      </c>
      <c r="G428" t="s">
        <v>1329</v>
      </c>
      <c r="H428" t="s">
        <v>284</v>
      </c>
      <c r="I428" t="s">
        <v>52</v>
      </c>
      <c r="J428" t="s">
        <v>53</v>
      </c>
      <c r="K428">
        <v>170</v>
      </c>
      <c r="L428" t="s">
        <v>126</v>
      </c>
      <c r="M428">
        <f>DOWNLOAD_2kLRbPnDtawQopEJ_UKtt22ud9U57gk8mqebZIeugNk[[#This Row],[Standard Value]]</f>
        <v>170</v>
      </c>
      <c r="N428">
        <f>-LOG(DOWNLOAD_2kLRbPnDtawQopEJ_UKtt22ud9U57gk8mqebZIeugNk[[#This Row],[IC50]]*POWER(10, -9), 10)</f>
        <v>6.7695510786217259</v>
      </c>
      <c r="O428">
        <v>6.77</v>
      </c>
      <c r="P428" t="s">
        <v>48</v>
      </c>
      <c r="R428" t="s">
        <v>127</v>
      </c>
      <c r="S428">
        <v>20.43</v>
      </c>
      <c r="T428">
        <v>0.39</v>
      </c>
      <c r="U428">
        <v>5.19</v>
      </c>
      <c r="V428">
        <v>9.08</v>
      </c>
      <c r="W428">
        <v>0</v>
      </c>
      <c r="X428" t="s">
        <v>1330</v>
      </c>
      <c r="Y428" t="s">
        <v>1331</v>
      </c>
      <c r="Z428" t="s">
        <v>58</v>
      </c>
      <c r="AA428" t="s">
        <v>59</v>
      </c>
      <c r="AB428" t="s">
        <v>60</v>
      </c>
      <c r="AC428" t="s">
        <v>61</v>
      </c>
      <c r="AD428" t="s">
        <v>49</v>
      </c>
      <c r="AE428" t="s">
        <v>49</v>
      </c>
      <c r="AF428" t="s">
        <v>49</v>
      </c>
      <c r="AG428" t="s">
        <v>49</v>
      </c>
      <c r="AH428" t="s">
        <v>48</v>
      </c>
      <c r="AI428" t="s">
        <v>48</v>
      </c>
      <c r="AJ428" t="s">
        <v>48</v>
      </c>
      <c r="AK428" t="s">
        <v>62</v>
      </c>
      <c r="AL428" t="s">
        <v>63</v>
      </c>
      <c r="AM428" t="s">
        <v>61</v>
      </c>
      <c r="AN428" t="s">
        <v>64</v>
      </c>
      <c r="AO428" t="s">
        <v>1332</v>
      </c>
      <c r="AP428">
        <v>1</v>
      </c>
      <c r="AQ428" t="s">
        <v>66</v>
      </c>
      <c r="AR428" t="s">
        <v>329</v>
      </c>
      <c r="AS428">
        <v>2017</v>
      </c>
      <c r="AT428" t="s">
        <v>49</v>
      </c>
      <c r="AU428" t="s">
        <v>48</v>
      </c>
      <c r="AV428" t="s">
        <v>48</v>
      </c>
      <c r="AW428" t="s">
        <v>48</v>
      </c>
    </row>
    <row r="429" spans="1:49" x14ac:dyDescent="0.3">
      <c r="A429" t="s">
        <v>1333</v>
      </c>
      <c r="B429" t="s">
        <v>48</v>
      </c>
      <c r="C429" t="s">
        <v>49</v>
      </c>
      <c r="D429">
        <v>374.42</v>
      </c>
      <c r="E429">
        <v>0</v>
      </c>
      <c r="F429">
        <v>2.13</v>
      </c>
      <c r="G429" t="s">
        <v>1334</v>
      </c>
      <c r="H429" t="s">
        <v>1335</v>
      </c>
      <c r="I429" t="s">
        <v>52</v>
      </c>
      <c r="J429" t="s">
        <v>53</v>
      </c>
      <c r="K429">
        <v>25.6</v>
      </c>
      <c r="L429" t="s">
        <v>54</v>
      </c>
      <c r="M429">
        <f>DOWNLOAD_2kLRbPnDtawQopEJ_UKtt22ud9U57gk8mqebZIeugNk[[#This Row],[Standard Value]]/DOWNLOAD_2kLRbPnDtawQopEJ_UKtt22ud9U57gk8mqebZIeugNk[[#This Row],[Molecular Weight]]*1000*1000</f>
        <v>68372.416003418621</v>
      </c>
      <c r="N429">
        <f>-LOG(DOWNLOAD_2kLRbPnDtawQopEJ_UKtt22ud9U57gk8mqebZIeugNk[[#This Row],[IC50]]*POWER(10, -9), 10)</f>
        <v>4.1651190736261494</v>
      </c>
      <c r="P429" t="s">
        <v>48</v>
      </c>
      <c r="R429" t="s">
        <v>55</v>
      </c>
      <c r="W429">
        <v>0</v>
      </c>
      <c r="X429" t="s">
        <v>372</v>
      </c>
      <c r="Y429" t="s">
        <v>373</v>
      </c>
      <c r="Z429" t="s">
        <v>58</v>
      </c>
      <c r="AA429" t="s">
        <v>59</v>
      </c>
      <c r="AB429" t="s">
        <v>60</v>
      </c>
      <c r="AC429" t="s">
        <v>61</v>
      </c>
      <c r="AD429" t="s">
        <v>49</v>
      </c>
      <c r="AE429" t="s">
        <v>49</v>
      </c>
      <c r="AF429" t="s">
        <v>49</v>
      </c>
      <c r="AG429" t="s">
        <v>49</v>
      </c>
      <c r="AH429" t="s">
        <v>48</v>
      </c>
      <c r="AI429" t="s">
        <v>48</v>
      </c>
      <c r="AJ429" t="s">
        <v>48</v>
      </c>
      <c r="AK429" t="s">
        <v>62</v>
      </c>
      <c r="AL429" t="s">
        <v>63</v>
      </c>
      <c r="AM429" t="s">
        <v>61</v>
      </c>
      <c r="AN429" t="s">
        <v>64</v>
      </c>
      <c r="AO429" t="s">
        <v>94</v>
      </c>
      <c r="AP429">
        <v>1</v>
      </c>
      <c r="AQ429" t="s">
        <v>66</v>
      </c>
      <c r="AR429" t="s">
        <v>67</v>
      </c>
      <c r="AS429">
        <v>2003</v>
      </c>
      <c r="AT429" t="s">
        <v>49</v>
      </c>
      <c r="AU429" t="s">
        <v>48</v>
      </c>
      <c r="AV429" t="s">
        <v>48</v>
      </c>
      <c r="AW429" t="s">
        <v>48</v>
      </c>
    </row>
    <row r="430" spans="1:49" x14ac:dyDescent="0.3">
      <c r="A430" t="s">
        <v>1333</v>
      </c>
      <c r="B430" t="s">
        <v>48</v>
      </c>
      <c r="C430" t="s">
        <v>49</v>
      </c>
      <c r="D430">
        <v>374.42</v>
      </c>
      <c r="E430">
        <v>0</v>
      </c>
      <c r="F430">
        <v>2.13</v>
      </c>
      <c r="G430" t="s">
        <v>1334</v>
      </c>
      <c r="H430" t="s">
        <v>1335</v>
      </c>
      <c r="I430" t="s">
        <v>52</v>
      </c>
      <c r="J430" t="s">
        <v>71</v>
      </c>
      <c r="K430">
        <v>102.4</v>
      </c>
      <c r="L430" t="s">
        <v>54</v>
      </c>
      <c r="M430">
        <f>DOWNLOAD_2kLRbPnDtawQopEJ_UKtt22ud9U57gk8mqebZIeugNk[[#This Row],[Standard Value]]/DOWNLOAD_2kLRbPnDtawQopEJ_UKtt22ud9U57gk8mqebZIeugNk[[#This Row],[Molecular Weight]]*1000*1000</f>
        <v>273489.66401367448</v>
      </c>
      <c r="N430">
        <f>-LOG(DOWNLOAD_2kLRbPnDtawQopEJ_UKtt22ud9U57gk8mqebZIeugNk[[#This Row],[IC50]]*POWER(10, -9), 10)</f>
        <v>3.5630590822981874</v>
      </c>
      <c r="P430" t="s">
        <v>72</v>
      </c>
      <c r="R430" t="s">
        <v>55</v>
      </c>
      <c r="W430">
        <v>0</v>
      </c>
      <c r="X430" t="s">
        <v>92</v>
      </c>
      <c r="Y430" t="s">
        <v>93</v>
      </c>
      <c r="Z430" t="s">
        <v>58</v>
      </c>
      <c r="AA430" t="s">
        <v>59</v>
      </c>
      <c r="AB430" t="s">
        <v>60</v>
      </c>
      <c r="AC430" t="s">
        <v>61</v>
      </c>
      <c r="AD430" t="s">
        <v>49</v>
      </c>
      <c r="AE430" t="s">
        <v>49</v>
      </c>
      <c r="AF430" t="s">
        <v>49</v>
      </c>
      <c r="AG430" t="s">
        <v>49</v>
      </c>
      <c r="AH430" t="s">
        <v>48</v>
      </c>
      <c r="AI430" t="s">
        <v>48</v>
      </c>
      <c r="AJ430" t="s">
        <v>48</v>
      </c>
      <c r="AK430" t="s">
        <v>62</v>
      </c>
      <c r="AL430" t="s">
        <v>63</v>
      </c>
      <c r="AM430" t="s">
        <v>61</v>
      </c>
      <c r="AN430" t="s">
        <v>64</v>
      </c>
      <c r="AO430" t="s">
        <v>94</v>
      </c>
      <c r="AP430">
        <v>1</v>
      </c>
      <c r="AQ430" t="s">
        <v>66</v>
      </c>
      <c r="AR430" t="s">
        <v>67</v>
      </c>
      <c r="AS430">
        <v>2003</v>
      </c>
      <c r="AT430" t="s">
        <v>49</v>
      </c>
      <c r="AU430" t="s">
        <v>48</v>
      </c>
      <c r="AV430" t="s">
        <v>48</v>
      </c>
      <c r="AW430" t="s">
        <v>48</v>
      </c>
    </row>
    <row r="431" spans="1:49" x14ac:dyDescent="0.3">
      <c r="A431" t="s">
        <v>1336</v>
      </c>
      <c r="B431" t="s">
        <v>1337</v>
      </c>
      <c r="C431" t="s">
        <v>1338</v>
      </c>
      <c r="D431">
        <v>365.79</v>
      </c>
      <c r="E431">
        <v>0</v>
      </c>
      <c r="F431">
        <v>2.36</v>
      </c>
      <c r="G431" t="s">
        <v>1339</v>
      </c>
      <c r="H431" t="s">
        <v>1340</v>
      </c>
      <c r="I431" t="s">
        <v>52</v>
      </c>
      <c r="J431" t="s">
        <v>53</v>
      </c>
      <c r="K431">
        <v>0.2</v>
      </c>
      <c r="L431" t="s">
        <v>54</v>
      </c>
      <c r="M431">
        <f>DOWNLOAD_2kLRbPnDtawQopEJ_UKtt22ud9U57gk8mqebZIeugNk[[#This Row],[Standard Value]]/DOWNLOAD_2kLRbPnDtawQopEJ_UKtt22ud9U57gk8mqebZIeugNk[[#This Row],[Molecular Weight]]*1000*1000</f>
        <v>546.76180322042705</v>
      </c>
      <c r="N431">
        <f>-LOG(DOWNLOAD_2kLRbPnDtawQopEJ_UKtt22ud9U57gk8mqebZIeugNk[[#This Row],[IC50]]*POWER(10, -9), 10)</f>
        <v>6.2622018328570004</v>
      </c>
      <c r="P431" t="s">
        <v>48</v>
      </c>
      <c r="R431" t="s">
        <v>55</v>
      </c>
      <c r="W431">
        <v>0</v>
      </c>
      <c r="X431" t="s">
        <v>372</v>
      </c>
      <c r="Y431" t="s">
        <v>373</v>
      </c>
      <c r="Z431" t="s">
        <v>58</v>
      </c>
      <c r="AA431" t="s">
        <v>59</v>
      </c>
      <c r="AB431" t="s">
        <v>60</v>
      </c>
      <c r="AC431" t="s">
        <v>61</v>
      </c>
      <c r="AD431" t="s">
        <v>49</v>
      </c>
      <c r="AE431" t="s">
        <v>49</v>
      </c>
      <c r="AF431" t="s">
        <v>49</v>
      </c>
      <c r="AG431" t="s">
        <v>49</v>
      </c>
      <c r="AH431" t="s">
        <v>48</v>
      </c>
      <c r="AI431" t="s">
        <v>48</v>
      </c>
      <c r="AJ431" t="s">
        <v>48</v>
      </c>
      <c r="AK431" t="s">
        <v>62</v>
      </c>
      <c r="AL431" t="s">
        <v>63</v>
      </c>
      <c r="AM431" t="s">
        <v>61</v>
      </c>
      <c r="AN431" t="s">
        <v>64</v>
      </c>
      <c r="AO431" t="s">
        <v>94</v>
      </c>
      <c r="AP431">
        <v>1</v>
      </c>
      <c r="AQ431" t="s">
        <v>66</v>
      </c>
      <c r="AR431" t="s">
        <v>67</v>
      </c>
      <c r="AS431">
        <v>2003</v>
      </c>
      <c r="AT431" t="s">
        <v>49</v>
      </c>
      <c r="AU431" t="s">
        <v>48</v>
      </c>
      <c r="AV431" t="s">
        <v>48</v>
      </c>
      <c r="AW431" t="s">
        <v>48</v>
      </c>
    </row>
    <row r="432" spans="1:49" x14ac:dyDescent="0.3">
      <c r="A432" t="s">
        <v>1341</v>
      </c>
      <c r="B432" t="s">
        <v>48</v>
      </c>
      <c r="C432" t="s">
        <v>49</v>
      </c>
      <c r="D432">
        <v>461.44</v>
      </c>
      <c r="E432">
        <v>0</v>
      </c>
      <c r="F432">
        <v>2.58</v>
      </c>
      <c r="G432" t="s">
        <v>1342</v>
      </c>
      <c r="H432" t="s">
        <v>1343</v>
      </c>
      <c r="I432" t="s">
        <v>52</v>
      </c>
      <c r="J432" t="s">
        <v>53</v>
      </c>
      <c r="K432">
        <v>0.2</v>
      </c>
      <c r="L432" t="s">
        <v>54</v>
      </c>
      <c r="M432">
        <f>DOWNLOAD_2kLRbPnDtawQopEJ_UKtt22ud9U57gk8mqebZIeugNk[[#This Row],[Standard Value]]/DOWNLOAD_2kLRbPnDtawQopEJ_UKtt22ud9U57gk8mqebZIeugNk[[#This Row],[Molecular Weight]]*1000*1000</f>
        <v>433.42579750346744</v>
      </c>
      <c r="N432">
        <f>-LOG(DOWNLOAD_2kLRbPnDtawQopEJ_UKtt22ud9U57gk8mqebZIeugNk[[#This Row],[IC50]]*POWER(10, -9), 10)</f>
        <v>6.3630852430393343</v>
      </c>
      <c r="P432" t="s">
        <v>48</v>
      </c>
      <c r="R432" t="s">
        <v>55</v>
      </c>
      <c r="W432">
        <v>0</v>
      </c>
      <c r="X432" t="s">
        <v>245</v>
      </c>
      <c r="Y432" t="s">
        <v>246</v>
      </c>
      <c r="Z432" t="s">
        <v>58</v>
      </c>
      <c r="AA432" t="s">
        <v>59</v>
      </c>
      <c r="AB432" t="s">
        <v>60</v>
      </c>
      <c r="AC432" t="s">
        <v>61</v>
      </c>
      <c r="AD432" t="s">
        <v>49</v>
      </c>
      <c r="AE432" t="s">
        <v>49</v>
      </c>
      <c r="AF432" t="s">
        <v>49</v>
      </c>
      <c r="AG432" t="s">
        <v>49</v>
      </c>
      <c r="AH432" t="s">
        <v>48</v>
      </c>
      <c r="AI432" t="s">
        <v>48</v>
      </c>
      <c r="AJ432" t="s">
        <v>48</v>
      </c>
      <c r="AK432" t="s">
        <v>62</v>
      </c>
      <c r="AL432" t="s">
        <v>63</v>
      </c>
      <c r="AM432" t="s">
        <v>61</v>
      </c>
      <c r="AN432" t="s">
        <v>64</v>
      </c>
      <c r="AO432" t="s">
        <v>247</v>
      </c>
      <c r="AP432">
        <v>1</v>
      </c>
      <c r="AQ432" t="s">
        <v>66</v>
      </c>
      <c r="AR432" t="s">
        <v>131</v>
      </c>
      <c r="AS432">
        <v>2015</v>
      </c>
      <c r="AT432" t="s">
        <v>49</v>
      </c>
      <c r="AU432" t="s">
        <v>48</v>
      </c>
      <c r="AV432" t="s">
        <v>48</v>
      </c>
      <c r="AW432" t="s">
        <v>48</v>
      </c>
    </row>
    <row r="433" spans="1:49" x14ac:dyDescent="0.3">
      <c r="A433" t="s">
        <v>1344</v>
      </c>
      <c r="B433" t="s">
        <v>48</v>
      </c>
      <c r="C433" t="s">
        <v>49</v>
      </c>
      <c r="D433">
        <v>433.39</v>
      </c>
      <c r="E433">
        <v>0</v>
      </c>
      <c r="F433">
        <v>1.8</v>
      </c>
      <c r="G433" t="s">
        <v>400</v>
      </c>
      <c r="H433" t="s">
        <v>1345</v>
      </c>
      <c r="I433" t="s">
        <v>52</v>
      </c>
      <c r="J433" t="s">
        <v>53</v>
      </c>
      <c r="K433">
        <v>0.24</v>
      </c>
      <c r="L433" t="s">
        <v>54</v>
      </c>
      <c r="M433">
        <f>DOWNLOAD_2kLRbPnDtawQopEJ_UKtt22ud9U57gk8mqebZIeugNk[[#This Row],[Standard Value]]/DOWNLOAD_2kLRbPnDtawQopEJ_UKtt22ud9U57gk8mqebZIeugNk[[#This Row],[Molecular Weight]]*1000*1000</f>
        <v>553.77373728050952</v>
      </c>
      <c r="N433">
        <f>-LOG(DOWNLOAD_2kLRbPnDtawQopEJ_UKtt22ud9U57gk8mqebZIeugNk[[#This Row],[IC50]]*POWER(10, -9), 10)</f>
        <v>6.2566676445178713</v>
      </c>
      <c r="P433" t="s">
        <v>48</v>
      </c>
      <c r="R433" t="s">
        <v>55</v>
      </c>
      <c r="W433">
        <v>0</v>
      </c>
      <c r="X433" t="s">
        <v>245</v>
      </c>
      <c r="Y433" t="s">
        <v>246</v>
      </c>
      <c r="Z433" t="s">
        <v>58</v>
      </c>
      <c r="AA433" t="s">
        <v>59</v>
      </c>
      <c r="AB433" t="s">
        <v>60</v>
      </c>
      <c r="AC433" t="s">
        <v>61</v>
      </c>
      <c r="AD433" t="s">
        <v>49</v>
      </c>
      <c r="AE433" t="s">
        <v>49</v>
      </c>
      <c r="AF433" t="s">
        <v>49</v>
      </c>
      <c r="AG433" t="s">
        <v>49</v>
      </c>
      <c r="AH433" t="s">
        <v>48</v>
      </c>
      <c r="AI433" t="s">
        <v>48</v>
      </c>
      <c r="AJ433" t="s">
        <v>48</v>
      </c>
      <c r="AK433" t="s">
        <v>62</v>
      </c>
      <c r="AL433" t="s">
        <v>63</v>
      </c>
      <c r="AM433" t="s">
        <v>61</v>
      </c>
      <c r="AN433" t="s">
        <v>64</v>
      </c>
      <c r="AO433" t="s">
        <v>247</v>
      </c>
      <c r="AP433">
        <v>1</v>
      </c>
      <c r="AQ433" t="s">
        <v>66</v>
      </c>
      <c r="AR433" t="s">
        <v>131</v>
      </c>
      <c r="AS433">
        <v>2015</v>
      </c>
      <c r="AT433" t="s">
        <v>49</v>
      </c>
      <c r="AU433" t="s">
        <v>48</v>
      </c>
      <c r="AV433" t="s">
        <v>48</v>
      </c>
      <c r="AW433" t="s">
        <v>48</v>
      </c>
    </row>
    <row r="434" spans="1:49" x14ac:dyDescent="0.3">
      <c r="A434" t="s">
        <v>1346</v>
      </c>
      <c r="B434" t="s">
        <v>48</v>
      </c>
      <c r="C434" t="s">
        <v>49</v>
      </c>
      <c r="D434">
        <v>260.2</v>
      </c>
      <c r="E434">
        <v>0</v>
      </c>
      <c r="F434">
        <v>1.77</v>
      </c>
      <c r="G434" t="s">
        <v>1347</v>
      </c>
      <c r="H434" t="s">
        <v>1348</v>
      </c>
      <c r="I434" t="s">
        <v>52</v>
      </c>
      <c r="J434" t="s">
        <v>53</v>
      </c>
      <c r="K434">
        <v>130</v>
      </c>
      <c r="L434" t="s">
        <v>54</v>
      </c>
      <c r="M434">
        <f>DOWNLOAD_2kLRbPnDtawQopEJ_UKtt22ud9U57gk8mqebZIeugNk[[#This Row],[Standard Value]]/DOWNLOAD_2kLRbPnDtawQopEJ_UKtt22ud9U57gk8mqebZIeugNk[[#This Row],[Molecular Weight]]*1000*1000</f>
        <v>499615.68024596467</v>
      </c>
      <c r="N434">
        <f>-LOG(DOWNLOAD_2kLRbPnDtawQopEJ_UKtt22ud9U57gk8mqebZIeugNk[[#This Row],[IC50]]*POWER(10, -9), 10)</f>
        <v>3.3013639399187302</v>
      </c>
      <c r="P434" t="s">
        <v>72</v>
      </c>
      <c r="R434" t="s">
        <v>55</v>
      </c>
      <c r="W434">
        <v>0</v>
      </c>
      <c r="X434" t="s">
        <v>73</v>
      </c>
      <c r="Y434" t="s">
        <v>74</v>
      </c>
      <c r="Z434" t="s">
        <v>58</v>
      </c>
      <c r="AA434" t="s">
        <v>59</v>
      </c>
      <c r="AB434" t="s">
        <v>60</v>
      </c>
      <c r="AC434" t="s">
        <v>61</v>
      </c>
      <c r="AD434" t="s">
        <v>49</v>
      </c>
      <c r="AE434" t="s">
        <v>49</v>
      </c>
      <c r="AF434" t="s">
        <v>49</v>
      </c>
      <c r="AG434" t="s">
        <v>49</v>
      </c>
      <c r="AH434" t="s">
        <v>48</v>
      </c>
      <c r="AI434" t="s">
        <v>48</v>
      </c>
      <c r="AJ434" t="s">
        <v>48</v>
      </c>
      <c r="AK434" t="s">
        <v>62</v>
      </c>
      <c r="AL434" t="s">
        <v>63</v>
      </c>
      <c r="AM434" t="s">
        <v>61</v>
      </c>
      <c r="AN434" t="s">
        <v>64</v>
      </c>
      <c r="AO434" t="s">
        <v>75</v>
      </c>
      <c r="AP434">
        <v>1</v>
      </c>
      <c r="AQ434" t="s">
        <v>66</v>
      </c>
      <c r="AR434" t="s">
        <v>76</v>
      </c>
      <c r="AS434">
        <v>1998</v>
      </c>
      <c r="AT434" t="s">
        <v>49</v>
      </c>
      <c r="AU434" t="s">
        <v>48</v>
      </c>
      <c r="AV434" t="s">
        <v>48</v>
      </c>
      <c r="AW434" t="s">
        <v>48</v>
      </c>
    </row>
    <row r="435" spans="1:49" x14ac:dyDescent="0.3">
      <c r="A435" t="s">
        <v>1349</v>
      </c>
      <c r="B435" t="s">
        <v>48</v>
      </c>
      <c r="C435" t="s">
        <v>49</v>
      </c>
      <c r="D435">
        <v>431.56</v>
      </c>
      <c r="E435">
        <v>0</v>
      </c>
      <c r="F435">
        <v>4.09</v>
      </c>
      <c r="G435" t="s">
        <v>760</v>
      </c>
      <c r="H435" t="s">
        <v>1350</v>
      </c>
      <c r="I435" t="s">
        <v>52</v>
      </c>
      <c r="J435" t="s">
        <v>53</v>
      </c>
      <c r="K435">
        <v>47</v>
      </c>
      <c r="L435" t="s">
        <v>126</v>
      </c>
      <c r="M435">
        <f>DOWNLOAD_2kLRbPnDtawQopEJ_UKtt22ud9U57gk8mqebZIeugNk[[#This Row],[Standard Value]]</f>
        <v>47</v>
      </c>
      <c r="N435">
        <f>-LOG(DOWNLOAD_2kLRbPnDtawQopEJ_UKtt22ud9U57gk8mqebZIeugNk[[#This Row],[IC50]]*POWER(10, -9), 10)</f>
        <v>7.3279021420642811</v>
      </c>
      <c r="O435">
        <v>7.33</v>
      </c>
      <c r="P435" t="s">
        <v>48</v>
      </c>
      <c r="R435" t="s">
        <v>127</v>
      </c>
      <c r="S435">
        <v>16.98</v>
      </c>
      <c r="T435">
        <v>0.32</v>
      </c>
      <c r="U435">
        <v>3.24</v>
      </c>
      <c r="V435">
        <v>10.01</v>
      </c>
      <c r="W435">
        <v>0</v>
      </c>
      <c r="X435" t="s">
        <v>1330</v>
      </c>
      <c r="Y435" t="s">
        <v>1331</v>
      </c>
      <c r="Z435" t="s">
        <v>58</v>
      </c>
      <c r="AA435" t="s">
        <v>59</v>
      </c>
      <c r="AB435" t="s">
        <v>60</v>
      </c>
      <c r="AC435" t="s">
        <v>61</v>
      </c>
      <c r="AD435" t="s">
        <v>49</v>
      </c>
      <c r="AE435" t="s">
        <v>49</v>
      </c>
      <c r="AF435" t="s">
        <v>49</v>
      </c>
      <c r="AG435" t="s">
        <v>49</v>
      </c>
      <c r="AH435" t="s">
        <v>48</v>
      </c>
      <c r="AI435" t="s">
        <v>48</v>
      </c>
      <c r="AJ435" t="s">
        <v>48</v>
      </c>
      <c r="AK435" t="s">
        <v>62</v>
      </c>
      <c r="AL435" t="s">
        <v>63</v>
      </c>
      <c r="AM435" t="s">
        <v>61</v>
      </c>
      <c r="AN435" t="s">
        <v>64</v>
      </c>
      <c r="AO435" t="s">
        <v>1332</v>
      </c>
      <c r="AP435">
        <v>1</v>
      </c>
      <c r="AQ435" t="s">
        <v>66</v>
      </c>
      <c r="AR435" t="s">
        <v>329</v>
      </c>
      <c r="AS435">
        <v>2017</v>
      </c>
      <c r="AT435" t="s">
        <v>49</v>
      </c>
      <c r="AU435" t="s">
        <v>48</v>
      </c>
      <c r="AV435" t="s">
        <v>48</v>
      </c>
      <c r="AW435" t="s">
        <v>48</v>
      </c>
    </row>
    <row r="436" spans="1:49" x14ac:dyDescent="0.3">
      <c r="A436" t="s">
        <v>1223</v>
      </c>
      <c r="B436" t="s">
        <v>48</v>
      </c>
      <c r="C436" t="s">
        <v>49</v>
      </c>
      <c r="D436">
        <v>346.36</v>
      </c>
      <c r="E436">
        <v>0</v>
      </c>
      <c r="F436">
        <v>1.5</v>
      </c>
      <c r="G436" t="s">
        <v>1224</v>
      </c>
      <c r="H436" t="s">
        <v>1225</v>
      </c>
      <c r="I436" t="s">
        <v>52</v>
      </c>
      <c r="J436" t="s">
        <v>71</v>
      </c>
      <c r="K436">
        <v>102.4</v>
      </c>
      <c r="L436" t="s">
        <v>54</v>
      </c>
      <c r="M436">
        <f>DOWNLOAD_2kLRbPnDtawQopEJ_UKtt22ud9U57gk8mqebZIeugNk[[#This Row],[Standard Value]]/DOWNLOAD_2kLRbPnDtawQopEJ_UKtt22ud9U57gk8mqebZIeugNk[[#This Row],[Molecular Weight]]*1000*1000</f>
        <v>295646.14851599495</v>
      </c>
      <c r="N436">
        <f>-LOG(DOWNLOAD_2kLRbPnDtawQopEJ_UKtt22ud9U57gk8mqebZIeugNk[[#This Row],[IC50]]*POWER(10, -9), 10)</f>
        <v>3.5292277743315275</v>
      </c>
      <c r="P436" t="s">
        <v>72</v>
      </c>
      <c r="R436" t="s">
        <v>55</v>
      </c>
      <c r="W436">
        <v>0</v>
      </c>
      <c r="X436" t="s">
        <v>92</v>
      </c>
      <c r="Y436" t="s">
        <v>93</v>
      </c>
      <c r="Z436" t="s">
        <v>58</v>
      </c>
      <c r="AA436" t="s">
        <v>59</v>
      </c>
      <c r="AB436" t="s">
        <v>60</v>
      </c>
      <c r="AC436" t="s">
        <v>61</v>
      </c>
      <c r="AD436" t="s">
        <v>49</v>
      </c>
      <c r="AE436" t="s">
        <v>49</v>
      </c>
      <c r="AF436" t="s">
        <v>49</v>
      </c>
      <c r="AG436" t="s">
        <v>49</v>
      </c>
      <c r="AH436" t="s">
        <v>48</v>
      </c>
      <c r="AI436" t="s">
        <v>48</v>
      </c>
      <c r="AJ436" t="s">
        <v>48</v>
      </c>
      <c r="AK436" t="s">
        <v>62</v>
      </c>
      <c r="AL436" t="s">
        <v>63</v>
      </c>
      <c r="AM436" t="s">
        <v>61</v>
      </c>
      <c r="AN436" t="s">
        <v>64</v>
      </c>
      <c r="AO436" t="s">
        <v>94</v>
      </c>
      <c r="AP436">
        <v>1</v>
      </c>
      <c r="AQ436" t="s">
        <v>66</v>
      </c>
      <c r="AR436" t="s">
        <v>67</v>
      </c>
      <c r="AS436">
        <v>2003</v>
      </c>
      <c r="AT436" t="s">
        <v>49</v>
      </c>
      <c r="AU436" t="s">
        <v>48</v>
      </c>
      <c r="AV436" t="s">
        <v>48</v>
      </c>
      <c r="AW436" t="s">
        <v>48</v>
      </c>
    </row>
    <row r="437" spans="1:49" x14ac:dyDescent="0.3">
      <c r="A437" t="s">
        <v>1351</v>
      </c>
      <c r="B437" t="s">
        <v>48</v>
      </c>
      <c r="C437" t="s">
        <v>49</v>
      </c>
      <c r="D437">
        <v>368.39</v>
      </c>
      <c r="E437">
        <v>0</v>
      </c>
      <c r="F437">
        <v>3.75</v>
      </c>
      <c r="G437" t="s">
        <v>331</v>
      </c>
      <c r="H437" t="s">
        <v>1352</v>
      </c>
      <c r="I437" t="s">
        <v>52</v>
      </c>
      <c r="J437" t="s">
        <v>53</v>
      </c>
      <c r="K437">
        <v>200</v>
      </c>
      <c r="L437" t="s">
        <v>126</v>
      </c>
      <c r="M437">
        <f>DOWNLOAD_2kLRbPnDtawQopEJ_UKtt22ud9U57gk8mqebZIeugNk[[#This Row],[Standard Value]]</f>
        <v>200</v>
      </c>
      <c r="N437">
        <f>-LOG(DOWNLOAD_2kLRbPnDtawQopEJ_UKtt22ud9U57gk8mqebZIeugNk[[#This Row],[IC50]]*POWER(10, -9), 10)</f>
        <v>6.6989700043360187</v>
      </c>
      <c r="O437">
        <v>6.7</v>
      </c>
      <c r="P437" t="s">
        <v>48</v>
      </c>
      <c r="R437" t="s">
        <v>127</v>
      </c>
      <c r="S437">
        <v>18.18</v>
      </c>
      <c r="T437">
        <v>0.35</v>
      </c>
      <c r="U437">
        <v>2.95</v>
      </c>
      <c r="V437">
        <v>8.92</v>
      </c>
      <c r="W437">
        <v>0</v>
      </c>
      <c r="X437" t="s">
        <v>334</v>
      </c>
      <c r="Y437" t="s">
        <v>335</v>
      </c>
      <c r="Z437" t="s">
        <v>58</v>
      </c>
      <c r="AA437" t="s">
        <v>59</v>
      </c>
      <c r="AB437" t="s">
        <v>60</v>
      </c>
      <c r="AC437" t="s">
        <v>61</v>
      </c>
      <c r="AD437" t="s">
        <v>49</v>
      </c>
      <c r="AE437" t="s">
        <v>49</v>
      </c>
      <c r="AF437" t="s">
        <v>49</v>
      </c>
      <c r="AG437" t="s">
        <v>49</v>
      </c>
      <c r="AH437" t="s">
        <v>48</v>
      </c>
      <c r="AI437" t="s">
        <v>48</v>
      </c>
      <c r="AJ437" t="s">
        <v>48</v>
      </c>
      <c r="AK437" t="s">
        <v>62</v>
      </c>
      <c r="AL437" t="s">
        <v>63</v>
      </c>
      <c r="AM437" t="s">
        <v>61</v>
      </c>
      <c r="AN437" t="s">
        <v>64</v>
      </c>
      <c r="AO437" t="s">
        <v>336</v>
      </c>
      <c r="AP437">
        <v>1</v>
      </c>
      <c r="AQ437" t="s">
        <v>66</v>
      </c>
      <c r="AR437" t="s">
        <v>76</v>
      </c>
      <c r="AS437">
        <v>2006</v>
      </c>
      <c r="AT437" t="s">
        <v>49</v>
      </c>
      <c r="AU437" t="s">
        <v>48</v>
      </c>
      <c r="AV437" t="s">
        <v>48</v>
      </c>
      <c r="AW437" t="s">
        <v>48</v>
      </c>
    </row>
    <row r="438" spans="1:49" x14ac:dyDescent="0.3">
      <c r="A438" t="s">
        <v>1353</v>
      </c>
      <c r="B438" t="s">
        <v>48</v>
      </c>
      <c r="C438" t="s">
        <v>49</v>
      </c>
      <c r="D438">
        <v>373.39</v>
      </c>
      <c r="E438">
        <v>0</v>
      </c>
      <c r="F438">
        <v>1.29</v>
      </c>
      <c r="G438" t="s">
        <v>1354</v>
      </c>
      <c r="H438" t="s">
        <v>1355</v>
      </c>
      <c r="I438" t="s">
        <v>52</v>
      </c>
      <c r="J438" t="s">
        <v>71</v>
      </c>
      <c r="K438">
        <v>50000</v>
      </c>
      <c r="L438" t="s">
        <v>126</v>
      </c>
      <c r="M438">
        <f>DOWNLOAD_2kLRbPnDtawQopEJ_UKtt22ud9U57gk8mqebZIeugNk[[#This Row],[Standard Value]]</f>
        <v>50000</v>
      </c>
      <c r="N438">
        <f>-LOG(DOWNLOAD_2kLRbPnDtawQopEJ_UKtt22ud9U57gk8mqebZIeugNk[[#This Row],[IC50]]*POWER(10, -9), 10)</f>
        <v>4.3010299956639804</v>
      </c>
      <c r="P438" t="s">
        <v>48</v>
      </c>
      <c r="R438" t="s">
        <v>127</v>
      </c>
      <c r="W438">
        <v>0</v>
      </c>
      <c r="X438" t="s">
        <v>652</v>
      </c>
      <c r="Y438" t="s">
        <v>653</v>
      </c>
      <c r="Z438" t="s">
        <v>58</v>
      </c>
      <c r="AA438" t="s">
        <v>59</v>
      </c>
      <c r="AB438" t="s">
        <v>60</v>
      </c>
      <c r="AC438" t="s">
        <v>61</v>
      </c>
      <c r="AD438" t="s">
        <v>49</v>
      </c>
      <c r="AE438" t="s">
        <v>49</v>
      </c>
      <c r="AF438" t="s">
        <v>49</v>
      </c>
      <c r="AG438" t="s">
        <v>49</v>
      </c>
      <c r="AH438" t="s">
        <v>48</v>
      </c>
      <c r="AI438" t="s">
        <v>48</v>
      </c>
      <c r="AJ438" t="s">
        <v>48</v>
      </c>
      <c r="AK438" t="s">
        <v>62</v>
      </c>
      <c r="AL438" t="s">
        <v>63</v>
      </c>
      <c r="AM438" t="s">
        <v>61</v>
      </c>
      <c r="AN438" t="s">
        <v>64</v>
      </c>
      <c r="AO438" t="s">
        <v>654</v>
      </c>
      <c r="AP438">
        <v>1</v>
      </c>
      <c r="AQ438" t="s">
        <v>66</v>
      </c>
      <c r="AR438" t="s">
        <v>267</v>
      </c>
      <c r="AS438">
        <v>2020</v>
      </c>
      <c r="AT438" t="s">
        <v>49</v>
      </c>
      <c r="AU438" t="s">
        <v>48</v>
      </c>
      <c r="AV438" t="s">
        <v>48</v>
      </c>
      <c r="AW438" t="s">
        <v>48</v>
      </c>
    </row>
    <row r="439" spans="1:49" x14ac:dyDescent="0.3">
      <c r="A439" t="s">
        <v>1356</v>
      </c>
      <c r="B439" t="s">
        <v>48</v>
      </c>
      <c r="C439" t="s">
        <v>49</v>
      </c>
      <c r="D439">
        <v>375.43</v>
      </c>
      <c r="E439">
        <v>0</v>
      </c>
      <c r="F439">
        <v>3.85</v>
      </c>
      <c r="G439" t="s">
        <v>1357</v>
      </c>
      <c r="H439" t="s">
        <v>1358</v>
      </c>
      <c r="I439" t="s">
        <v>52</v>
      </c>
      <c r="J439" t="s">
        <v>53</v>
      </c>
      <c r="K439">
        <v>7270</v>
      </c>
      <c r="L439" t="s">
        <v>126</v>
      </c>
      <c r="M439">
        <f>DOWNLOAD_2kLRbPnDtawQopEJ_UKtt22ud9U57gk8mqebZIeugNk[[#This Row],[Standard Value]]</f>
        <v>7270</v>
      </c>
      <c r="N439">
        <f>-LOG(DOWNLOAD_2kLRbPnDtawQopEJ_UKtt22ud9U57gk8mqebZIeugNk[[#This Row],[IC50]]*POWER(10, -9), 10)</f>
        <v>5.1384655891409619</v>
      </c>
      <c r="O439">
        <v>5.14</v>
      </c>
      <c r="P439" t="s">
        <v>48</v>
      </c>
      <c r="R439" t="s">
        <v>127</v>
      </c>
      <c r="S439">
        <v>13.69</v>
      </c>
      <c r="T439">
        <v>0.25</v>
      </c>
      <c r="U439">
        <v>1.29</v>
      </c>
      <c r="V439">
        <v>5.35</v>
      </c>
      <c r="W439">
        <v>0</v>
      </c>
      <c r="X439" t="s">
        <v>128</v>
      </c>
      <c r="Y439" t="s">
        <v>129</v>
      </c>
      <c r="Z439" t="s">
        <v>58</v>
      </c>
      <c r="AA439" t="s">
        <v>59</v>
      </c>
      <c r="AB439" t="s">
        <v>60</v>
      </c>
      <c r="AC439" t="s">
        <v>61</v>
      </c>
      <c r="AD439" t="s">
        <v>49</v>
      </c>
      <c r="AE439" t="s">
        <v>49</v>
      </c>
      <c r="AF439" t="s">
        <v>49</v>
      </c>
      <c r="AG439" t="s">
        <v>49</v>
      </c>
      <c r="AH439" t="s">
        <v>48</v>
      </c>
      <c r="AI439" t="s">
        <v>48</v>
      </c>
      <c r="AJ439" t="s">
        <v>48</v>
      </c>
      <c r="AK439" t="s">
        <v>62</v>
      </c>
      <c r="AL439" t="s">
        <v>63</v>
      </c>
      <c r="AM439" t="s">
        <v>61</v>
      </c>
      <c r="AN439" t="s">
        <v>64</v>
      </c>
      <c r="AO439" t="s">
        <v>130</v>
      </c>
      <c r="AP439">
        <v>1</v>
      </c>
      <c r="AQ439" t="s">
        <v>66</v>
      </c>
      <c r="AR439" t="s">
        <v>131</v>
      </c>
      <c r="AS439">
        <v>2014</v>
      </c>
      <c r="AT439" t="s">
        <v>49</v>
      </c>
      <c r="AU439" t="s">
        <v>48</v>
      </c>
      <c r="AV439" t="s">
        <v>48</v>
      </c>
      <c r="AW439" t="s">
        <v>48</v>
      </c>
    </row>
    <row r="440" spans="1:49" x14ac:dyDescent="0.3">
      <c r="A440" t="s">
        <v>1359</v>
      </c>
      <c r="B440" t="s">
        <v>48</v>
      </c>
      <c r="C440" t="s">
        <v>49</v>
      </c>
      <c r="D440">
        <v>362.39</v>
      </c>
      <c r="E440">
        <v>0</v>
      </c>
      <c r="F440">
        <v>2.93</v>
      </c>
      <c r="G440" t="s">
        <v>1360</v>
      </c>
      <c r="H440" t="s">
        <v>1361</v>
      </c>
      <c r="I440" t="s">
        <v>52</v>
      </c>
      <c r="J440" t="s">
        <v>53</v>
      </c>
      <c r="K440">
        <v>1130</v>
      </c>
      <c r="L440" t="s">
        <v>126</v>
      </c>
      <c r="M440">
        <f>DOWNLOAD_2kLRbPnDtawQopEJ_UKtt22ud9U57gk8mqebZIeugNk[[#This Row],[Standard Value]]</f>
        <v>1130</v>
      </c>
      <c r="N440">
        <f>-LOG(DOWNLOAD_2kLRbPnDtawQopEJ_UKtt22ud9U57gk8mqebZIeugNk[[#This Row],[IC50]]*POWER(10, -9), 10)</f>
        <v>5.9469215565165792</v>
      </c>
      <c r="O440">
        <v>5.95</v>
      </c>
      <c r="P440" t="s">
        <v>48</v>
      </c>
      <c r="R440" t="s">
        <v>127</v>
      </c>
      <c r="S440">
        <v>16.41</v>
      </c>
      <c r="T440">
        <v>0.3</v>
      </c>
      <c r="U440">
        <v>3.02</v>
      </c>
      <c r="V440">
        <v>5.46</v>
      </c>
      <c r="W440">
        <v>0</v>
      </c>
      <c r="X440" t="s">
        <v>128</v>
      </c>
      <c r="Y440" t="s">
        <v>129</v>
      </c>
      <c r="Z440" t="s">
        <v>58</v>
      </c>
      <c r="AA440" t="s">
        <v>59</v>
      </c>
      <c r="AB440" t="s">
        <v>60</v>
      </c>
      <c r="AC440" t="s">
        <v>61</v>
      </c>
      <c r="AD440" t="s">
        <v>49</v>
      </c>
      <c r="AE440" t="s">
        <v>49</v>
      </c>
      <c r="AF440" t="s">
        <v>49</v>
      </c>
      <c r="AG440" t="s">
        <v>49</v>
      </c>
      <c r="AH440" t="s">
        <v>48</v>
      </c>
      <c r="AI440" t="s">
        <v>48</v>
      </c>
      <c r="AJ440" t="s">
        <v>48</v>
      </c>
      <c r="AK440" t="s">
        <v>62</v>
      </c>
      <c r="AL440" t="s">
        <v>63</v>
      </c>
      <c r="AM440" t="s">
        <v>61</v>
      </c>
      <c r="AN440" t="s">
        <v>64</v>
      </c>
      <c r="AO440" t="s">
        <v>130</v>
      </c>
      <c r="AP440">
        <v>1</v>
      </c>
      <c r="AQ440" t="s">
        <v>66</v>
      </c>
      <c r="AR440" t="s">
        <v>131</v>
      </c>
      <c r="AS440">
        <v>2014</v>
      </c>
      <c r="AT440" t="s">
        <v>49</v>
      </c>
      <c r="AU440" t="s">
        <v>48</v>
      </c>
      <c r="AV440" t="s">
        <v>48</v>
      </c>
      <c r="AW440" t="s">
        <v>48</v>
      </c>
    </row>
    <row r="441" spans="1:49" x14ac:dyDescent="0.3">
      <c r="A441" t="s">
        <v>1362</v>
      </c>
      <c r="B441" t="s">
        <v>48</v>
      </c>
      <c r="C441" t="s">
        <v>49</v>
      </c>
      <c r="D441">
        <v>396.5</v>
      </c>
      <c r="E441">
        <v>0</v>
      </c>
      <c r="F441">
        <v>2.54</v>
      </c>
      <c r="G441" t="s">
        <v>1363</v>
      </c>
      <c r="H441" t="s">
        <v>1364</v>
      </c>
      <c r="I441" t="s">
        <v>52</v>
      </c>
      <c r="J441" t="s">
        <v>53</v>
      </c>
      <c r="K441">
        <v>18000</v>
      </c>
      <c r="L441" t="s">
        <v>126</v>
      </c>
      <c r="M441">
        <f>DOWNLOAD_2kLRbPnDtawQopEJ_UKtt22ud9U57gk8mqebZIeugNk[[#This Row],[Standard Value]]</f>
        <v>18000</v>
      </c>
      <c r="N441">
        <f>-LOG(DOWNLOAD_2kLRbPnDtawQopEJ_UKtt22ud9U57gk8mqebZIeugNk[[#This Row],[IC50]]*POWER(10, -9), 10)</f>
        <v>4.7447274948966935</v>
      </c>
      <c r="O441">
        <v>4.75</v>
      </c>
      <c r="P441" t="s">
        <v>48</v>
      </c>
      <c r="R441" t="s">
        <v>127</v>
      </c>
      <c r="S441">
        <v>11.97</v>
      </c>
      <c r="T441">
        <v>0.22</v>
      </c>
      <c r="U441">
        <v>2.2000000000000002</v>
      </c>
      <c r="V441">
        <v>5.3</v>
      </c>
      <c r="W441">
        <v>0</v>
      </c>
      <c r="X441" t="s">
        <v>128</v>
      </c>
      <c r="Y441" t="s">
        <v>129</v>
      </c>
      <c r="Z441" t="s">
        <v>58</v>
      </c>
      <c r="AA441" t="s">
        <v>59</v>
      </c>
      <c r="AB441" t="s">
        <v>60</v>
      </c>
      <c r="AC441" t="s">
        <v>61</v>
      </c>
      <c r="AD441" t="s">
        <v>49</v>
      </c>
      <c r="AE441" t="s">
        <v>49</v>
      </c>
      <c r="AF441" t="s">
        <v>49</v>
      </c>
      <c r="AG441" t="s">
        <v>49</v>
      </c>
      <c r="AH441" t="s">
        <v>48</v>
      </c>
      <c r="AI441" t="s">
        <v>48</v>
      </c>
      <c r="AJ441" t="s">
        <v>48</v>
      </c>
      <c r="AK441" t="s">
        <v>62</v>
      </c>
      <c r="AL441" t="s">
        <v>63</v>
      </c>
      <c r="AM441" t="s">
        <v>61</v>
      </c>
      <c r="AN441" t="s">
        <v>64</v>
      </c>
      <c r="AO441" t="s">
        <v>130</v>
      </c>
      <c r="AP441">
        <v>1</v>
      </c>
      <c r="AQ441" t="s">
        <v>66</v>
      </c>
      <c r="AR441" t="s">
        <v>131</v>
      </c>
      <c r="AS441">
        <v>2014</v>
      </c>
      <c r="AT441" t="s">
        <v>49</v>
      </c>
      <c r="AU441" t="s">
        <v>48</v>
      </c>
      <c r="AV441" t="s">
        <v>48</v>
      </c>
      <c r="AW441" t="s">
        <v>48</v>
      </c>
    </row>
    <row r="442" spans="1:49" x14ac:dyDescent="0.3">
      <c r="A442" t="s">
        <v>412</v>
      </c>
      <c r="B442" t="s">
        <v>48</v>
      </c>
      <c r="C442" t="s">
        <v>49</v>
      </c>
      <c r="D442">
        <v>418.38</v>
      </c>
      <c r="E442">
        <v>0</v>
      </c>
      <c r="F442">
        <v>0.87</v>
      </c>
      <c r="G442" t="s">
        <v>1365</v>
      </c>
      <c r="H442" t="s">
        <v>414</v>
      </c>
      <c r="I442" t="s">
        <v>52</v>
      </c>
      <c r="J442" t="s">
        <v>53</v>
      </c>
      <c r="K442">
        <v>970</v>
      </c>
      <c r="L442" t="s">
        <v>126</v>
      </c>
      <c r="M442">
        <f>DOWNLOAD_2kLRbPnDtawQopEJ_UKtt22ud9U57gk8mqebZIeugNk[[#This Row],[Standard Value]]</f>
        <v>970</v>
      </c>
      <c r="N442">
        <f>-LOG(DOWNLOAD_2kLRbPnDtawQopEJ_UKtt22ud9U57gk8mqebZIeugNk[[#This Row],[IC50]]*POWER(10, -9), 10)</f>
        <v>6.0132282657337548</v>
      </c>
      <c r="O442">
        <v>6.01</v>
      </c>
      <c r="P442" t="s">
        <v>48</v>
      </c>
      <c r="R442" t="s">
        <v>127</v>
      </c>
      <c r="S442">
        <v>14.37</v>
      </c>
      <c r="T442">
        <v>0.27</v>
      </c>
      <c r="U442">
        <v>5.14</v>
      </c>
      <c r="V442">
        <v>4.8899999999999997</v>
      </c>
      <c r="W442">
        <v>0</v>
      </c>
      <c r="X442" t="s">
        <v>519</v>
      </c>
      <c r="Y442" t="s">
        <v>520</v>
      </c>
      <c r="Z442" t="s">
        <v>58</v>
      </c>
      <c r="AA442" t="s">
        <v>59</v>
      </c>
      <c r="AB442" t="s">
        <v>60</v>
      </c>
      <c r="AC442" t="s">
        <v>61</v>
      </c>
      <c r="AD442" t="s">
        <v>49</v>
      </c>
      <c r="AE442" t="s">
        <v>49</v>
      </c>
      <c r="AF442" t="s">
        <v>49</v>
      </c>
      <c r="AG442" t="s">
        <v>49</v>
      </c>
      <c r="AH442" t="s">
        <v>48</v>
      </c>
      <c r="AI442" t="s">
        <v>48</v>
      </c>
      <c r="AJ442" t="s">
        <v>48</v>
      </c>
      <c r="AK442" t="s">
        <v>62</v>
      </c>
      <c r="AL442" t="s">
        <v>63</v>
      </c>
      <c r="AM442" t="s">
        <v>61</v>
      </c>
      <c r="AN442" t="s">
        <v>64</v>
      </c>
      <c r="AO442" t="s">
        <v>521</v>
      </c>
      <c r="AP442">
        <v>1</v>
      </c>
      <c r="AQ442" t="s">
        <v>66</v>
      </c>
      <c r="AR442" t="s">
        <v>67</v>
      </c>
      <c r="AS442">
        <v>2014</v>
      </c>
      <c r="AT442" t="s">
        <v>49</v>
      </c>
      <c r="AU442" t="s">
        <v>48</v>
      </c>
      <c r="AV442" t="s">
        <v>48</v>
      </c>
      <c r="AW442" t="s">
        <v>48</v>
      </c>
    </row>
    <row r="443" spans="1:49" x14ac:dyDescent="0.3">
      <c r="A443" t="s">
        <v>300</v>
      </c>
      <c r="B443" t="s">
        <v>48</v>
      </c>
      <c r="C443" t="s">
        <v>49</v>
      </c>
      <c r="D443">
        <v>331.35</v>
      </c>
      <c r="E443">
        <v>0</v>
      </c>
      <c r="F443">
        <v>1.71</v>
      </c>
      <c r="G443" t="s">
        <v>1366</v>
      </c>
      <c r="H443" t="s">
        <v>302</v>
      </c>
      <c r="I443" t="s">
        <v>52</v>
      </c>
      <c r="J443" t="s">
        <v>53</v>
      </c>
      <c r="K443">
        <v>2.6</v>
      </c>
      <c r="L443" t="s">
        <v>54</v>
      </c>
      <c r="M443">
        <f>DOWNLOAD_2kLRbPnDtawQopEJ_UKtt22ud9U57gk8mqebZIeugNk[[#This Row],[Standard Value]]/DOWNLOAD_2kLRbPnDtawQopEJ_UKtt22ud9U57gk8mqebZIeugNk[[#This Row],[Molecular Weight]]*1000*1000</f>
        <v>7846.6877923645698</v>
      </c>
      <c r="N443">
        <f>-LOG(DOWNLOAD_2kLRbPnDtawQopEJ_UKtt22ud9U57gk8mqebZIeugNk[[#This Row],[IC50]]*POWER(10, -9), 10)</f>
        <v>5.1053136269562973</v>
      </c>
      <c r="P443" t="s">
        <v>48</v>
      </c>
      <c r="R443" t="s">
        <v>55</v>
      </c>
      <c r="W443">
        <v>0</v>
      </c>
      <c r="X443" t="s">
        <v>359</v>
      </c>
      <c r="Y443" t="s">
        <v>360</v>
      </c>
      <c r="Z443" t="s">
        <v>168</v>
      </c>
      <c r="AA443" t="s">
        <v>169</v>
      </c>
      <c r="AB443" t="s">
        <v>170</v>
      </c>
      <c r="AC443" t="s">
        <v>61</v>
      </c>
      <c r="AD443" t="s">
        <v>49</v>
      </c>
      <c r="AE443" t="s">
        <v>49</v>
      </c>
      <c r="AF443" t="s">
        <v>49</v>
      </c>
      <c r="AG443" t="s">
        <v>49</v>
      </c>
      <c r="AH443" t="s">
        <v>48</v>
      </c>
      <c r="AI443" t="s">
        <v>48</v>
      </c>
      <c r="AJ443" t="s">
        <v>48</v>
      </c>
      <c r="AK443" t="s">
        <v>62</v>
      </c>
      <c r="AL443" t="s">
        <v>63</v>
      </c>
      <c r="AM443" t="s">
        <v>61</v>
      </c>
      <c r="AN443" t="s">
        <v>64</v>
      </c>
      <c r="AO443" t="s">
        <v>361</v>
      </c>
      <c r="AP443">
        <v>1</v>
      </c>
      <c r="AQ443" t="s">
        <v>66</v>
      </c>
      <c r="AR443" t="s">
        <v>67</v>
      </c>
      <c r="AS443">
        <v>1993</v>
      </c>
      <c r="AT443" t="s">
        <v>49</v>
      </c>
      <c r="AU443" t="s">
        <v>48</v>
      </c>
      <c r="AV443" t="s">
        <v>48</v>
      </c>
      <c r="AW443" t="s">
        <v>48</v>
      </c>
    </row>
    <row r="444" spans="1:49" x14ac:dyDescent="0.3">
      <c r="A444" t="s">
        <v>1367</v>
      </c>
      <c r="B444" t="s">
        <v>48</v>
      </c>
      <c r="C444" t="s">
        <v>49</v>
      </c>
      <c r="D444">
        <v>375.45</v>
      </c>
      <c r="E444">
        <v>0</v>
      </c>
      <c r="F444">
        <v>0.69</v>
      </c>
      <c r="G444" t="s">
        <v>1368</v>
      </c>
      <c r="H444" t="s">
        <v>1369</v>
      </c>
      <c r="I444" t="s">
        <v>52</v>
      </c>
      <c r="J444" t="s">
        <v>53</v>
      </c>
      <c r="K444">
        <v>17600</v>
      </c>
      <c r="L444" t="s">
        <v>126</v>
      </c>
      <c r="M444">
        <f>DOWNLOAD_2kLRbPnDtawQopEJ_UKtt22ud9U57gk8mqebZIeugNk[[#This Row],[Standard Value]]</f>
        <v>17600</v>
      </c>
      <c r="N444">
        <f>-LOG(DOWNLOAD_2kLRbPnDtawQopEJ_UKtt22ud9U57gk8mqebZIeugNk[[#This Row],[IC50]]*POWER(10, -9), 10)</f>
        <v>4.7544873321858496</v>
      </c>
      <c r="O444">
        <v>4.75</v>
      </c>
      <c r="P444" t="s">
        <v>48</v>
      </c>
      <c r="R444" t="s">
        <v>127</v>
      </c>
      <c r="S444">
        <v>12.66</v>
      </c>
      <c r="T444">
        <v>0.24</v>
      </c>
      <c r="U444">
        <v>4.0599999999999996</v>
      </c>
      <c r="V444">
        <v>4.79</v>
      </c>
      <c r="W444">
        <v>0</v>
      </c>
      <c r="X444" t="s">
        <v>652</v>
      </c>
      <c r="Y444" t="s">
        <v>653</v>
      </c>
      <c r="Z444" t="s">
        <v>58</v>
      </c>
      <c r="AA444" t="s">
        <v>59</v>
      </c>
      <c r="AB444" t="s">
        <v>60</v>
      </c>
      <c r="AC444" t="s">
        <v>61</v>
      </c>
      <c r="AD444" t="s">
        <v>49</v>
      </c>
      <c r="AE444" t="s">
        <v>49</v>
      </c>
      <c r="AF444" t="s">
        <v>49</v>
      </c>
      <c r="AG444" t="s">
        <v>49</v>
      </c>
      <c r="AH444" t="s">
        <v>48</v>
      </c>
      <c r="AI444" t="s">
        <v>48</v>
      </c>
      <c r="AJ444" t="s">
        <v>48</v>
      </c>
      <c r="AK444" t="s">
        <v>62</v>
      </c>
      <c r="AL444" t="s">
        <v>63</v>
      </c>
      <c r="AM444" t="s">
        <v>61</v>
      </c>
      <c r="AN444" t="s">
        <v>64</v>
      </c>
      <c r="AO444" t="s">
        <v>654</v>
      </c>
      <c r="AP444">
        <v>1</v>
      </c>
      <c r="AQ444" t="s">
        <v>66</v>
      </c>
      <c r="AR444" t="s">
        <v>267</v>
      </c>
      <c r="AS444">
        <v>2020</v>
      </c>
      <c r="AT444" t="s">
        <v>49</v>
      </c>
      <c r="AU444" t="s">
        <v>48</v>
      </c>
      <c r="AV444" t="s">
        <v>48</v>
      </c>
      <c r="AW444" t="s">
        <v>48</v>
      </c>
    </row>
    <row r="445" spans="1:49" x14ac:dyDescent="0.3">
      <c r="A445" t="s">
        <v>281</v>
      </c>
      <c r="B445" t="s">
        <v>282</v>
      </c>
      <c r="C445" t="s">
        <v>112</v>
      </c>
      <c r="D445">
        <v>331.35</v>
      </c>
      <c r="E445">
        <v>0</v>
      </c>
      <c r="F445">
        <v>1.58</v>
      </c>
      <c r="G445" t="s">
        <v>1370</v>
      </c>
      <c r="H445" t="s">
        <v>284</v>
      </c>
      <c r="I445" t="s">
        <v>52</v>
      </c>
      <c r="J445" t="s">
        <v>53</v>
      </c>
      <c r="K445">
        <v>5.3</v>
      </c>
      <c r="L445" t="s">
        <v>54</v>
      </c>
      <c r="M445">
        <f>DOWNLOAD_2kLRbPnDtawQopEJ_UKtt22ud9U57gk8mqebZIeugNk[[#This Row],[Standard Value]]/DOWNLOAD_2kLRbPnDtawQopEJ_UKtt22ud9U57gk8mqebZIeugNk[[#This Row],[Molecular Weight]]*1000*1000</f>
        <v>15995.17126905085</v>
      </c>
      <c r="N445">
        <f>-LOG(DOWNLOAD_2kLRbPnDtawQopEJ_UKtt22ud9U57gk8mqebZIeugNk[[#This Row],[IC50]]*POWER(10, -9), 10)</f>
        <v>4.7960111053263264</v>
      </c>
      <c r="P445" t="s">
        <v>48</v>
      </c>
      <c r="R445" t="s">
        <v>55</v>
      </c>
      <c r="W445">
        <v>1</v>
      </c>
      <c r="X445" t="s">
        <v>359</v>
      </c>
      <c r="Y445" t="s">
        <v>360</v>
      </c>
      <c r="Z445" t="s">
        <v>168</v>
      </c>
      <c r="AA445" t="s">
        <v>169</v>
      </c>
      <c r="AB445" t="s">
        <v>170</v>
      </c>
      <c r="AC445" t="s">
        <v>61</v>
      </c>
      <c r="AD445" t="s">
        <v>49</v>
      </c>
      <c r="AE445" t="s">
        <v>49</v>
      </c>
      <c r="AF445" t="s">
        <v>49</v>
      </c>
      <c r="AG445" t="s">
        <v>49</v>
      </c>
      <c r="AH445" t="s">
        <v>48</v>
      </c>
      <c r="AI445" t="s">
        <v>48</v>
      </c>
      <c r="AJ445" t="s">
        <v>48</v>
      </c>
      <c r="AK445" t="s">
        <v>62</v>
      </c>
      <c r="AL445" t="s">
        <v>63</v>
      </c>
      <c r="AM445" t="s">
        <v>61</v>
      </c>
      <c r="AN445" t="s">
        <v>64</v>
      </c>
      <c r="AO445" t="s">
        <v>361</v>
      </c>
      <c r="AP445">
        <v>1</v>
      </c>
      <c r="AQ445" t="s">
        <v>66</v>
      </c>
      <c r="AR445" t="s">
        <v>67</v>
      </c>
      <c r="AS445">
        <v>1993</v>
      </c>
      <c r="AT445" t="s">
        <v>49</v>
      </c>
      <c r="AU445" t="s">
        <v>48</v>
      </c>
      <c r="AV445" t="s">
        <v>48</v>
      </c>
      <c r="AW445" t="s">
        <v>48</v>
      </c>
    </row>
    <row r="446" spans="1:49" x14ac:dyDescent="0.3">
      <c r="A446" t="s">
        <v>1371</v>
      </c>
      <c r="B446" t="s">
        <v>48</v>
      </c>
      <c r="C446" t="s">
        <v>49</v>
      </c>
      <c r="D446">
        <v>449.55</v>
      </c>
      <c r="E446">
        <v>0</v>
      </c>
      <c r="F446">
        <v>4</v>
      </c>
      <c r="G446" t="s">
        <v>1217</v>
      </c>
      <c r="H446" t="s">
        <v>1372</v>
      </c>
      <c r="I446" t="s">
        <v>52</v>
      </c>
      <c r="J446" t="s">
        <v>53</v>
      </c>
      <c r="K446">
        <v>4</v>
      </c>
      <c r="L446" t="s">
        <v>54</v>
      </c>
      <c r="M446">
        <f>DOWNLOAD_2kLRbPnDtawQopEJ_UKtt22ud9U57gk8mqebZIeugNk[[#This Row],[Standard Value]]/DOWNLOAD_2kLRbPnDtawQopEJ_UKtt22ud9U57gk8mqebZIeugNk[[#This Row],[Molecular Weight]]*1000*1000</f>
        <v>8897.7866755644518</v>
      </c>
      <c r="N446">
        <f>-LOG(DOWNLOAD_2kLRbPnDtawQopEJ_UKtt22ud9U57gk8mqebZIeugNk[[#This Row],[IC50]]*POWER(10, -9), 10)</f>
        <v>5.0507180106733633</v>
      </c>
      <c r="P446" t="s">
        <v>48</v>
      </c>
      <c r="R446" t="s">
        <v>55</v>
      </c>
      <c r="W446">
        <v>0</v>
      </c>
      <c r="X446" t="s">
        <v>121</v>
      </c>
      <c r="Y446" t="s">
        <v>87</v>
      </c>
      <c r="Z446" t="s">
        <v>58</v>
      </c>
      <c r="AA446" t="s">
        <v>59</v>
      </c>
      <c r="AB446" t="s">
        <v>60</v>
      </c>
      <c r="AC446" t="s">
        <v>61</v>
      </c>
      <c r="AD446" t="s">
        <v>49</v>
      </c>
      <c r="AE446" t="s">
        <v>49</v>
      </c>
      <c r="AF446" t="s">
        <v>49</v>
      </c>
      <c r="AG446" t="s">
        <v>49</v>
      </c>
      <c r="AH446" t="s">
        <v>48</v>
      </c>
      <c r="AI446" t="s">
        <v>48</v>
      </c>
      <c r="AJ446" t="s">
        <v>48</v>
      </c>
      <c r="AK446" t="s">
        <v>62</v>
      </c>
      <c r="AL446" t="s">
        <v>63</v>
      </c>
      <c r="AM446" t="s">
        <v>61</v>
      </c>
      <c r="AN446" t="s">
        <v>64</v>
      </c>
      <c r="AO446" t="s">
        <v>122</v>
      </c>
      <c r="AP446">
        <v>1</v>
      </c>
      <c r="AQ446" t="s">
        <v>66</v>
      </c>
      <c r="AR446" t="s">
        <v>76</v>
      </c>
      <c r="AS446">
        <v>2004</v>
      </c>
      <c r="AT446" t="s">
        <v>49</v>
      </c>
      <c r="AU446" t="s">
        <v>48</v>
      </c>
      <c r="AV446" t="s">
        <v>48</v>
      </c>
      <c r="AW446" t="s">
        <v>48</v>
      </c>
    </row>
    <row r="447" spans="1:49" x14ac:dyDescent="0.3">
      <c r="A447" t="s">
        <v>1373</v>
      </c>
      <c r="B447" t="s">
        <v>48</v>
      </c>
      <c r="C447" t="s">
        <v>49</v>
      </c>
      <c r="D447">
        <v>395.51</v>
      </c>
      <c r="E447">
        <v>0</v>
      </c>
      <c r="F447">
        <v>4.53</v>
      </c>
      <c r="G447" t="s">
        <v>1374</v>
      </c>
      <c r="H447" t="s">
        <v>1375</v>
      </c>
      <c r="I447" t="s">
        <v>52</v>
      </c>
      <c r="J447" t="s">
        <v>53</v>
      </c>
      <c r="K447">
        <v>2120</v>
      </c>
      <c r="L447" t="s">
        <v>126</v>
      </c>
      <c r="M447">
        <f>DOWNLOAD_2kLRbPnDtawQopEJ_UKtt22ud9U57gk8mqebZIeugNk[[#This Row],[Standard Value]]</f>
        <v>2120</v>
      </c>
      <c r="N447">
        <f>-LOG(DOWNLOAD_2kLRbPnDtawQopEJ_UKtt22ud9U57gk8mqebZIeugNk[[#This Row],[IC50]]*POWER(10, -9), 10)</f>
        <v>5.6736641390712474</v>
      </c>
      <c r="O447">
        <v>5.67</v>
      </c>
      <c r="P447" t="s">
        <v>48</v>
      </c>
      <c r="R447" t="s">
        <v>127</v>
      </c>
      <c r="S447">
        <v>14.35</v>
      </c>
      <c r="T447">
        <v>0.27</v>
      </c>
      <c r="U447">
        <v>1.1399999999999999</v>
      </c>
      <c r="V447">
        <v>5.96</v>
      </c>
      <c r="W447">
        <v>0</v>
      </c>
      <c r="X447" t="s">
        <v>128</v>
      </c>
      <c r="Y447" t="s">
        <v>129</v>
      </c>
      <c r="Z447" t="s">
        <v>58</v>
      </c>
      <c r="AA447" t="s">
        <v>59</v>
      </c>
      <c r="AB447" t="s">
        <v>60</v>
      </c>
      <c r="AC447" t="s">
        <v>61</v>
      </c>
      <c r="AD447" t="s">
        <v>49</v>
      </c>
      <c r="AE447" t="s">
        <v>49</v>
      </c>
      <c r="AF447" t="s">
        <v>49</v>
      </c>
      <c r="AG447" t="s">
        <v>49</v>
      </c>
      <c r="AH447" t="s">
        <v>48</v>
      </c>
      <c r="AI447" t="s">
        <v>48</v>
      </c>
      <c r="AJ447" t="s">
        <v>48</v>
      </c>
      <c r="AK447" t="s">
        <v>62</v>
      </c>
      <c r="AL447" t="s">
        <v>63</v>
      </c>
      <c r="AM447" t="s">
        <v>61</v>
      </c>
      <c r="AN447" t="s">
        <v>64</v>
      </c>
      <c r="AO447" t="s">
        <v>130</v>
      </c>
      <c r="AP447">
        <v>1</v>
      </c>
      <c r="AQ447" t="s">
        <v>66</v>
      </c>
      <c r="AR447" t="s">
        <v>131</v>
      </c>
      <c r="AS447">
        <v>2014</v>
      </c>
      <c r="AT447" t="s">
        <v>49</v>
      </c>
      <c r="AU447" t="s">
        <v>48</v>
      </c>
      <c r="AV447" t="s">
        <v>48</v>
      </c>
      <c r="AW447" t="s">
        <v>48</v>
      </c>
    </row>
    <row r="448" spans="1:49" x14ac:dyDescent="0.3">
      <c r="A448" t="s">
        <v>762</v>
      </c>
      <c r="B448" t="s">
        <v>763</v>
      </c>
      <c r="C448" t="s">
        <v>112</v>
      </c>
      <c r="D448">
        <v>361.37</v>
      </c>
      <c r="E448">
        <v>0</v>
      </c>
      <c r="F448">
        <v>1.54</v>
      </c>
      <c r="G448" t="s">
        <v>1376</v>
      </c>
      <c r="H448" t="s">
        <v>765</v>
      </c>
      <c r="I448" t="s">
        <v>52</v>
      </c>
      <c r="J448" t="s">
        <v>53</v>
      </c>
      <c r="K448">
        <v>7.5</v>
      </c>
      <c r="L448" t="s">
        <v>54</v>
      </c>
      <c r="M448">
        <f>DOWNLOAD_2kLRbPnDtawQopEJ_UKtt22ud9U57gk8mqebZIeugNk[[#This Row],[Standard Value]]/DOWNLOAD_2kLRbPnDtawQopEJ_UKtt22ud9U57gk8mqebZIeugNk[[#This Row],[Molecular Weight]]*1000*1000</f>
        <v>20754.35149569693</v>
      </c>
      <c r="N448">
        <f>-LOG(DOWNLOAD_2kLRbPnDtawQopEJ_UKtt22ud9U57gk8mqebZIeugNk[[#This Row],[IC50]]*POWER(10, -9), 10)</f>
        <v>4.682890832328364</v>
      </c>
      <c r="P448" t="s">
        <v>48</v>
      </c>
      <c r="R448" t="s">
        <v>55</v>
      </c>
      <c r="W448">
        <v>0</v>
      </c>
      <c r="X448" t="s">
        <v>56</v>
      </c>
      <c r="Y448" t="s">
        <v>57</v>
      </c>
      <c r="Z448" t="s">
        <v>58</v>
      </c>
      <c r="AA448" t="s">
        <v>59</v>
      </c>
      <c r="AB448" t="s">
        <v>60</v>
      </c>
      <c r="AC448" t="s">
        <v>61</v>
      </c>
      <c r="AD448" t="s">
        <v>49</v>
      </c>
      <c r="AE448" t="s">
        <v>49</v>
      </c>
      <c r="AF448" t="s">
        <v>49</v>
      </c>
      <c r="AG448" t="s">
        <v>49</v>
      </c>
      <c r="AH448" t="s">
        <v>48</v>
      </c>
      <c r="AI448" t="s">
        <v>48</v>
      </c>
      <c r="AJ448" t="s">
        <v>48</v>
      </c>
      <c r="AK448" t="s">
        <v>62</v>
      </c>
      <c r="AL448" t="s">
        <v>63</v>
      </c>
      <c r="AM448" t="s">
        <v>61</v>
      </c>
      <c r="AN448" t="s">
        <v>64</v>
      </c>
      <c r="AO448" t="s">
        <v>65</v>
      </c>
      <c r="AP448">
        <v>1</v>
      </c>
      <c r="AQ448" t="s">
        <v>66</v>
      </c>
      <c r="AR448" t="s">
        <v>67</v>
      </c>
      <c r="AS448">
        <v>1988</v>
      </c>
      <c r="AT448" t="s">
        <v>49</v>
      </c>
      <c r="AU448" t="s">
        <v>48</v>
      </c>
      <c r="AV448" t="s">
        <v>48</v>
      </c>
      <c r="AW448" t="s">
        <v>48</v>
      </c>
    </row>
    <row r="449" spans="1:49" x14ac:dyDescent="0.3">
      <c r="A449" t="s">
        <v>1377</v>
      </c>
      <c r="B449" t="s">
        <v>48</v>
      </c>
      <c r="C449" t="s">
        <v>49</v>
      </c>
      <c r="D449">
        <v>503.57</v>
      </c>
      <c r="E449">
        <v>1</v>
      </c>
      <c r="F449">
        <v>4.1900000000000004</v>
      </c>
      <c r="G449" t="s">
        <v>1378</v>
      </c>
      <c r="H449" t="s">
        <v>1379</v>
      </c>
      <c r="I449" t="s">
        <v>52</v>
      </c>
      <c r="J449" t="s">
        <v>53</v>
      </c>
      <c r="K449">
        <v>137000</v>
      </c>
      <c r="L449" t="s">
        <v>126</v>
      </c>
      <c r="M449">
        <f>DOWNLOAD_2kLRbPnDtawQopEJ_UKtt22ud9U57gk8mqebZIeugNk[[#This Row],[Standard Value]]</f>
        <v>137000</v>
      </c>
      <c r="N449">
        <f>-LOG(DOWNLOAD_2kLRbPnDtawQopEJ_UKtt22ud9U57gk8mqebZIeugNk[[#This Row],[IC50]]*POWER(10, -9), 10)</f>
        <v>3.8632794328435929</v>
      </c>
      <c r="P449" t="s">
        <v>72</v>
      </c>
      <c r="R449" t="s">
        <v>127</v>
      </c>
      <c r="W449">
        <v>0</v>
      </c>
      <c r="X449" t="s">
        <v>708</v>
      </c>
      <c r="Y449" t="s">
        <v>709</v>
      </c>
      <c r="Z449" t="s">
        <v>58</v>
      </c>
      <c r="AA449" t="s">
        <v>59</v>
      </c>
      <c r="AB449" t="s">
        <v>60</v>
      </c>
      <c r="AC449" t="s">
        <v>61</v>
      </c>
      <c r="AD449" t="s">
        <v>49</v>
      </c>
      <c r="AE449" t="s">
        <v>49</v>
      </c>
      <c r="AF449" t="s">
        <v>49</v>
      </c>
      <c r="AG449" t="s">
        <v>49</v>
      </c>
      <c r="AH449" t="s">
        <v>48</v>
      </c>
      <c r="AI449" t="s">
        <v>48</v>
      </c>
      <c r="AJ449" t="s">
        <v>48</v>
      </c>
      <c r="AK449" t="s">
        <v>62</v>
      </c>
      <c r="AL449" t="s">
        <v>63</v>
      </c>
      <c r="AM449" t="s">
        <v>61</v>
      </c>
      <c r="AN449" t="s">
        <v>64</v>
      </c>
      <c r="AO449" t="s">
        <v>710</v>
      </c>
      <c r="AP449">
        <v>1</v>
      </c>
      <c r="AQ449" t="s">
        <v>66</v>
      </c>
      <c r="AR449" t="s">
        <v>76</v>
      </c>
      <c r="AS449">
        <v>2018</v>
      </c>
      <c r="AT449" t="s">
        <v>49</v>
      </c>
      <c r="AU449" t="s">
        <v>48</v>
      </c>
      <c r="AV449" t="s">
        <v>48</v>
      </c>
      <c r="AW449" t="s">
        <v>48</v>
      </c>
    </row>
    <row r="450" spans="1:49" x14ac:dyDescent="0.3">
      <c r="A450" t="s">
        <v>1380</v>
      </c>
      <c r="B450" t="s">
        <v>48</v>
      </c>
      <c r="C450" t="s">
        <v>49</v>
      </c>
      <c r="D450">
        <v>363.36</v>
      </c>
      <c r="E450">
        <v>0</v>
      </c>
      <c r="F450">
        <v>2.2400000000000002</v>
      </c>
      <c r="G450" t="s">
        <v>1175</v>
      </c>
      <c r="H450" t="s">
        <v>1381</v>
      </c>
      <c r="I450" t="s">
        <v>52</v>
      </c>
      <c r="J450" t="s">
        <v>295</v>
      </c>
      <c r="K450">
        <v>0.5</v>
      </c>
      <c r="L450" t="s">
        <v>54</v>
      </c>
      <c r="M450">
        <f>DOWNLOAD_2kLRbPnDtawQopEJ_UKtt22ud9U57gk8mqebZIeugNk[[#This Row],[Standard Value]]/DOWNLOAD_2kLRbPnDtawQopEJ_UKtt22ud9U57gk8mqebZIeugNk[[#This Row],[Molecular Weight]]*1000*1000</f>
        <v>1376.045794804051</v>
      </c>
      <c r="N450">
        <f>-LOG(DOWNLOAD_2kLRbPnDtawQopEJ_UKtt22ud9U57gk8mqebZIeugNk[[#This Row],[IC50]]*POWER(10, -9), 10)</f>
        <v>5.8613671125396412</v>
      </c>
      <c r="P450" t="s">
        <v>48</v>
      </c>
      <c r="R450" t="s">
        <v>55</v>
      </c>
      <c r="W450">
        <v>0</v>
      </c>
      <c r="X450" t="s">
        <v>98</v>
      </c>
      <c r="Y450" t="s">
        <v>99</v>
      </c>
      <c r="Z450" t="s">
        <v>58</v>
      </c>
      <c r="AA450" t="s">
        <v>59</v>
      </c>
      <c r="AB450" t="s">
        <v>60</v>
      </c>
      <c r="AC450" t="s">
        <v>49</v>
      </c>
      <c r="AD450" t="s">
        <v>49</v>
      </c>
      <c r="AE450" t="s">
        <v>49</v>
      </c>
      <c r="AF450" t="s">
        <v>49</v>
      </c>
      <c r="AG450" t="s">
        <v>49</v>
      </c>
      <c r="AH450" t="s">
        <v>48</v>
      </c>
      <c r="AI450" t="s">
        <v>48</v>
      </c>
      <c r="AJ450" t="s">
        <v>48</v>
      </c>
      <c r="AK450" t="s">
        <v>62</v>
      </c>
      <c r="AL450" t="s">
        <v>63</v>
      </c>
      <c r="AM450" t="s">
        <v>61</v>
      </c>
      <c r="AN450" t="s">
        <v>64</v>
      </c>
      <c r="AO450" t="s">
        <v>100</v>
      </c>
      <c r="AP450">
        <v>1</v>
      </c>
      <c r="AQ450" t="s">
        <v>66</v>
      </c>
      <c r="AR450" t="s">
        <v>67</v>
      </c>
      <c r="AS450">
        <v>1991</v>
      </c>
      <c r="AT450" t="s">
        <v>49</v>
      </c>
      <c r="AU450" t="s">
        <v>48</v>
      </c>
      <c r="AV450" t="s">
        <v>48</v>
      </c>
      <c r="AW450" t="s">
        <v>48</v>
      </c>
    </row>
    <row r="451" spans="1:49" x14ac:dyDescent="0.3">
      <c r="A451" t="s">
        <v>1382</v>
      </c>
      <c r="B451" t="s">
        <v>48</v>
      </c>
      <c r="C451" t="s">
        <v>49</v>
      </c>
      <c r="D451">
        <v>329.33</v>
      </c>
      <c r="E451">
        <v>0</v>
      </c>
      <c r="F451">
        <v>2.0699999999999998</v>
      </c>
      <c r="G451" t="s">
        <v>760</v>
      </c>
      <c r="H451" t="s">
        <v>1383</v>
      </c>
      <c r="I451" t="s">
        <v>52</v>
      </c>
      <c r="J451" t="s">
        <v>53</v>
      </c>
      <c r="K451">
        <v>3.8</v>
      </c>
      <c r="L451" t="s">
        <v>54</v>
      </c>
      <c r="M451">
        <f>DOWNLOAD_2kLRbPnDtawQopEJ_UKtt22ud9U57gk8mqebZIeugNk[[#This Row],[Standard Value]]/DOWNLOAD_2kLRbPnDtawQopEJ_UKtt22ud9U57gk8mqebZIeugNk[[#This Row],[Molecular Weight]]*1000*1000</f>
        <v>11538.578325691557</v>
      </c>
      <c r="N451">
        <f>-LOG(DOWNLOAD_2kLRbPnDtawQopEJ_UKtt22ud9U57gk8mqebZIeugNk[[#This Row],[IC50]]*POWER(10, -9), 10)</f>
        <v>4.9378476975357728</v>
      </c>
      <c r="P451" t="s">
        <v>48</v>
      </c>
      <c r="R451" t="s">
        <v>55</v>
      </c>
      <c r="W451">
        <v>0</v>
      </c>
      <c r="X451" t="s">
        <v>359</v>
      </c>
      <c r="Y451" t="s">
        <v>360</v>
      </c>
      <c r="Z451" t="s">
        <v>168</v>
      </c>
      <c r="AA451" t="s">
        <v>169</v>
      </c>
      <c r="AB451" t="s">
        <v>170</v>
      </c>
      <c r="AC451" t="s">
        <v>61</v>
      </c>
      <c r="AD451" t="s">
        <v>49</v>
      </c>
      <c r="AE451" t="s">
        <v>49</v>
      </c>
      <c r="AF451" t="s">
        <v>49</v>
      </c>
      <c r="AG451" t="s">
        <v>49</v>
      </c>
      <c r="AH451" t="s">
        <v>48</v>
      </c>
      <c r="AI451" t="s">
        <v>48</v>
      </c>
      <c r="AJ451" t="s">
        <v>48</v>
      </c>
      <c r="AK451" t="s">
        <v>62</v>
      </c>
      <c r="AL451" t="s">
        <v>63</v>
      </c>
      <c r="AM451" t="s">
        <v>61</v>
      </c>
      <c r="AN451" t="s">
        <v>64</v>
      </c>
      <c r="AO451" t="s">
        <v>361</v>
      </c>
      <c r="AP451">
        <v>1</v>
      </c>
      <c r="AQ451" t="s">
        <v>66</v>
      </c>
      <c r="AR451" t="s">
        <v>67</v>
      </c>
      <c r="AS451">
        <v>1993</v>
      </c>
      <c r="AT451" t="s">
        <v>49</v>
      </c>
      <c r="AU451" t="s">
        <v>48</v>
      </c>
      <c r="AV451" t="s">
        <v>48</v>
      </c>
      <c r="AW451" t="s">
        <v>48</v>
      </c>
    </row>
    <row r="452" spans="1:49" x14ac:dyDescent="0.3">
      <c r="A452" t="s">
        <v>1384</v>
      </c>
      <c r="B452" t="s">
        <v>48</v>
      </c>
      <c r="C452" t="s">
        <v>49</v>
      </c>
      <c r="D452">
        <v>590.07000000000005</v>
      </c>
      <c r="E452">
        <v>1</v>
      </c>
      <c r="F452">
        <v>3.26</v>
      </c>
      <c r="G452" t="s">
        <v>1385</v>
      </c>
      <c r="H452" t="s">
        <v>1386</v>
      </c>
      <c r="I452" t="s">
        <v>52</v>
      </c>
      <c r="J452" t="s">
        <v>53</v>
      </c>
      <c r="K452">
        <v>0.5</v>
      </c>
      <c r="L452" t="s">
        <v>54</v>
      </c>
      <c r="M452">
        <f>DOWNLOAD_2kLRbPnDtawQopEJ_UKtt22ud9U57gk8mqebZIeugNk[[#This Row],[Standard Value]]/DOWNLOAD_2kLRbPnDtawQopEJ_UKtt22ud9U57gk8mqebZIeugNk[[#This Row],[Molecular Weight]]*1000*1000</f>
        <v>847.35709322622733</v>
      </c>
      <c r="N452">
        <f>-LOG(DOWNLOAD_2kLRbPnDtawQopEJ_UKtt22ud9U57gk8mqebZIeugNk[[#This Row],[IC50]]*POWER(10, -9), 10)</f>
        <v>6.0719335307136664</v>
      </c>
      <c r="P452" t="s">
        <v>48</v>
      </c>
      <c r="R452" t="s">
        <v>55</v>
      </c>
      <c r="W452">
        <v>0</v>
      </c>
      <c r="X452" t="s">
        <v>86</v>
      </c>
      <c r="Y452" t="s">
        <v>87</v>
      </c>
      <c r="Z452" t="s">
        <v>58</v>
      </c>
      <c r="AA452" t="s">
        <v>59</v>
      </c>
      <c r="AB452" t="s">
        <v>60</v>
      </c>
      <c r="AC452" t="s">
        <v>61</v>
      </c>
      <c r="AD452" t="s">
        <v>49</v>
      </c>
      <c r="AE452" t="s">
        <v>49</v>
      </c>
      <c r="AF452" t="s">
        <v>49</v>
      </c>
      <c r="AG452" t="s">
        <v>49</v>
      </c>
      <c r="AH452" t="s">
        <v>48</v>
      </c>
      <c r="AI452" t="s">
        <v>48</v>
      </c>
      <c r="AJ452" t="s">
        <v>48</v>
      </c>
      <c r="AK452" t="s">
        <v>62</v>
      </c>
      <c r="AL452" t="s">
        <v>63</v>
      </c>
      <c r="AM452" t="s">
        <v>61</v>
      </c>
      <c r="AN452" t="s">
        <v>64</v>
      </c>
      <c r="AO452" t="s">
        <v>88</v>
      </c>
      <c r="AP452">
        <v>1</v>
      </c>
      <c r="AQ452" t="s">
        <v>66</v>
      </c>
      <c r="AR452" t="s">
        <v>76</v>
      </c>
      <c r="AS452">
        <v>2001</v>
      </c>
      <c r="AT452" t="s">
        <v>49</v>
      </c>
      <c r="AU452" t="s">
        <v>48</v>
      </c>
      <c r="AV452" t="s">
        <v>48</v>
      </c>
      <c r="AW452" t="s">
        <v>48</v>
      </c>
    </row>
    <row r="453" spans="1:49" x14ac:dyDescent="0.3">
      <c r="A453" t="s">
        <v>1387</v>
      </c>
      <c r="B453" t="s">
        <v>48</v>
      </c>
      <c r="C453" t="s">
        <v>49</v>
      </c>
      <c r="D453">
        <v>323.44</v>
      </c>
      <c r="E453">
        <v>0</v>
      </c>
      <c r="F453">
        <v>4.16</v>
      </c>
      <c r="G453" t="s">
        <v>312</v>
      </c>
      <c r="H453" t="s">
        <v>1388</v>
      </c>
      <c r="I453" t="s">
        <v>52</v>
      </c>
      <c r="J453" t="s">
        <v>53</v>
      </c>
      <c r="K453">
        <v>64</v>
      </c>
      <c r="L453" t="s">
        <v>54</v>
      </c>
      <c r="M453">
        <f>DOWNLOAD_2kLRbPnDtawQopEJ_UKtt22ud9U57gk8mqebZIeugNk[[#This Row],[Standard Value]]/DOWNLOAD_2kLRbPnDtawQopEJ_UKtt22ud9U57gk8mqebZIeugNk[[#This Row],[Molecular Weight]]*1000*1000</f>
        <v>197872.86668315608</v>
      </c>
      <c r="N453">
        <f>-LOG(DOWNLOAD_2kLRbPnDtawQopEJ_UKtt22ud9U57gk8mqebZIeugNk[[#This Row],[IC50]]*POWER(10, -9), 10)</f>
        <v>3.7036137543417302</v>
      </c>
      <c r="P453" t="s">
        <v>72</v>
      </c>
      <c r="R453" t="s">
        <v>55</v>
      </c>
      <c r="W453">
        <v>0</v>
      </c>
      <c r="X453" t="s">
        <v>121</v>
      </c>
      <c r="Y453" t="s">
        <v>87</v>
      </c>
      <c r="Z453" t="s">
        <v>58</v>
      </c>
      <c r="AA453" t="s">
        <v>59</v>
      </c>
      <c r="AB453" t="s">
        <v>60</v>
      </c>
      <c r="AC453" t="s">
        <v>61</v>
      </c>
      <c r="AD453" t="s">
        <v>49</v>
      </c>
      <c r="AE453" t="s">
        <v>49</v>
      </c>
      <c r="AF453" t="s">
        <v>49</v>
      </c>
      <c r="AG453" t="s">
        <v>49</v>
      </c>
      <c r="AH453" t="s">
        <v>48</v>
      </c>
      <c r="AI453" t="s">
        <v>48</v>
      </c>
      <c r="AJ453" t="s">
        <v>48</v>
      </c>
      <c r="AK453" t="s">
        <v>62</v>
      </c>
      <c r="AL453" t="s">
        <v>63</v>
      </c>
      <c r="AM453" t="s">
        <v>61</v>
      </c>
      <c r="AN453" t="s">
        <v>64</v>
      </c>
      <c r="AO453" t="s">
        <v>122</v>
      </c>
      <c r="AP453">
        <v>1</v>
      </c>
      <c r="AQ453" t="s">
        <v>66</v>
      </c>
      <c r="AR453" t="s">
        <v>76</v>
      </c>
      <c r="AS453">
        <v>2004</v>
      </c>
      <c r="AT453" t="s">
        <v>49</v>
      </c>
      <c r="AU453" t="s">
        <v>48</v>
      </c>
      <c r="AV453" t="s">
        <v>48</v>
      </c>
      <c r="AW453" t="s">
        <v>48</v>
      </c>
    </row>
    <row r="454" spans="1:49" x14ac:dyDescent="0.3">
      <c r="A454" t="s">
        <v>1389</v>
      </c>
      <c r="B454" t="s">
        <v>48</v>
      </c>
      <c r="C454" t="s">
        <v>49</v>
      </c>
      <c r="D454">
        <v>448.35</v>
      </c>
      <c r="E454">
        <v>1</v>
      </c>
      <c r="F454">
        <v>5.59</v>
      </c>
      <c r="G454" t="s">
        <v>1390</v>
      </c>
      <c r="H454" t="s">
        <v>1391</v>
      </c>
      <c r="I454" t="s">
        <v>52</v>
      </c>
      <c r="J454" t="s">
        <v>53</v>
      </c>
      <c r="K454">
        <v>1</v>
      </c>
      <c r="L454" t="s">
        <v>54</v>
      </c>
      <c r="M454">
        <f>DOWNLOAD_2kLRbPnDtawQopEJ_UKtt22ud9U57gk8mqebZIeugNk[[#This Row],[Standard Value]]/DOWNLOAD_2kLRbPnDtawQopEJ_UKtt22ud9U57gk8mqebZIeugNk[[#This Row],[Molecular Weight]]*1000*1000</f>
        <v>2230.4003568640569</v>
      </c>
      <c r="N454">
        <f>-LOG(DOWNLOAD_2kLRbPnDtawQopEJ_UKtt22ud9U57gk8mqebZIeugNk[[#This Row],[IC50]]*POWER(10, -9), 10)</f>
        <v>5.6516171740949614</v>
      </c>
      <c r="P454" t="s">
        <v>48</v>
      </c>
      <c r="R454" t="s">
        <v>55</v>
      </c>
      <c r="W454">
        <v>0</v>
      </c>
      <c r="X454" t="s">
        <v>121</v>
      </c>
      <c r="Y454" t="s">
        <v>87</v>
      </c>
      <c r="Z454" t="s">
        <v>58</v>
      </c>
      <c r="AA454" t="s">
        <v>59</v>
      </c>
      <c r="AB454" t="s">
        <v>60</v>
      </c>
      <c r="AC454" t="s">
        <v>61</v>
      </c>
      <c r="AD454" t="s">
        <v>49</v>
      </c>
      <c r="AE454" t="s">
        <v>49</v>
      </c>
      <c r="AF454" t="s">
        <v>49</v>
      </c>
      <c r="AG454" t="s">
        <v>49</v>
      </c>
      <c r="AH454" t="s">
        <v>48</v>
      </c>
      <c r="AI454" t="s">
        <v>48</v>
      </c>
      <c r="AJ454" t="s">
        <v>48</v>
      </c>
      <c r="AK454" t="s">
        <v>62</v>
      </c>
      <c r="AL454" t="s">
        <v>63</v>
      </c>
      <c r="AM454" t="s">
        <v>61</v>
      </c>
      <c r="AN454" t="s">
        <v>64</v>
      </c>
      <c r="AO454" t="s">
        <v>122</v>
      </c>
      <c r="AP454">
        <v>1</v>
      </c>
      <c r="AQ454" t="s">
        <v>66</v>
      </c>
      <c r="AR454" t="s">
        <v>76</v>
      </c>
      <c r="AS454">
        <v>2004</v>
      </c>
      <c r="AT454" t="s">
        <v>49</v>
      </c>
      <c r="AU454" t="s">
        <v>48</v>
      </c>
      <c r="AV454" t="s">
        <v>48</v>
      </c>
      <c r="AW454" t="s">
        <v>48</v>
      </c>
    </row>
    <row r="455" spans="1:49" x14ac:dyDescent="0.3">
      <c r="A455" t="s">
        <v>1392</v>
      </c>
      <c r="B455" t="s">
        <v>48</v>
      </c>
      <c r="C455" t="s">
        <v>49</v>
      </c>
      <c r="D455">
        <v>448.47</v>
      </c>
      <c r="E455">
        <v>0</v>
      </c>
      <c r="F455">
        <v>2.71</v>
      </c>
      <c r="G455" t="s">
        <v>84</v>
      </c>
      <c r="H455" t="s">
        <v>1393</v>
      </c>
      <c r="I455" t="s">
        <v>52</v>
      </c>
      <c r="J455" t="s">
        <v>71</v>
      </c>
      <c r="K455">
        <v>100</v>
      </c>
      <c r="L455" t="s">
        <v>54</v>
      </c>
      <c r="M455">
        <f>DOWNLOAD_2kLRbPnDtawQopEJ_UKtt22ud9U57gk8mqebZIeugNk[[#This Row],[Standard Value]]/DOWNLOAD_2kLRbPnDtawQopEJ_UKtt22ud9U57gk8mqebZIeugNk[[#This Row],[Molecular Weight]]*1000*1000</f>
        <v>222980.35543068653</v>
      </c>
      <c r="N455">
        <f>-LOG(DOWNLOAD_2kLRbPnDtawQopEJ_UKtt22ud9U57gk8mqebZIeugNk[[#This Row],[IC50]]*POWER(10, -9), 10)</f>
        <v>3.6517333966103815</v>
      </c>
      <c r="P455" t="s">
        <v>72</v>
      </c>
      <c r="R455" t="s">
        <v>55</v>
      </c>
      <c r="W455">
        <v>0</v>
      </c>
      <c r="X455" t="s">
        <v>56</v>
      </c>
      <c r="Y455" t="s">
        <v>57</v>
      </c>
      <c r="Z455" t="s">
        <v>58</v>
      </c>
      <c r="AA455" t="s">
        <v>59</v>
      </c>
      <c r="AB455" t="s">
        <v>60</v>
      </c>
      <c r="AC455" t="s">
        <v>61</v>
      </c>
      <c r="AD455" t="s">
        <v>49</v>
      </c>
      <c r="AE455" t="s">
        <v>49</v>
      </c>
      <c r="AF455" t="s">
        <v>49</v>
      </c>
      <c r="AG455" t="s">
        <v>49</v>
      </c>
      <c r="AH455" t="s">
        <v>48</v>
      </c>
      <c r="AI455" t="s">
        <v>48</v>
      </c>
      <c r="AJ455" t="s">
        <v>48</v>
      </c>
      <c r="AK455" t="s">
        <v>62</v>
      </c>
      <c r="AL455" t="s">
        <v>63</v>
      </c>
      <c r="AM455" t="s">
        <v>61</v>
      </c>
      <c r="AN455" t="s">
        <v>64</v>
      </c>
      <c r="AO455" t="s">
        <v>65</v>
      </c>
      <c r="AP455">
        <v>1</v>
      </c>
      <c r="AQ455" t="s">
        <v>66</v>
      </c>
      <c r="AR455" t="s">
        <v>67</v>
      </c>
      <c r="AS455">
        <v>1988</v>
      </c>
      <c r="AT455" t="s">
        <v>49</v>
      </c>
      <c r="AU455" t="s">
        <v>48</v>
      </c>
      <c r="AV455" t="s">
        <v>48</v>
      </c>
      <c r="AW455" t="s">
        <v>48</v>
      </c>
    </row>
    <row r="456" spans="1:49" x14ac:dyDescent="0.3">
      <c r="A456" t="s">
        <v>281</v>
      </c>
      <c r="B456" t="s">
        <v>282</v>
      </c>
      <c r="C456" t="s">
        <v>112</v>
      </c>
      <c r="D456">
        <v>331.35</v>
      </c>
      <c r="E456">
        <v>0</v>
      </c>
      <c r="F456">
        <v>1.58</v>
      </c>
      <c r="G456" t="s">
        <v>283</v>
      </c>
      <c r="H456" t="s">
        <v>284</v>
      </c>
      <c r="I456" t="s">
        <v>52</v>
      </c>
      <c r="J456" t="s">
        <v>53</v>
      </c>
      <c r="K456">
        <v>1.6</v>
      </c>
      <c r="L456" t="s">
        <v>54</v>
      </c>
      <c r="M456">
        <f>DOWNLOAD_2kLRbPnDtawQopEJ_UKtt22ud9U57gk8mqebZIeugNk[[#This Row],[Standard Value]]/DOWNLOAD_2kLRbPnDtawQopEJ_UKtt22ud9U57gk8mqebZIeugNk[[#This Row],[Molecular Weight]]*1000*1000</f>
        <v>4828.730949147428</v>
      </c>
      <c r="N456">
        <f>-LOG(DOWNLOAD_2kLRbPnDtawQopEJ_UKtt22ud9U57gk8mqebZIeugNk[[#This Row],[IC50]]*POWER(10, -9), 10)</f>
        <v>5.3161669922711914</v>
      </c>
      <c r="P456" t="s">
        <v>48</v>
      </c>
      <c r="R456" t="s">
        <v>55</v>
      </c>
      <c r="W456">
        <v>0</v>
      </c>
      <c r="X456" t="s">
        <v>372</v>
      </c>
      <c r="Y456" t="s">
        <v>373</v>
      </c>
      <c r="Z456" t="s">
        <v>58</v>
      </c>
      <c r="AA456" t="s">
        <v>59</v>
      </c>
      <c r="AB456" t="s">
        <v>60</v>
      </c>
      <c r="AC456" t="s">
        <v>61</v>
      </c>
      <c r="AD456" t="s">
        <v>49</v>
      </c>
      <c r="AE456" t="s">
        <v>49</v>
      </c>
      <c r="AF456" t="s">
        <v>49</v>
      </c>
      <c r="AG456" t="s">
        <v>49</v>
      </c>
      <c r="AH456" t="s">
        <v>48</v>
      </c>
      <c r="AI456" t="s">
        <v>48</v>
      </c>
      <c r="AJ456" t="s">
        <v>48</v>
      </c>
      <c r="AK456" t="s">
        <v>62</v>
      </c>
      <c r="AL456" t="s">
        <v>63</v>
      </c>
      <c r="AM456" t="s">
        <v>61</v>
      </c>
      <c r="AN456" t="s">
        <v>64</v>
      </c>
      <c r="AO456" t="s">
        <v>94</v>
      </c>
      <c r="AP456">
        <v>1</v>
      </c>
      <c r="AQ456" t="s">
        <v>66</v>
      </c>
      <c r="AR456" t="s">
        <v>67</v>
      </c>
      <c r="AS456">
        <v>2003</v>
      </c>
      <c r="AT456" t="s">
        <v>49</v>
      </c>
      <c r="AU456" t="s">
        <v>48</v>
      </c>
      <c r="AV456" t="s">
        <v>48</v>
      </c>
      <c r="AW456" t="s">
        <v>48</v>
      </c>
    </row>
    <row r="457" spans="1:49" x14ac:dyDescent="0.3">
      <c r="A457" t="s">
        <v>374</v>
      </c>
      <c r="B457" t="s">
        <v>48</v>
      </c>
      <c r="C457" t="s">
        <v>49</v>
      </c>
      <c r="D457">
        <v>332.34</v>
      </c>
      <c r="E457">
        <v>0</v>
      </c>
      <c r="F457">
        <v>0.98</v>
      </c>
      <c r="G457" t="s">
        <v>58</v>
      </c>
      <c r="H457" t="s">
        <v>375</v>
      </c>
      <c r="I457" t="s">
        <v>52</v>
      </c>
      <c r="J457" t="s">
        <v>71</v>
      </c>
      <c r="K457">
        <v>25</v>
      </c>
      <c r="L457" t="s">
        <v>54</v>
      </c>
      <c r="M457">
        <f>DOWNLOAD_2kLRbPnDtawQopEJ_UKtt22ud9U57gk8mqebZIeugNk[[#This Row],[Standard Value]]/DOWNLOAD_2kLRbPnDtawQopEJ_UKtt22ud9U57gk8mqebZIeugNk[[#This Row],[Molecular Weight]]*1000*1000</f>
        <v>75224.168020701691</v>
      </c>
      <c r="N457">
        <f>-LOG(DOWNLOAD_2kLRbPnDtawQopEJ_UKtt22ud9U57gk8mqebZIeugNk[[#This Row],[IC50]]*POWER(10, -9), 10)</f>
        <v>4.1236426068582892</v>
      </c>
      <c r="P457" t="s">
        <v>48</v>
      </c>
      <c r="R457" t="s">
        <v>55</v>
      </c>
      <c r="W457">
        <v>0</v>
      </c>
      <c r="X457" t="s">
        <v>359</v>
      </c>
      <c r="Y457" t="s">
        <v>360</v>
      </c>
      <c r="Z457" t="s">
        <v>168</v>
      </c>
      <c r="AA457" t="s">
        <v>169</v>
      </c>
      <c r="AB457" t="s">
        <v>170</v>
      </c>
      <c r="AC457" t="s">
        <v>61</v>
      </c>
      <c r="AD457" t="s">
        <v>49</v>
      </c>
      <c r="AE457" t="s">
        <v>49</v>
      </c>
      <c r="AF457" t="s">
        <v>49</v>
      </c>
      <c r="AG457" t="s">
        <v>49</v>
      </c>
      <c r="AH457" t="s">
        <v>48</v>
      </c>
      <c r="AI457" t="s">
        <v>48</v>
      </c>
      <c r="AJ457" t="s">
        <v>48</v>
      </c>
      <c r="AK457" t="s">
        <v>62</v>
      </c>
      <c r="AL457" t="s">
        <v>63</v>
      </c>
      <c r="AM457" t="s">
        <v>61</v>
      </c>
      <c r="AN457" t="s">
        <v>64</v>
      </c>
      <c r="AO457" t="s">
        <v>361</v>
      </c>
      <c r="AP457">
        <v>1</v>
      </c>
      <c r="AQ457" t="s">
        <v>66</v>
      </c>
      <c r="AR457" t="s">
        <v>67</v>
      </c>
      <c r="AS457">
        <v>1993</v>
      </c>
      <c r="AT457" t="s">
        <v>49</v>
      </c>
      <c r="AU457" t="s">
        <v>48</v>
      </c>
      <c r="AV457" t="s">
        <v>48</v>
      </c>
      <c r="AW457" t="s">
        <v>48</v>
      </c>
    </row>
    <row r="458" spans="1:49" x14ac:dyDescent="0.3">
      <c r="A458" t="s">
        <v>1394</v>
      </c>
      <c r="B458" t="s">
        <v>48</v>
      </c>
      <c r="C458" t="s">
        <v>49</v>
      </c>
      <c r="D458">
        <v>341.41</v>
      </c>
      <c r="E458">
        <v>0</v>
      </c>
      <c r="F458">
        <v>2.92</v>
      </c>
      <c r="G458" t="s">
        <v>1295</v>
      </c>
      <c r="H458" t="s">
        <v>1395</v>
      </c>
      <c r="I458" t="s">
        <v>52</v>
      </c>
      <c r="J458" t="s">
        <v>53</v>
      </c>
      <c r="K458">
        <v>3.2</v>
      </c>
      <c r="L458" t="s">
        <v>54</v>
      </c>
      <c r="M458">
        <f>DOWNLOAD_2kLRbPnDtawQopEJ_UKtt22ud9U57gk8mqebZIeugNk[[#This Row],[Standard Value]]/DOWNLOAD_2kLRbPnDtawQopEJ_UKtt22ud9U57gk8mqebZIeugNk[[#This Row],[Molecular Weight]]*1000*1000</f>
        <v>9372.8947599660223</v>
      </c>
      <c r="N458">
        <f>-LOG(DOWNLOAD_2kLRbPnDtawQopEJ_UKtt22ud9U57gk8mqebZIeugNk[[#This Row],[IC50]]*POWER(10, -9), 10)</f>
        <v>5.0281262592590883</v>
      </c>
      <c r="P458" t="s">
        <v>48</v>
      </c>
      <c r="R458" t="s">
        <v>55</v>
      </c>
      <c r="W458">
        <v>0</v>
      </c>
      <c r="X458" t="s">
        <v>135</v>
      </c>
      <c r="Y458" t="s">
        <v>136</v>
      </c>
      <c r="Z458" t="s">
        <v>58</v>
      </c>
      <c r="AA458" t="s">
        <v>59</v>
      </c>
      <c r="AB458" t="s">
        <v>60</v>
      </c>
      <c r="AC458" t="s">
        <v>61</v>
      </c>
      <c r="AD458" t="s">
        <v>49</v>
      </c>
      <c r="AE458" t="s">
        <v>49</v>
      </c>
      <c r="AF458" t="s">
        <v>49</v>
      </c>
      <c r="AG458" t="s">
        <v>49</v>
      </c>
      <c r="AH458" t="s">
        <v>48</v>
      </c>
      <c r="AI458" t="s">
        <v>48</v>
      </c>
      <c r="AJ458" t="s">
        <v>48</v>
      </c>
      <c r="AK458" t="s">
        <v>62</v>
      </c>
      <c r="AL458" t="s">
        <v>63</v>
      </c>
      <c r="AM458" t="s">
        <v>61</v>
      </c>
      <c r="AN458" t="s">
        <v>64</v>
      </c>
      <c r="AO458" t="s">
        <v>137</v>
      </c>
      <c r="AP458">
        <v>1</v>
      </c>
      <c r="AQ458" t="s">
        <v>66</v>
      </c>
      <c r="AR458" t="s">
        <v>67</v>
      </c>
      <c r="AS458">
        <v>1996</v>
      </c>
      <c r="AT458" t="s">
        <v>49</v>
      </c>
      <c r="AU458" t="s">
        <v>48</v>
      </c>
      <c r="AV458" t="s">
        <v>48</v>
      </c>
      <c r="AW458" t="s">
        <v>48</v>
      </c>
    </row>
    <row r="459" spans="1:49" x14ac:dyDescent="0.3">
      <c r="A459" t="s">
        <v>1048</v>
      </c>
      <c r="B459" t="s">
        <v>48</v>
      </c>
      <c r="C459" t="s">
        <v>49</v>
      </c>
      <c r="D459">
        <v>403.45</v>
      </c>
      <c r="E459">
        <v>0</v>
      </c>
      <c r="F459">
        <v>2.75</v>
      </c>
      <c r="G459" t="s">
        <v>1049</v>
      </c>
      <c r="H459" t="s">
        <v>1050</v>
      </c>
      <c r="I459" t="s">
        <v>52</v>
      </c>
      <c r="J459" t="s">
        <v>53</v>
      </c>
      <c r="K459">
        <v>3.2</v>
      </c>
      <c r="L459" t="s">
        <v>54</v>
      </c>
      <c r="M459">
        <f>DOWNLOAD_2kLRbPnDtawQopEJ_UKtt22ud9U57gk8mqebZIeugNk[[#This Row],[Standard Value]]/DOWNLOAD_2kLRbPnDtawQopEJ_UKtt22ud9U57gk8mqebZIeugNk[[#This Row],[Molecular Weight]]*1000*1000</f>
        <v>7931.5900359400184</v>
      </c>
      <c r="N459">
        <f>-LOG(DOWNLOAD_2kLRbPnDtawQopEJ_UKtt22ud9U57gk8mqebZIeugNk[[#This Row],[IC50]]*POWER(10, -9), 10)</f>
        <v>5.1006397414826576</v>
      </c>
      <c r="P459" t="s">
        <v>48</v>
      </c>
      <c r="R459" t="s">
        <v>55</v>
      </c>
      <c r="W459">
        <v>0</v>
      </c>
      <c r="X459" t="s">
        <v>372</v>
      </c>
      <c r="Y459" t="s">
        <v>373</v>
      </c>
      <c r="Z459" t="s">
        <v>58</v>
      </c>
      <c r="AA459" t="s">
        <v>59</v>
      </c>
      <c r="AB459" t="s">
        <v>60</v>
      </c>
      <c r="AC459" t="s">
        <v>61</v>
      </c>
      <c r="AD459" t="s">
        <v>49</v>
      </c>
      <c r="AE459" t="s">
        <v>49</v>
      </c>
      <c r="AF459" t="s">
        <v>49</v>
      </c>
      <c r="AG459" t="s">
        <v>49</v>
      </c>
      <c r="AH459" t="s">
        <v>48</v>
      </c>
      <c r="AI459" t="s">
        <v>48</v>
      </c>
      <c r="AJ459" t="s">
        <v>48</v>
      </c>
      <c r="AK459" t="s">
        <v>62</v>
      </c>
      <c r="AL459" t="s">
        <v>63</v>
      </c>
      <c r="AM459" t="s">
        <v>61</v>
      </c>
      <c r="AN459" t="s">
        <v>64</v>
      </c>
      <c r="AO459" t="s">
        <v>94</v>
      </c>
      <c r="AP459">
        <v>1</v>
      </c>
      <c r="AQ459" t="s">
        <v>66</v>
      </c>
      <c r="AR459" t="s">
        <v>67</v>
      </c>
      <c r="AS459">
        <v>2003</v>
      </c>
      <c r="AT459" t="s">
        <v>49</v>
      </c>
      <c r="AU459" t="s">
        <v>48</v>
      </c>
      <c r="AV459" t="s">
        <v>48</v>
      </c>
      <c r="AW459" t="s">
        <v>48</v>
      </c>
    </row>
    <row r="460" spans="1:49" x14ac:dyDescent="0.3">
      <c r="A460" t="s">
        <v>1396</v>
      </c>
      <c r="B460" t="s">
        <v>48</v>
      </c>
      <c r="C460" t="s">
        <v>49</v>
      </c>
      <c r="D460">
        <v>435.57</v>
      </c>
      <c r="E460">
        <v>0</v>
      </c>
      <c r="F460">
        <v>4.82</v>
      </c>
      <c r="G460" t="s">
        <v>531</v>
      </c>
      <c r="H460" t="s">
        <v>1397</v>
      </c>
      <c r="I460" t="s">
        <v>52</v>
      </c>
      <c r="J460" t="s">
        <v>53</v>
      </c>
      <c r="K460">
        <v>16</v>
      </c>
      <c r="L460" t="s">
        <v>54</v>
      </c>
      <c r="M460">
        <f>DOWNLOAD_2kLRbPnDtawQopEJ_UKtt22ud9U57gk8mqebZIeugNk[[#This Row],[Standard Value]]/DOWNLOAD_2kLRbPnDtawQopEJ_UKtt22ud9U57gk8mqebZIeugNk[[#This Row],[Molecular Weight]]*1000*1000</f>
        <v>36733.475675551577</v>
      </c>
      <c r="N460">
        <f>-LOG(DOWNLOAD_2kLRbPnDtawQopEJ_UKtt22ud9U57gk8mqebZIeugNk[[#This Row],[IC50]]*POWER(10, -9), 10)</f>
        <v>4.4349379773095174</v>
      </c>
      <c r="P460" t="s">
        <v>48</v>
      </c>
      <c r="R460" t="s">
        <v>55</v>
      </c>
      <c r="W460">
        <v>0</v>
      </c>
      <c r="X460" t="s">
        <v>121</v>
      </c>
      <c r="Y460" t="s">
        <v>87</v>
      </c>
      <c r="Z460" t="s">
        <v>58</v>
      </c>
      <c r="AA460" t="s">
        <v>59</v>
      </c>
      <c r="AB460" t="s">
        <v>60</v>
      </c>
      <c r="AC460" t="s">
        <v>61</v>
      </c>
      <c r="AD460" t="s">
        <v>49</v>
      </c>
      <c r="AE460" t="s">
        <v>49</v>
      </c>
      <c r="AF460" t="s">
        <v>49</v>
      </c>
      <c r="AG460" t="s">
        <v>49</v>
      </c>
      <c r="AH460" t="s">
        <v>48</v>
      </c>
      <c r="AI460" t="s">
        <v>48</v>
      </c>
      <c r="AJ460" t="s">
        <v>48</v>
      </c>
      <c r="AK460" t="s">
        <v>62</v>
      </c>
      <c r="AL460" t="s">
        <v>63</v>
      </c>
      <c r="AM460" t="s">
        <v>61</v>
      </c>
      <c r="AN460" t="s">
        <v>64</v>
      </c>
      <c r="AO460" t="s">
        <v>122</v>
      </c>
      <c r="AP460">
        <v>1</v>
      </c>
      <c r="AQ460" t="s">
        <v>66</v>
      </c>
      <c r="AR460" t="s">
        <v>76</v>
      </c>
      <c r="AS460">
        <v>2004</v>
      </c>
      <c r="AT460" t="s">
        <v>49</v>
      </c>
      <c r="AU460" t="s">
        <v>48</v>
      </c>
      <c r="AV460" t="s">
        <v>48</v>
      </c>
      <c r="AW460" t="s">
        <v>48</v>
      </c>
    </row>
    <row r="461" spans="1:49" x14ac:dyDescent="0.3">
      <c r="A461" t="s">
        <v>1398</v>
      </c>
      <c r="B461" t="s">
        <v>48</v>
      </c>
      <c r="C461" t="s">
        <v>49</v>
      </c>
      <c r="D461">
        <v>336.19</v>
      </c>
      <c r="E461">
        <v>0</v>
      </c>
      <c r="F461">
        <v>1.44</v>
      </c>
      <c r="G461" t="s">
        <v>262</v>
      </c>
      <c r="H461" t="s">
        <v>1399</v>
      </c>
      <c r="I461" t="s">
        <v>52</v>
      </c>
      <c r="J461" t="s">
        <v>53</v>
      </c>
      <c r="K461">
        <v>35000</v>
      </c>
      <c r="L461" t="s">
        <v>126</v>
      </c>
      <c r="M461">
        <f>DOWNLOAD_2kLRbPnDtawQopEJ_UKtt22ud9U57gk8mqebZIeugNk[[#This Row],[Standard Value]]</f>
        <v>35000</v>
      </c>
      <c r="N461">
        <f>-LOG(DOWNLOAD_2kLRbPnDtawQopEJ_UKtt22ud9U57gk8mqebZIeugNk[[#This Row],[IC50]]*POWER(10, -9), 10)</f>
        <v>4.4559319556497243</v>
      </c>
      <c r="O461">
        <v>4.46</v>
      </c>
      <c r="P461" t="s">
        <v>48</v>
      </c>
      <c r="R461" t="s">
        <v>127</v>
      </c>
      <c r="S461">
        <v>13.25</v>
      </c>
      <c r="T461">
        <v>0.3</v>
      </c>
      <c r="U461">
        <v>3.02</v>
      </c>
      <c r="V461">
        <v>4.6100000000000003</v>
      </c>
      <c r="W461">
        <v>0</v>
      </c>
      <c r="X461" t="s">
        <v>144</v>
      </c>
      <c r="Y461" t="s">
        <v>145</v>
      </c>
      <c r="Z461" t="s">
        <v>58</v>
      </c>
      <c r="AA461" t="s">
        <v>59</v>
      </c>
      <c r="AB461" t="s">
        <v>60</v>
      </c>
      <c r="AC461" t="s">
        <v>61</v>
      </c>
      <c r="AD461" t="s">
        <v>49</v>
      </c>
      <c r="AE461" t="s">
        <v>49</v>
      </c>
      <c r="AF461" t="s">
        <v>49</v>
      </c>
      <c r="AG461" t="s">
        <v>49</v>
      </c>
      <c r="AH461" t="s">
        <v>48</v>
      </c>
      <c r="AI461" t="s">
        <v>48</v>
      </c>
      <c r="AJ461" t="s">
        <v>48</v>
      </c>
      <c r="AK461" t="s">
        <v>62</v>
      </c>
      <c r="AL461" t="s">
        <v>63</v>
      </c>
      <c r="AM461" t="s">
        <v>61</v>
      </c>
      <c r="AN461" t="s">
        <v>64</v>
      </c>
      <c r="AO461" t="s">
        <v>146</v>
      </c>
      <c r="AP461">
        <v>1</v>
      </c>
      <c r="AQ461" t="s">
        <v>66</v>
      </c>
      <c r="AR461" t="s">
        <v>67</v>
      </c>
      <c r="AS461">
        <v>2015</v>
      </c>
      <c r="AT461" t="s">
        <v>49</v>
      </c>
      <c r="AU461" t="s">
        <v>48</v>
      </c>
      <c r="AV461" t="s">
        <v>48</v>
      </c>
      <c r="AW461" t="s">
        <v>48</v>
      </c>
    </row>
    <row r="462" spans="1:49" x14ac:dyDescent="0.3">
      <c r="A462" t="s">
        <v>1400</v>
      </c>
      <c r="B462" t="s">
        <v>48</v>
      </c>
      <c r="C462" t="s">
        <v>49</v>
      </c>
      <c r="D462">
        <v>427.28</v>
      </c>
      <c r="E462">
        <v>0</v>
      </c>
      <c r="F462">
        <v>1.93</v>
      </c>
      <c r="G462" t="s">
        <v>476</v>
      </c>
      <c r="H462" t="s">
        <v>1401</v>
      </c>
      <c r="I462" t="s">
        <v>52</v>
      </c>
      <c r="J462" t="s">
        <v>53</v>
      </c>
      <c r="K462">
        <v>14000</v>
      </c>
      <c r="L462" t="s">
        <v>126</v>
      </c>
      <c r="M462">
        <f>DOWNLOAD_2kLRbPnDtawQopEJ_UKtt22ud9U57gk8mqebZIeugNk[[#This Row],[Standard Value]]</f>
        <v>14000</v>
      </c>
      <c r="N462">
        <f>-LOG(DOWNLOAD_2kLRbPnDtawQopEJ_UKtt22ud9U57gk8mqebZIeugNk[[#This Row],[IC50]]*POWER(10, -9), 10)</f>
        <v>4.8538719643217609</v>
      </c>
      <c r="O462">
        <v>4.8499999999999996</v>
      </c>
      <c r="P462" t="s">
        <v>48</v>
      </c>
      <c r="R462" t="s">
        <v>127</v>
      </c>
      <c r="S462">
        <v>11.36</v>
      </c>
      <c r="T462">
        <v>0.27</v>
      </c>
      <c r="U462">
        <v>2.92</v>
      </c>
      <c r="V462">
        <v>3.91</v>
      </c>
      <c r="W462">
        <v>0</v>
      </c>
      <c r="X462" t="s">
        <v>144</v>
      </c>
      <c r="Y462" t="s">
        <v>145</v>
      </c>
      <c r="Z462" t="s">
        <v>58</v>
      </c>
      <c r="AA462" t="s">
        <v>59</v>
      </c>
      <c r="AB462" t="s">
        <v>60</v>
      </c>
      <c r="AC462" t="s">
        <v>61</v>
      </c>
      <c r="AD462" t="s">
        <v>49</v>
      </c>
      <c r="AE462" t="s">
        <v>49</v>
      </c>
      <c r="AF462" t="s">
        <v>49</v>
      </c>
      <c r="AG462" t="s">
        <v>49</v>
      </c>
      <c r="AH462" t="s">
        <v>48</v>
      </c>
      <c r="AI462" t="s">
        <v>48</v>
      </c>
      <c r="AJ462" t="s">
        <v>48</v>
      </c>
      <c r="AK462" t="s">
        <v>62</v>
      </c>
      <c r="AL462" t="s">
        <v>63</v>
      </c>
      <c r="AM462" t="s">
        <v>61</v>
      </c>
      <c r="AN462" t="s">
        <v>64</v>
      </c>
      <c r="AO462" t="s">
        <v>146</v>
      </c>
      <c r="AP462">
        <v>1</v>
      </c>
      <c r="AQ462" t="s">
        <v>66</v>
      </c>
      <c r="AR462" t="s">
        <v>67</v>
      </c>
      <c r="AS462">
        <v>2015</v>
      </c>
      <c r="AT462" t="s">
        <v>49</v>
      </c>
      <c r="AU462" t="s">
        <v>48</v>
      </c>
      <c r="AV462" t="s">
        <v>48</v>
      </c>
      <c r="AW462" t="s">
        <v>48</v>
      </c>
    </row>
    <row r="463" spans="1:49" x14ac:dyDescent="0.3">
      <c r="A463" t="s">
        <v>1402</v>
      </c>
      <c r="B463" t="s">
        <v>48</v>
      </c>
      <c r="C463" t="s">
        <v>49</v>
      </c>
      <c r="D463">
        <v>412.47</v>
      </c>
      <c r="E463">
        <v>0</v>
      </c>
      <c r="F463">
        <v>2.41</v>
      </c>
      <c r="G463" t="s">
        <v>1197</v>
      </c>
      <c r="H463" t="s">
        <v>1403</v>
      </c>
      <c r="I463" t="s">
        <v>52</v>
      </c>
      <c r="J463" t="s">
        <v>53</v>
      </c>
      <c r="K463">
        <v>35000</v>
      </c>
      <c r="L463" t="s">
        <v>126</v>
      </c>
      <c r="M463">
        <f>DOWNLOAD_2kLRbPnDtawQopEJ_UKtt22ud9U57gk8mqebZIeugNk[[#This Row],[Standard Value]]</f>
        <v>35000</v>
      </c>
      <c r="N463">
        <f>-LOG(DOWNLOAD_2kLRbPnDtawQopEJ_UKtt22ud9U57gk8mqebZIeugNk[[#This Row],[IC50]]*POWER(10, -9), 10)</f>
        <v>4.4559319556497243</v>
      </c>
      <c r="O463">
        <v>4.46</v>
      </c>
      <c r="P463" t="s">
        <v>48</v>
      </c>
      <c r="R463" t="s">
        <v>127</v>
      </c>
      <c r="S463">
        <v>10.8</v>
      </c>
      <c r="T463">
        <v>0.21</v>
      </c>
      <c r="U463">
        <v>2.0499999999999998</v>
      </c>
      <c r="V463">
        <v>3.94</v>
      </c>
      <c r="W463">
        <v>0</v>
      </c>
      <c r="X463" t="s">
        <v>144</v>
      </c>
      <c r="Y463" t="s">
        <v>145</v>
      </c>
      <c r="Z463" t="s">
        <v>58</v>
      </c>
      <c r="AA463" t="s">
        <v>59</v>
      </c>
      <c r="AB463" t="s">
        <v>60</v>
      </c>
      <c r="AC463" t="s">
        <v>61</v>
      </c>
      <c r="AD463" t="s">
        <v>49</v>
      </c>
      <c r="AE463" t="s">
        <v>49</v>
      </c>
      <c r="AF463" t="s">
        <v>49</v>
      </c>
      <c r="AG463" t="s">
        <v>49</v>
      </c>
      <c r="AH463" t="s">
        <v>48</v>
      </c>
      <c r="AI463" t="s">
        <v>48</v>
      </c>
      <c r="AJ463" t="s">
        <v>48</v>
      </c>
      <c r="AK463" t="s">
        <v>62</v>
      </c>
      <c r="AL463" t="s">
        <v>63</v>
      </c>
      <c r="AM463" t="s">
        <v>61</v>
      </c>
      <c r="AN463" t="s">
        <v>64</v>
      </c>
      <c r="AO463" t="s">
        <v>146</v>
      </c>
      <c r="AP463">
        <v>1</v>
      </c>
      <c r="AQ463" t="s">
        <v>66</v>
      </c>
      <c r="AR463" t="s">
        <v>67</v>
      </c>
      <c r="AS463">
        <v>2015</v>
      </c>
      <c r="AT463" t="s">
        <v>49</v>
      </c>
      <c r="AU463" t="s">
        <v>48</v>
      </c>
      <c r="AV463" t="s">
        <v>48</v>
      </c>
      <c r="AW463" t="s">
        <v>48</v>
      </c>
    </row>
    <row r="464" spans="1:49" x14ac:dyDescent="0.3">
      <c r="A464" t="s">
        <v>1404</v>
      </c>
      <c r="B464" t="s">
        <v>48</v>
      </c>
      <c r="C464" t="s">
        <v>49</v>
      </c>
      <c r="D464">
        <v>372.4</v>
      </c>
      <c r="E464">
        <v>0</v>
      </c>
      <c r="F464">
        <v>1.85</v>
      </c>
      <c r="G464" t="s">
        <v>271</v>
      </c>
      <c r="H464" t="s">
        <v>1405</v>
      </c>
      <c r="I464" t="s">
        <v>52</v>
      </c>
      <c r="J464" t="s">
        <v>53</v>
      </c>
      <c r="K464">
        <v>5.5</v>
      </c>
      <c r="L464" t="s">
        <v>54</v>
      </c>
      <c r="M464">
        <f>DOWNLOAD_2kLRbPnDtawQopEJ_UKtt22ud9U57gk8mqebZIeugNk[[#This Row],[Standard Value]]/DOWNLOAD_2kLRbPnDtawQopEJ_UKtt22ud9U57gk8mqebZIeugNk[[#This Row],[Molecular Weight]]*1000*1000</f>
        <v>14769.06552094522</v>
      </c>
      <c r="N464">
        <f>-LOG(DOWNLOAD_2kLRbPnDtawQopEJ_UKtt22ud9U57gk8mqebZIeugNk[[#This Row],[IC50]]*POWER(10, -9), 10)</f>
        <v>4.8306469828150611</v>
      </c>
      <c r="P464" t="s">
        <v>48</v>
      </c>
      <c r="R464" t="s">
        <v>55</v>
      </c>
      <c r="W464">
        <v>0</v>
      </c>
      <c r="X464" t="s">
        <v>98</v>
      </c>
      <c r="Y464" t="s">
        <v>99</v>
      </c>
      <c r="Z464" t="s">
        <v>58</v>
      </c>
      <c r="AA464" t="s">
        <v>59</v>
      </c>
      <c r="AB464" t="s">
        <v>60</v>
      </c>
      <c r="AC464" t="s">
        <v>49</v>
      </c>
      <c r="AD464" t="s">
        <v>49</v>
      </c>
      <c r="AE464" t="s">
        <v>49</v>
      </c>
      <c r="AF464" t="s">
        <v>49</v>
      </c>
      <c r="AG464" t="s">
        <v>49</v>
      </c>
      <c r="AH464" t="s">
        <v>48</v>
      </c>
      <c r="AI464" t="s">
        <v>48</v>
      </c>
      <c r="AJ464" t="s">
        <v>48</v>
      </c>
      <c r="AK464" t="s">
        <v>62</v>
      </c>
      <c r="AL464" t="s">
        <v>63</v>
      </c>
      <c r="AM464" t="s">
        <v>61</v>
      </c>
      <c r="AN464" t="s">
        <v>64</v>
      </c>
      <c r="AO464" t="s">
        <v>100</v>
      </c>
      <c r="AP464">
        <v>1</v>
      </c>
      <c r="AQ464" t="s">
        <v>66</v>
      </c>
      <c r="AR464" t="s">
        <v>67</v>
      </c>
      <c r="AS464">
        <v>1991</v>
      </c>
      <c r="AT464" t="s">
        <v>49</v>
      </c>
      <c r="AU464" t="s">
        <v>48</v>
      </c>
      <c r="AV464" t="s">
        <v>48</v>
      </c>
      <c r="AW464" t="s">
        <v>48</v>
      </c>
    </row>
    <row r="465" spans="1:49" x14ac:dyDescent="0.3">
      <c r="A465" t="s">
        <v>1406</v>
      </c>
      <c r="B465" t="s">
        <v>48</v>
      </c>
      <c r="C465" t="s">
        <v>49</v>
      </c>
      <c r="D465">
        <v>428.42</v>
      </c>
      <c r="E465">
        <v>0</v>
      </c>
      <c r="F465">
        <v>1.73</v>
      </c>
      <c r="G465" t="s">
        <v>1407</v>
      </c>
      <c r="H465" t="s">
        <v>1408</v>
      </c>
      <c r="I465" t="s">
        <v>52</v>
      </c>
      <c r="J465" t="s">
        <v>53</v>
      </c>
      <c r="K465">
        <v>340</v>
      </c>
      <c r="L465" t="s">
        <v>126</v>
      </c>
      <c r="M465">
        <f>DOWNLOAD_2kLRbPnDtawQopEJ_UKtt22ud9U57gk8mqebZIeugNk[[#This Row],[Standard Value]]</f>
        <v>340</v>
      </c>
      <c r="N465">
        <f>-LOG(DOWNLOAD_2kLRbPnDtawQopEJ_UKtt22ud9U57gk8mqebZIeugNk[[#This Row],[IC50]]*POWER(10, -9), 10)</f>
        <v>6.4685210829577446</v>
      </c>
      <c r="O465">
        <v>6.47</v>
      </c>
      <c r="P465" t="s">
        <v>48</v>
      </c>
      <c r="R465" t="s">
        <v>127</v>
      </c>
      <c r="S465">
        <v>15.1</v>
      </c>
      <c r="T465">
        <v>0.28000000000000003</v>
      </c>
      <c r="U465">
        <v>4.74</v>
      </c>
      <c r="V465">
        <v>5.69</v>
      </c>
      <c r="W465">
        <v>0</v>
      </c>
      <c r="X465" t="s">
        <v>519</v>
      </c>
      <c r="Y465" t="s">
        <v>520</v>
      </c>
      <c r="Z465" t="s">
        <v>58</v>
      </c>
      <c r="AA465" t="s">
        <v>59</v>
      </c>
      <c r="AB465" t="s">
        <v>60</v>
      </c>
      <c r="AC465" t="s">
        <v>61</v>
      </c>
      <c r="AD465" t="s">
        <v>49</v>
      </c>
      <c r="AE465" t="s">
        <v>49</v>
      </c>
      <c r="AF465" t="s">
        <v>49</v>
      </c>
      <c r="AG465" t="s">
        <v>49</v>
      </c>
      <c r="AH465" t="s">
        <v>48</v>
      </c>
      <c r="AI465" t="s">
        <v>48</v>
      </c>
      <c r="AJ465" t="s">
        <v>48</v>
      </c>
      <c r="AK465" t="s">
        <v>62</v>
      </c>
      <c r="AL465" t="s">
        <v>63</v>
      </c>
      <c r="AM465" t="s">
        <v>61</v>
      </c>
      <c r="AN465" t="s">
        <v>64</v>
      </c>
      <c r="AO465" t="s">
        <v>521</v>
      </c>
      <c r="AP465">
        <v>1</v>
      </c>
      <c r="AQ465" t="s">
        <v>66</v>
      </c>
      <c r="AR465" t="s">
        <v>67</v>
      </c>
      <c r="AS465">
        <v>2014</v>
      </c>
      <c r="AT465" t="s">
        <v>49</v>
      </c>
      <c r="AU465" t="s">
        <v>48</v>
      </c>
      <c r="AV465" t="s">
        <v>48</v>
      </c>
      <c r="AW465" t="s">
        <v>48</v>
      </c>
    </row>
    <row r="466" spans="1:49" x14ac:dyDescent="0.3">
      <c r="A466" t="s">
        <v>1409</v>
      </c>
      <c r="B466" t="s">
        <v>48</v>
      </c>
      <c r="C466" t="s">
        <v>49</v>
      </c>
      <c r="D466">
        <v>378.38</v>
      </c>
      <c r="E466">
        <v>0</v>
      </c>
      <c r="F466">
        <v>1.68</v>
      </c>
      <c r="G466" t="s">
        <v>1410</v>
      </c>
      <c r="H466" t="s">
        <v>1411</v>
      </c>
      <c r="I466" t="s">
        <v>52</v>
      </c>
      <c r="J466" t="s">
        <v>53</v>
      </c>
      <c r="K466">
        <v>2.9</v>
      </c>
      <c r="L466" t="s">
        <v>54</v>
      </c>
      <c r="M466">
        <f>DOWNLOAD_2kLRbPnDtawQopEJ_UKtt22ud9U57gk8mqebZIeugNk[[#This Row],[Standard Value]]/DOWNLOAD_2kLRbPnDtawQopEJ_UKtt22ud9U57gk8mqebZIeugNk[[#This Row],[Molecular Weight]]*1000*1000</f>
        <v>7664.2528674877112</v>
      </c>
      <c r="N466">
        <f>-LOG(DOWNLOAD_2kLRbPnDtawQopEJ_UKtt22ud9U57gk8mqebZIeugNk[[#This Row],[IC50]]*POWER(10, -9), 10)</f>
        <v>5.1155301749703632</v>
      </c>
      <c r="P466" t="s">
        <v>48</v>
      </c>
      <c r="R466" t="s">
        <v>55</v>
      </c>
      <c r="W466">
        <v>0</v>
      </c>
      <c r="X466" t="s">
        <v>56</v>
      </c>
      <c r="Y466" t="s">
        <v>57</v>
      </c>
      <c r="Z466" t="s">
        <v>58</v>
      </c>
      <c r="AA466" t="s">
        <v>59</v>
      </c>
      <c r="AB466" t="s">
        <v>60</v>
      </c>
      <c r="AC466" t="s">
        <v>61</v>
      </c>
      <c r="AD466" t="s">
        <v>49</v>
      </c>
      <c r="AE466" t="s">
        <v>49</v>
      </c>
      <c r="AF466" t="s">
        <v>49</v>
      </c>
      <c r="AG466" t="s">
        <v>49</v>
      </c>
      <c r="AH466" t="s">
        <v>48</v>
      </c>
      <c r="AI466" t="s">
        <v>48</v>
      </c>
      <c r="AJ466" t="s">
        <v>48</v>
      </c>
      <c r="AK466" t="s">
        <v>62</v>
      </c>
      <c r="AL466" t="s">
        <v>63</v>
      </c>
      <c r="AM466" t="s">
        <v>61</v>
      </c>
      <c r="AN466" t="s">
        <v>64</v>
      </c>
      <c r="AO466" t="s">
        <v>65</v>
      </c>
      <c r="AP466">
        <v>1</v>
      </c>
      <c r="AQ466" t="s">
        <v>66</v>
      </c>
      <c r="AR466" t="s">
        <v>67</v>
      </c>
      <c r="AS466">
        <v>1988</v>
      </c>
      <c r="AT466" t="s">
        <v>49</v>
      </c>
      <c r="AU466" t="s">
        <v>48</v>
      </c>
      <c r="AV466" t="s">
        <v>48</v>
      </c>
      <c r="AW466" t="s">
        <v>48</v>
      </c>
    </row>
    <row r="467" spans="1:49" x14ac:dyDescent="0.3">
      <c r="A467" t="s">
        <v>461</v>
      </c>
      <c r="B467" t="s">
        <v>462</v>
      </c>
      <c r="C467" t="s">
        <v>112</v>
      </c>
      <c r="D467">
        <v>232.24</v>
      </c>
      <c r="E467">
        <v>0</v>
      </c>
      <c r="F467">
        <v>1.42</v>
      </c>
      <c r="G467" t="s">
        <v>119</v>
      </c>
      <c r="H467" t="s">
        <v>464</v>
      </c>
      <c r="I467" t="s">
        <v>52</v>
      </c>
      <c r="J467" t="s">
        <v>71</v>
      </c>
      <c r="K467">
        <v>100</v>
      </c>
      <c r="L467" t="s">
        <v>54</v>
      </c>
      <c r="M467">
        <f>DOWNLOAD_2kLRbPnDtawQopEJ_UKtt22ud9U57gk8mqebZIeugNk[[#This Row],[Standard Value]]/DOWNLOAD_2kLRbPnDtawQopEJ_UKtt22ud9U57gk8mqebZIeugNk[[#This Row],[Molecular Weight]]*1000*1000</f>
        <v>430589.04581467441</v>
      </c>
      <c r="N467">
        <f>-LOG(DOWNLOAD_2kLRbPnDtawQopEJ_UKtt22ud9U57gk8mqebZIeugNk[[#This Row],[IC50]]*POWER(10, -9), 10)</f>
        <v>3.365937022823617</v>
      </c>
      <c r="P467" t="s">
        <v>72</v>
      </c>
      <c r="R467" t="s">
        <v>55</v>
      </c>
      <c r="W467">
        <v>0</v>
      </c>
      <c r="X467" t="s">
        <v>115</v>
      </c>
      <c r="Y467" t="s">
        <v>116</v>
      </c>
      <c r="Z467" t="s">
        <v>58</v>
      </c>
      <c r="AA467" t="s">
        <v>59</v>
      </c>
      <c r="AB467" t="s">
        <v>60</v>
      </c>
      <c r="AC467" t="s">
        <v>61</v>
      </c>
      <c r="AD467" t="s">
        <v>49</v>
      </c>
      <c r="AE467" t="s">
        <v>49</v>
      </c>
      <c r="AF467" t="s">
        <v>49</v>
      </c>
      <c r="AG467" t="s">
        <v>49</v>
      </c>
      <c r="AH467" t="s">
        <v>48</v>
      </c>
      <c r="AI467" t="s">
        <v>48</v>
      </c>
      <c r="AJ467" t="s">
        <v>48</v>
      </c>
      <c r="AK467" t="s">
        <v>62</v>
      </c>
      <c r="AL467" t="s">
        <v>63</v>
      </c>
      <c r="AM467" t="s">
        <v>61</v>
      </c>
      <c r="AN467" t="s">
        <v>64</v>
      </c>
      <c r="AO467" t="s">
        <v>117</v>
      </c>
      <c r="AP467">
        <v>1</v>
      </c>
      <c r="AQ467" t="s">
        <v>66</v>
      </c>
      <c r="AR467" t="s">
        <v>67</v>
      </c>
      <c r="AS467">
        <v>1986</v>
      </c>
      <c r="AT467" t="s">
        <v>49</v>
      </c>
      <c r="AU467" t="s">
        <v>48</v>
      </c>
      <c r="AV467" t="s">
        <v>48</v>
      </c>
      <c r="AW467" t="s">
        <v>48</v>
      </c>
    </row>
    <row r="468" spans="1:49" x14ac:dyDescent="0.3">
      <c r="A468" t="s">
        <v>281</v>
      </c>
      <c r="B468" t="s">
        <v>282</v>
      </c>
      <c r="C468" t="s">
        <v>112</v>
      </c>
      <c r="D468">
        <v>331.35</v>
      </c>
      <c r="E468">
        <v>0</v>
      </c>
      <c r="F468">
        <v>1.58</v>
      </c>
      <c r="G468" t="s">
        <v>584</v>
      </c>
      <c r="H468" t="s">
        <v>284</v>
      </c>
      <c r="I468" t="s">
        <v>52</v>
      </c>
      <c r="J468" t="s">
        <v>53</v>
      </c>
      <c r="K468">
        <v>300</v>
      </c>
      <c r="L468" t="s">
        <v>126</v>
      </c>
      <c r="M468">
        <f>DOWNLOAD_2kLRbPnDtawQopEJ_UKtt22ud9U57gk8mqebZIeugNk[[#This Row],[Standard Value]]</f>
        <v>300</v>
      </c>
      <c r="N468">
        <f>-LOG(DOWNLOAD_2kLRbPnDtawQopEJ_UKtt22ud9U57gk8mqebZIeugNk[[#This Row],[IC50]]*POWER(10, -9), 10)</f>
        <v>6.5228787452803365</v>
      </c>
      <c r="O468">
        <v>6.52</v>
      </c>
      <c r="P468" t="s">
        <v>48</v>
      </c>
      <c r="R468" t="s">
        <v>127</v>
      </c>
      <c r="S468">
        <v>19.690000000000001</v>
      </c>
      <c r="T468">
        <v>0.37</v>
      </c>
      <c r="U468">
        <v>4.9400000000000004</v>
      </c>
      <c r="V468">
        <v>8.75</v>
      </c>
      <c r="W468">
        <v>0</v>
      </c>
      <c r="X468" t="s">
        <v>805</v>
      </c>
      <c r="Y468" t="s">
        <v>806</v>
      </c>
      <c r="Z468" t="s">
        <v>58</v>
      </c>
      <c r="AA468" t="s">
        <v>59</v>
      </c>
      <c r="AB468" t="s">
        <v>60</v>
      </c>
      <c r="AC468" t="s">
        <v>61</v>
      </c>
      <c r="AD468" t="s">
        <v>49</v>
      </c>
      <c r="AE468" t="s">
        <v>49</v>
      </c>
      <c r="AF468" t="s">
        <v>49</v>
      </c>
      <c r="AG468" t="s">
        <v>49</v>
      </c>
      <c r="AH468" t="s">
        <v>48</v>
      </c>
      <c r="AI468" t="s">
        <v>48</v>
      </c>
      <c r="AJ468" t="s">
        <v>48</v>
      </c>
      <c r="AK468" t="s">
        <v>62</v>
      </c>
      <c r="AL468" t="s">
        <v>63</v>
      </c>
      <c r="AM468" t="s">
        <v>61</v>
      </c>
      <c r="AN468" t="s">
        <v>64</v>
      </c>
      <c r="AO468" t="s">
        <v>807</v>
      </c>
      <c r="AP468">
        <v>1</v>
      </c>
      <c r="AQ468" t="s">
        <v>66</v>
      </c>
      <c r="AR468" t="s">
        <v>67</v>
      </c>
      <c r="AS468">
        <v>2006</v>
      </c>
      <c r="AT468" t="s">
        <v>49</v>
      </c>
      <c r="AU468" t="s">
        <v>48</v>
      </c>
      <c r="AV468" t="s">
        <v>48</v>
      </c>
      <c r="AW468" t="s">
        <v>48</v>
      </c>
    </row>
    <row r="469" spans="1:49" x14ac:dyDescent="0.3">
      <c r="A469" t="s">
        <v>1412</v>
      </c>
      <c r="B469" t="s">
        <v>48</v>
      </c>
      <c r="C469" t="s">
        <v>49</v>
      </c>
      <c r="D469">
        <v>457.5</v>
      </c>
      <c r="E469">
        <v>0</v>
      </c>
      <c r="F469">
        <v>2.5299999999999998</v>
      </c>
      <c r="G469" t="s">
        <v>1413</v>
      </c>
      <c r="H469" t="s">
        <v>1414</v>
      </c>
      <c r="I469" t="s">
        <v>52</v>
      </c>
      <c r="J469" t="s">
        <v>71</v>
      </c>
      <c r="K469">
        <v>200000</v>
      </c>
      <c r="L469" t="s">
        <v>126</v>
      </c>
      <c r="M469">
        <f>DOWNLOAD_2kLRbPnDtawQopEJ_UKtt22ud9U57gk8mqebZIeugNk[[#This Row],[Standard Value]]</f>
        <v>200000</v>
      </c>
      <c r="N469">
        <f>-LOG(DOWNLOAD_2kLRbPnDtawQopEJ_UKtt22ud9U57gk8mqebZIeugNk[[#This Row],[IC50]]*POWER(10, -9), 10)</f>
        <v>3.6989700043360187</v>
      </c>
      <c r="P469" t="s">
        <v>72</v>
      </c>
      <c r="R469" t="s">
        <v>127</v>
      </c>
      <c r="W469">
        <v>0</v>
      </c>
      <c r="X469" t="s">
        <v>708</v>
      </c>
      <c r="Y469" t="s">
        <v>709</v>
      </c>
      <c r="Z469" t="s">
        <v>58</v>
      </c>
      <c r="AA469" t="s">
        <v>59</v>
      </c>
      <c r="AB469" t="s">
        <v>60</v>
      </c>
      <c r="AC469" t="s">
        <v>61</v>
      </c>
      <c r="AD469" t="s">
        <v>49</v>
      </c>
      <c r="AE469" t="s">
        <v>49</v>
      </c>
      <c r="AF469" t="s">
        <v>49</v>
      </c>
      <c r="AG469" t="s">
        <v>49</v>
      </c>
      <c r="AH469" t="s">
        <v>48</v>
      </c>
      <c r="AI469" t="s">
        <v>48</v>
      </c>
      <c r="AJ469" t="s">
        <v>48</v>
      </c>
      <c r="AK469" t="s">
        <v>62</v>
      </c>
      <c r="AL469" t="s">
        <v>63</v>
      </c>
      <c r="AM469" t="s">
        <v>61</v>
      </c>
      <c r="AN469" t="s">
        <v>64</v>
      </c>
      <c r="AO469" t="s">
        <v>710</v>
      </c>
      <c r="AP469">
        <v>1</v>
      </c>
      <c r="AQ469" t="s">
        <v>66</v>
      </c>
      <c r="AR469" t="s">
        <v>76</v>
      </c>
      <c r="AS469">
        <v>2018</v>
      </c>
      <c r="AT469" t="s">
        <v>49</v>
      </c>
      <c r="AU469" t="s">
        <v>48</v>
      </c>
      <c r="AV469" t="s">
        <v>48</v>
      </c>
      <c r="AW469" t="s">
        <v>48</v>
      </c>
    </row>
    <row r="470" spans="1:49" x14ac:dyDescent="0.3">
      <c r="A470" t="s">
        <v>1415</v>
      </c>
      <c r="B470" t="s">
        <v>48</v>
      </c>
      <c r="C470" t="s">
        <v>49</v>
      </c>
      <c r="D470">
        <v>356.43</v>
      </c>
      <c r="E470">
        <v>0</v>
      </c>
      <c r="F470">
        <v>1.68</v>
      </c>
      <c r="G470" t="s">
        <v>1416</v>
      </c>
      <c r="H470" t="s">
        <v>1417</v>
      </c>
      <c r="I470" t="s">
        <v>52</v>
      </c>
      <c r="J470" t="s">
        <v>53</v>
      </c>
      <c r="K470">
        <v>3.8</v>
      </c>
      <c r="L470" t="s">
        <v>54</v>
      </c>
      <c r="M470">
        <f>DOWNLOAD_2kLRbPnDtawQopEJ_UKtt22ud9U57gk8mqebZIeugNk[[#This Row],[Standard Value]]/DOWNLOAD_2kLRbPnDtawQopEJ_UKtt22ud9U57gk8mqebZIeugNk[[#This Row],[Molecular Weight]]*1000*1000</f>
        <v>10661.279914709761</v>
      </c>
      <c r="N470">
        <f>-LOG(DOWNLOAD_2kLRbPnDtawQopEJ_UKtt22ud9U57gk8mqebZIeugNk[[#This Row],[IC50]]*POWER(10, -9), 10)</f>
        <v>4.9721906539840992</v>
      </c>
      <c r="P470" t="s">
        <v>48</v>
      </c>
      <c r="R470" t="s">
        <v>55</v>
      </c>
      <c r="W470">
        <v>0</v>
      </c>
      <c r="X470" t="s">
        <v>135</v>
      </c>
      <c r="Y470" t="s">
        <v>136</v>
      </c>
      <c r="Z470" t="s">
        <v>58</v>
      </c>
      <c r="AA470" t="s">
        <v>59</v>
      </c>
      <c r="AB470" t="s">
        <v>60</v>
      </c>
      <c r="AC470" t="s">
        <v>61</v>
      </c>
      <c r="AD470" t="s">
        <v>49</v>
      </c>
      <c r="AE470" t="s">
        <v>49</v>
      </c>
      <c r="AF470" t="s">
        <v>49</v>
      </c>
      <c r="AG470" t="s">
        <v>49</v>
      </c>
      <c r="AH470" t="s">
        <v>48</v>
      </c>
      <c r="AI470" t="s">
        <v>48</v>
      </c>
      <c r="AJ470" t="s">
        <v>48</v>
      </c>
      <c r="AK470" t="s">
        <v>62</v>
      </c>
      <c r="AL470" t="s">
        <v>63</v>
      </c>
      <c r="AM470" t="s">
        <v>61</v>
      </c>
      <c r="AN470" t="s">
        <v>64</v>
      </c>
      <c r="AO470" t="s">
        <v>137</v>
      </c>
      <c r="AP470">
        <v>1</v>
      </c>
      <c r="AQ470" t="s">
        <v>66</v>
      </c>
      <c r="AR470" t="s">
        <v>67</v>
      </c>
      <c r="AS470">
        <v>1996</v>
      </c>
      <c r="AT470" t="s">
        <v>49</v>
      </c>
      <c r="AU470" t="s">
        <v>48</v>
      </c>
      <c r="AV470" t="s">
        <v>48</v>
      </c>
      <c r="AW470" t="s">
        <v>48</v>
      </c>
    </row>
    <row r="471" spans="1:49" x14ac:dyDescent="0.3">
      <c r="A471" t="s">
        <v>1418</v>
      </c>
      <c r="B471" t="s">
        <v>48</v>
      </c>
      <c r="C471" t="s">
        <v>49</v>
      </c>
      <c r="D471">
        <v>359.4</v>
      </c>
      <c r="E471">
        <v>0</v>
      </c>
      <c r="F471">
        <v>2.23</v>
      </c>
      <c r="G471" t="s">
        <v>1104</v>
      </c>
      <c r="H471" t="s">
        <v>1419</v>
      </c>
      <c r="I471" t="s">
        <v>52</v>
      </c>
      <c r="J471" t="s">
        <v>53</v>
      </c>
      <c r="K471">
        <v>5.9</v>
      </c>
      <c r="L471" t="s">
        <v>54</v>
      </c>
      <c r="M471">
        <f>DOWNLOAD_2kLRbPnDtawQopEJ_UKtt22ud9U57gk8mqebZIeugNk[[#This Row],[Standard Value]]/DOWNLOAD_2kLRbPnDtawQopEJ_UKtt22ud9U57gk8mqebZIeugNk[[#This Row],[Molecular Weight]]*1000*1000</f>
        <v>16416.249304396217</v>
      </c>
      <c r="N471">
        <f>-LOG(DOWNLOAD_2kLRbPnDtawQopEJ_UKtt22ud9U57gk8mqebZIeugNk[[#This Row],[IC50]]*POWER(10, -9), 10)</f>
        <v>4.7847260611308107</v>
      </c>
      <c r="P471" t="s">
        <v>48</v>
      </c>
      <c r="R471" t="s">
        <v>55</v>
      </c>
      <c r="W471">
        <v>0</v>
      </c>
      <c r="X471" t="s">
        <v>135</v>
      </c>
      <c r="Y471" t="s">
        <v>136</v>
      </c>
      <c r="Z471" t="s">
        <v>58</v>
      </c>
      <c r="AA471" t="s">
        <v>59</v>
      </c>
      <c r="AB471" t="s">
        <v>60</v>
      </c>
      <c r="AC471" t="s">
        <v>61</v>
      </c>
      <c r="AD471" t="s">
        <v>49</v>
      </c>
      <c r="AE471" t="s">
        <v>49</v>
      </c>
      <c r="AF471" t="s">
        <v>49</v>
      </c>
      <c r="AG471" t="s">
        <v>49</v>
      </c>
      <c r="AH471" t="s">
        <v>48</v>
      </c>
      <c r="AI471" t="s">
        <v>48</v>
      </c>
      <c r="AJ471" t="s">
        <v>48</v>
      </c>
      <c r="AK471" t="s">
        <v>62</v>
      </c>
      <c r="AL471" t="s">
        <v>63</v>
      </c>
      <c r="AM471" t="s">
        <v>61</v>
      </c>
      <c r="AN471" t="s">
        <v>64</v>
      </c>
      <c r="AO471" t="s">
        <v>137</v>
      </c>
      <c r="AP471">
        <v>1</v>
      </c>
      <c r="AQ471" t="s">
        <v>66</v>
      </c>
      <c r="AR471" t="s">
        <v>67</v>
      </c>
      <c r="AS471">
        <v>1996</v>
      </c>
      <c r="AT471" t="s">
        <v>49</v>
      </c>
      <c r="AU471" t="s">
        <v>48</v>
      </c>
      <c r="AV471" t="s">
        <v>48</v>
      </c>
      <c r="AW471" t="s">
        <v>48</v>
      </c>
    </row>
    <row r="472" spans="1:49" x14ac:dyDescent="0.3">
      <c r="A472" t="s">
        <v>1420</v>
      </c>
      <c r="B472" t="s">
        <v>48</v>
      </c>
      <c r="C472" t="s">
        <v>49</v>
      </c>
      <c r="D472">
        <v>360.41</v>
      </c>
      <c r="E472">
        <v>0</v>
      </c>
      <c r="F472">
        <v>1.79</v>
      </c>
      <c r="G472" t="s">
        <v>1421</v>
      </c>
      <c r="H472" t="s">
        <v>1422</v>
      </c>
      <c r="I472" t="s">
        <v>52</v>
      </c>
      <c r="J472" t="s">
        <v>53</v>
      </c>
      <c r="K472">
        <v>100</v>
      </c>
      <c r="L472" t="s">
        <v>126</v>
      </c>
      <c r="M472">
        <f>DOWNLOAD_2kLRbPnDtawQopEJ_UKtt22ud9U57gk8mqebZIeugNk[[#This Row],[Standard Value]]</f>
        <v>100</v>
      </c>
      <c r="N472">
        <f>-LOG(DOWNLOAD_2kLRbPnDtawQopEJ_UKtt22ud9U57gk8mqebZIeugNk[[#This Row],[IC50]]*POWER(10, -9), 10)</f>
        <v>7</v>
      </c>
      <c r="O472">
        <v>7</v>
      </c>
      <c r="P472" t="s">
        <v>48</v>
      </c>
      <c r="R472" t="s">
        <v>127</v>
      </c>
      <c r="S472">
        <v>19.420000000000002</v>
      </c>
      <c r="T472">
        <v>0.38</v>
      </c>
      <c r="U472">
        <v>5.21</v>
      </c>
      <c r="V472">
        <v>9.98</v>
      </c>
      <c r="W472">
        <v>0</v>
      </c>
      <c r="X472" t="s">
        <v>334</v>
      </c>
      <c r="Y472" t="s">
        <v>335</v>
      </c>
      <c r="Z472" t="s">
        <v>58</v>
      </c>
      <c r="AA472" t="s">
        <v>59</v>
      </c>
      <c r="AB472" t="s">
        <v>60</v>
      </c>
      <c r="AC472" t="s">
        <v>61</v>
      </c>
      <c r="AD472" t="s">
        <v>49</v>
      </c>
      <c r="AE472" t="s">
        <v>49</v>
      </c>
      <c r="AF472" t="s">
        <v>49</v>
      </c>
      <c r="AG472" t="s">
        <v>49</v>
      </c>
      <c r="AH472" t="s">
        <v>48</v>
      </c>
      <c r="AI472" t="s">
        <v>48</v>
      </c>
      <c r="AJ472" t="s">
        <v>48</v>
      </c>
      <c r="AK472" t="s">
        <v>62</v>
      </c>
      <c r="AL472" t="s">
        <v>63</v>
      </c>
      <c r="AM472" t="s">
        <v>61</v>
      </c>
      <c r="AN472" t="s">
        <v>64</v>
      </c>
      <c r="AO472" t="s">
        <v>336</v>
      </c>
      <c r="AP472">
        <v>1</v>
      </c>
      <c r="AQ472" t="s">
        <v>66</v>
      </c>
      <c r="AR472" t="s">
        <v>76</v>
      </c>
      <c r="AS472">
        <v>2006</v>
      </c>
      <c r="AT472" t="s">
        <v>49</v>
      </c>
      <c r="AU472" t="s">
        <v>48</v>
      </c>
      <c r="AV472" t="s">
        <v>48</v>
      </c>
      <c r="AW472" t="s">
        <v>48</v>
      </c>
    </row>
    <row r="473" spans="1:49" x14ac:dyDescent="0.3">
      <c r="A473" t="s">
        <v>1423</v>
      </c>
      <c r="B473" t="s">
        <v>48</v>
      </c>
      <c r="C473" t="s">
        <v>49</v>
      </c>
      <c r="D473">
        <v>400.45</v>
      </c>
      <c r="E473">
        <v>0</v>
      </c>
      <c r="F473">
        <v>2.68</v>
      </c>
      <c r="G473" t="s">
        <v>476</v>
      </c>
      <c r="H473" t="s">
        <v>1424</v>
      </c>
      <c r="I473" t="s">
        <v>52</v>
      </c>
      <c r="J473" t="s">
        <v>53</v>
      </c>
      <c r="K473">
        <v>6.3</v>
      </c>
      <c r="L473" t="s">
        <v>54</v>
      </c>
      <c r="M473">
        <f>DOWNLOAD_2kLRbPnDtawQopEJ_UKtt22ud9U57gk8mqebZIeugNk[[#This Row],[Standard Value]]/DOWNLOAD_2kLRbPnDtawQopEJ_UKtt22ud9U57gk8mqebZIeugNk[[#This Row],[Molecular Weight]]*1000*1000</f>
        <v>15732.301161193656</v>
      </c>
      <c r="N473">
        <f>-LOG(DOWNLOAD_2kLRbPnDtawQopEJ_UKtt22ud9U57gk8mqebZIeugNk[[#This Row],[IC50]]*POWER(10, -9), 10)</f>
        <v>4.8032077485454909</v>
      </c>
      <c r="P473" t="s">
        <v>48</v>
      </c>
      <c r="R473" t="s">
        <v>55</v>
      </c>
      <c r="W473">
        <v>0</v>
      </c>
      <c r="X473" t="s">
        <v>98</v>
      </c>
      <c r="Y473" t="s">
        <v>99</v>
      </c>
      <c r="Z473" t="s">
        <v>58</v>
      </c>
      <c r="AA473" t="s">
        <v>59</v>
      </c>
      <c r="AB473" t="s">
        <v>60</v>
      </c>
      <c r="AC473" t="s">
        <v>49</v>
      </c>
      <c r="AD473" t="s">
        <v>49</v>
      </c>
      <c r="AE473" t="s">
        <v>49</v>
      </c>
      <c r="AF473" t="s">
        <v>49</v>
      </c>
      <c r="AG473" t="s">
        <v>49</v>
      </c>
      <c r="AH473" t="s">
        <v>48</v>
      </c>
      <c r="AI473" t="s">
        <v>48</v>
      </c>
      <c r="AJ473" t="s">
        <v>48</v>
      </c>
      <c r="AK473" t="s">
        <v>62</v>
      </c>
      <c r="AL473" t="s">
        <v>63</v>
      </c>
      <c r="AM473" t="s">
        <v>61</v>
      </c>
      <c r="AN473" t="s">
        <v>64</v>
      </c>
      <c r="AO473" t="s">
        <v>100</v>
      </c>
      <c r="AP473">
        <v>1</v>
      </c>
      <c r="AQ473" t="s">
        <v>66</v>
      </c>
      <c r="AR473" t="s">
        <v>67</v>
      </c>
      <c r="AS473">
        <v>1991</v>
      </c>
      <c r="AT473" t="s">
        <v>49</v>
      </c>
      <c r="AU473" t="s">
        <v>48</v>
      </c>
      <c r="AV473" t="s">
        <v>48</v>
      </c>
      <c r="AW473" t="s">
        <v>48</v>
      </c>
    </row>
    <row r="474" spans="1:49" x14ac:dyDescent="0.3">
      <c r="A474" t="s">
        <v>1425</v>
      </c>
      <c r="B474" t="s">
        <v>48</v>
      </c>
      <c r="C474" t="s">
        <v>49</v>
      </c>
      <c r="D474">
        <v>475.47</v>
      </c>
      <c r="E474">
        <v>0</v>
      </c>
      <c r="F474">
        <v>2.97</v>
      </c>
      <c r="G474" t="s">
        <v>1426</v>
      </c>
      <c r="H474" t="s">
        <v>1427</v>
      </c>
      <c r="I474" t="s">
        <v>52</v>
      </c>
      <c r="J474" t="s">
        <v>53</v>
      </c>
      <c r="K474">
        <v>0.33</v>
      </c>
      <c r="L474" t="s">
        <v>54</v>
      </c>
      <c r="M474">
        <f>DOWNLOAD_2kLRbPnDtawQopEJ_UKtt22ud9U57gk8mqebZIeugNk[[#This Row],[Standard Value]]/DOWNLOAD_2kLRbPnDtawQopEJ_UKtt22ud9U57gk8mqebZIeugNk[[#This Row],[Molecular Weight]]*1000*1000</f>
        <v>694.05009779796819</v>
      </c>
      <c r="N474">
        <f>-LOG(DOWNLOAD_2kLRbPnDtawQopEJ_UKtt22ud9U57gk8mqebZIeugNk[[#This Row],[IC50]]*POWER(10, -9), 10)</f>
        <v>6.1586091802483764</v>
      </c>
      <c r="P474" t="s">
        <v>48</v>
      </c>
      <c r="R474" t="s">
        <v>55</v>
      </c>
      <c r="W474">
        <v>0</v>
      </c>
      <c r="X474" t="s">
        <v>245</v>
      </c>
      <c r="Y474" t="s">
        <v>246</v>
      </c>
      <c r="Z474" t="s">
        <v>58</v>
      </c>
      <c r="AA474" t="s">
        <v>59</v>
      </c>
      <c r="AB474" t="s">
        <v>60</v>
      </c>
      <c r="AC474" t="s">
        <v>61</v>
      </c>
      <c r="AD474" t="s">
        <v>49</v>
      </c>
      <c r="AE474" t="s">
        <v>49</v>
      </c>
      <c r="AF474" t="s">
        <v>49</v>
      </c>
      <c r="AG474" t="s">
        <v>49</v>
      </c>
      <c r="AH474" t="s">
        <v>48</v>
      </c>
      <c r="AI474" t="s">
        <v>48</v>
      </c>
      <c r="AJ474" t="s">
        <v>48</v>
      </c>
      <c r="AK474" t="s">
        <v>62</v>
      </c>
      <c r="AL474" t="s">
        <v>63</v>
      </c>
      <c r="AM474" t="s">
        <v>61</v>
      </c>
      <c r="AN474" t="s">
        <v>64</v>
      </c>
      <c r="AO474" t="s">
        <v>247</v>
      </c>
      <c r="AP474">
        <v>1</v>
      </c>
      <c r="AQ474" t="s">
        <v>66</v>
      </c>
      <c r="AR474" t="s">
        <v>131</v>
      </c>
      <c r="AS474">
        <v>2015</v>
      </c>
      <c r="AT474" t="s">
        <v>49</v>
      </c>
      <c r="AU474" t="s">
        <v>48</v>
      </c>
      <c r="AV474" t="s">
        <v>48</v>
      </c>
      <c r="AW474" t="s">
        <v>48</v>
      </c>
    </row>
    <row r="475" spans="1:49" x14ac:dyDescent="0.3">
      <c r="A475" t="s">
        <v>1428</v>
      </c>
      <c r="B475" t="s">
        <v>48</v>
      </c>
      <c r="C475" t="s">
        <v>49</v>
      </c>
      <c r="D475">
        <v>461.44</v>
      </c>
      <c r="E475">
        <v>0</v>
      </c>
      <c r="F475">
        <v>2.58</v>
      </c>
      <c r="G475" t="s">
        <v>1429</v>
      </c>
      <c r="H475" t="s">
        <v>1430</v>
      </c>
      <c r="I475" t="s">
        <v>52</v>
      </c>
      <c r="J475" t="s">
        <v>53</v>
      </c>
      <c r="K475">
        <v>0.19</v>
      </c>
      <c r="L475" t="s">
        <v>54</v>
      </c>
      <c r="M475">
        <f>DOWNLOAD_2kLRbPnDtawQopEJ_UKtt22ud9U57gk8mqebZIeugNk[[#This Row],[Standard Value]]/DOWNLOAD_2kLRbPnDtawQopEJ_UKtt22ud9U57gk8mqebZIeugNk[[#This Row],[Molecular Weight]]*1000*1000</f>
        <v>411.75450762829399</v>
      </c>
      <c r="N475">
        <f>-LOG(DOWNLOAD_2kLRbPnDtawQopEJ_UKtt22ud9U57gk8mqebZIeugNk[[#This Row],[IC50]]*POWER(10, -9), 10)</f>
        <v>6.3853616377504867</v>
      </c>
      <c r="P475" t="s">
        <v>48</v>
      </c>
      <c r="R475" t="s">
        <v>55</v>
      </c>
      <c r="W475">
        <v>0</v>
      </c>
      <c r="X475" t="s">
        <v>245</v>
      </c>
      <c r="Y475" t="s">
        <v>246</v>
      </c>
      <c r="Z475" t="s">
        <v>58</v>
      </c>
      <c r="AA475" t="s">
        <v>59</v>
      </c>
      <c r="AB475" t="s">
        <v>60</v>
      </c>
      <c r="AC475" t="s">
        <v>61</v>
      </c>
      <c r="AD475" t="s">
        <v>49</v>
      </c>
      <c r="AE475" t="s">
        <v>49</v>
      </c>
      <c r="AF475" t="s">
        <v>49</v>
      </c>
      <c r="AG475" t="s">
        <v>49</v>
      </c>
      <c r="AH475" t="s">
        <v>48</v>
      </c>
      <c r="AI475" t="s">
        <v>48</v>
      </c>
      <c r="AJ475" t="s">
        <v>48</v>
      </c>
      <c r="AK475" t="s">
        <v>62</v>
      </c>
      <c r="AL475" t="s">
        <v>63</v>
      </c>
      <c r="AM475" t="s">
        <v>61</v>
      </c>
      <c r="AN475" t="s">
        <v>64</v>
      </c>
      <c r="AO475" t="s">
        <v>247</v>
      </c>
      <c r="AP475">
        <v>1</v>
      </c>
      <c r="AQ475" t="s">
        <v>66</v>
      </c>
      <c r="AR475" t="s">
        <v>131</v>
      </c>
      <c r="AS475">
        <v>2015</v>
      </c>
      <c r="AT475" t="s">
        <v>49</v>
      </c>
      <c r="AU475" t="s">
        <v>48</v>
      </c>
      <c r="AV475" t="s">
        <v>48</v>
      </c>
      <c r="AW475" t="s">
        <v>48</v>
      </c>
    </row>
    <row r="476" spans="1:49" x14ac:dyDescent="0.3">
      <c r="A476" t="s">
        <v>762</v>
      </c>
      <c r="B476" t="s">
        <v>763</v>
      </c>
      <c r="C476" t="s">
        <v>112</v>
      </c>
      <c r="D476">
        <v>361.37</v>
      </c>
      <c r="E476">
        <v>0</v>
      </c>
      <c r="F476">
        <v>1.54</v>
      </c>
      <c r="G476" t="s">
        <v>405</v>
      </c>
      <c r="H476" t="s">
        <v>765</v>
      </c>
      <c r="I476" t="s">
        <v>52</v>
      </c>
      <c r="J476" t="s">
        <v>53</v>
      </c>
      <c r="K476">
        <v>1.75</v>
      </c>
      <c r="L476" t="s">
        <v>54</v>
      </c>
      <c r="M476">
        <f>DOWNLOAD_2kLRbPnDtawQopEJ_UKtt22ud9U57gk8mqebZIeugNk[[#This Row],[Standard Value]]/DOWNLOAD_2kLRbPnDtawQopEJ_UKtt22ud9U57gk8mqebZIeugNk[[#This Row],[Molecular Weight]]*1000*1000</f>
        <v>4842.6820156626172</v>
      </c>
      <c r="N476">
        <f>-LOG(DOWNLOAD_2kLRbPnDtawQopEJ_UKtt22ud9U57gk8mqebZIeugNk[[#This Row],[IC50]]*POWER(10, -9), 10)</f>
        <v>5.3149140470337697</v>
      </c>
      <c r="P476" t="s">
        <v>48</v>
      </c>
      <c r="R476" t="s">
        <v>55</v>
      </c>
      <c r="W476">
        <v>0</v>
      </c>
      <c r="X476" t="s">
        <v>314</v>
      </c>
      <c r="Y476" t="s">
        <v>315</v>
      </c>
      <c r="Z476" t="s">
        <v>58</v>
      </c>
      <c r="AA476" t="s">
        <v>59</v>
      </c>
      <c r="AB476" t="s">
        <v>60</v>
      </c>
      <c r="AC476" t="s">
        <v>61</v>
      </c>
      <c r="AD476" t="s">
        <v>49</v>
      </c>
      <c r="AE476" t="s">
        <v>49</v>
      </c>
      <c r="AF476" t="s">
        <v>49</v>
      </c>
      <c r="AG476" t="s">
        <v>49</v>
      </c>
      <c r="AH476" t="s">
        <v>48</v>
      </c>
      <c r="AI476" t="s">
        <v>48</v>
      </c>
      <c r="AJ476" t="s">
        <v>48</v>
      </c>
      <c r="AK476" t="s">
        <v>62</v>
      </c>
      <c r="AL476" t="s">
        <v>63</v>
      </c>
      <c r="AM476" t="s">
        <v>61</v>
      </c>
      <c r="AN476" t="s">
        <v>64</v>
      </c>
      <c r="AO476" t="s">
        <v>316</v>
      </c>
      <c r="AP476">
        <v>1</v>
      </c>
      <c r="AQ476" t="s">
        <v>66</v>
      </c>
      <c r="AR476" t="s">
        <v>76</v>
      </c>
      <c r="AS476">
        <v>1993</v>
      </c>
      <c r="AT476" t="s">
        <v>49</v>
      </c>
      <c r="AU476" t="s">
        <v>48</v>
      </c>
      <c r="AV476" t="s">
        <v>48</v>
      </c>
      <c r="AW476" t="s">
        <v>48</v>
      </c>
    </row>
    <row r="477" spans="1:49" x14ac:dyDescent="0.3">
      <c r="A477" t="s">
        <v>1431</v>
      </c>
      <c r="B477" t="s">
        <v>1432</v>
      </c>
      <c r="C477" t="s">
        <v>49</v>
      </c>
      <c r="D477">
        <v>318.24</v>
      </c>
      <c r="E477">
        <v>1</v>
      </c>
      <c r="F477">
        <v>1.69</v>
      </c>
      <c r="G477" t="s">
        <v>1433</v>
      </c>
      <c r="H477" t="s">
        <v>1434</v>
      </c>
      <c r="I477" t="s">
        <v>52</v>
      </c>
      <c r="J477" t="s">
        <v>53</v>
      </c>
      <c r="K477">
        <v>225</v>
      </c>
      <c r="L477" t="s">
        <v>54</v>
      </c>
      <c r="M477">
        <f>DOWNLOAD_2kLRbPnDtawQopEJ_UKtt22ud9U57gk8mqebZIeugNk[[#This Row],[Standard Value]]/DOWNLOAD_2kLRbPnDtawQopEJ_UKtt22ud9U57gk8mqebZIeugNk[[#This Row],[Molecular Weight]]*1000*1000</f>
        <v>707013.57466063334</v>
      </c>
      <c r="N477">
        <f>-LOG(DOWNLOAD_2kLRbPnDtawQopEJ_UKtt22ud9U57gk8mqebZIeugNk[[#This Row],[IC50]]*POWER(10, -9), 10)</f>
        <v>3.1505722476689977</v>
      </c>
      <c r="P477" t="s">
        <v>72</v>
      </c>
      <c r="R477" t="s">
        <v>55</v>
      </c>
      <c r="W477">
        <v>0</v>
      </c>
      <c r="X477" t="s">
        <v>314</v>
      </c>
      <c r="Y477" t="s">
        <v>315</v>
      </c>
      <c r="Z477" t="s">
        <v>58</v>
      </c>
      <c r="AA477" t="s">
        <v>59</v>
      </c>
      <c r="AB477" t="s">
        <v>60</v>
      </c>
      <c r="AC477" t="s">
        <v>61</v>
      </c>
      <c r="AD477" t="s">
        <v>49</v>
      </c>
      <c r="AE477" t="s">
        <v>49</v>
      </c>
      <c r="AF477" t="s">
        <v>49</v>
      </c>
      <c r="AG477" t="s">
        <v>49</v>
      </c>
      <c r="AH477" t="s">
        <v>48</v>
      </c>
      <c r="AI477" t="s">
        <v>48</v>
      </c>
      <c r="AJ477" t="s">
        <v>48</v>
      </c>
      <c r="AK477" t="s">
        <v>62</v>
      </c>
      <c r="AL477" t="s">
        <v>63</v>
      </c>
      <c r="AM477" t="s">
        <v>61</v>
      </c>
      <c r="AN477" t="s">
        <v>64</v>
      </c>
      <c r="AO477" t="s">
        <v>316</v>
      </c>
      <c r="AP477">
        <v>1</v>
      </c>
      <c r="AQ477" t="s">
        <v>66</v>
      </c>
      <c r="AR477" t="s">
        <v>76</v>
      </c>
      <c r="AS477">
        <v>1993</v>
      </c>
      <c r="AT477" t="s">
        <v>49</v>
      </c>
      <c r="AU477" t="s">
        <v>48</v>
      </c>
      <c r="AV477" t="s">
        <v>48</v>
      </c>
      <c r="AW477" t="s">
        <v>48</v>
      </c>
    </row>
    <row r="478" spans="1:49" x14ac:dyDescent="0.3">
      <c r="A478" t="s">
        <v>1435</v>
      </c>
      <c r="B478" t="s">
        <v>48</v>
      </c>
      <c r="C478" t="s">
        <v>49</v>
      </c>
      <c r="D478">
        <v>284.36</v>
      </c>
      <c r="E478">
        <v>0</v>
      </c>
      <c r="F478">
        <v>3.83</v>
      </c>
      <c r="G478" t="s">
        <v>1436</v>
      </c>
      <c r="H478" t="s">
        <v>1437</v>
      </c>
      <c r="I478" t="s">
        <v>52</v>
      </c>
      <c r="J478" t="s">
        <v>53</v>
      </c>
      <c r="K478">
        <v>250000</v>
      </c>
      <c r="L478" t="s">
        <v>126</v>
      </c>
      <c r="M478">
        <f>DOWNLOAD_2kLRbPnDtawQopEJ_UKtt22ud9U57gk8mqebZIeugNk[[#This Row],[Standard Value]]</f>
        <v>250000</v>
      </c>
      <c r="N478">
        <f>-LOG(DOWNLOAD_2kLRbPnDtawQopEJ_UKtt22ud9U57gk8mqebZIeugNk[[#This Row],[IC50]]*POWER(10, -9), 10)</f>
        <v>3.6020599913279621</v>
      </c>
      <c r="P478" t="s">
        <v>72</v>
      </c>
      <c r="R478" t="s">
        <v>127</v>
      </c>
      <c r="W478">
        <v>0</v>
      </c>
      <c r="X478" t="s">
        <v>590</v>
      </c>
      <c r="Y478" t="s">
        <v>591</v>
      </c>
      <c r="Z478" t="s">
        <v>58</v>
      </c>
      <c r="AA478" t="s">
        <v>59</v>
      </c>
      <c r="AB478" t="s">
        <v>60</v>
      </c>
      <c r="AC478" t="s">
        <v>61</v>
      </c>
      <c r="AD478" t="s">
        <v>49</v>
      </c>
      <c r="AE478" t="s">
        <v>49</v>
      </c>
      <c r="AF478" t="s">
        <v>49</v>
      </c>
      <c r="AG478" t="s">
        <v>49</v>
      </c>
      <c r="AH478" t="s">
        <v>48</v>
      </c>
      <c r="AI478" t="s">
        <v>48</v>
      </c>
      <c r="AJ478" t="s">
        <v>48</v>
      </c>
      <c r="AK478" t="s">
        <v>62</v>
      </c>
      <c r="AL478" t="s">
        <v>63</v>
      </c>
      <c r="AM478" t="s">
        <v>61</v>
      </c>
      <c r="AN478" t="s">
        <v>64</v>
      </c>
      <c r="AO478" t="s">
        <v>592</v>
      </c>
      <c r="AP478">
        <v>1</v>
      </c>
      <c r="AQ478" t="s">
        <v>66</v>
      </c>
      <c r="AR478" t="s">
        <v>67</v>
      </c>
      <c r="AS478">
        <v>2014</v>
      </c>
      <c r="AT478" t="s">
        <v>49</v>
      </c>
      <c r="AU478" t="s">
        <v>48</v>
      </c>
      <c r="AV478" t="s">
        <v>48</v>
      </c>
      <c r="AW478" t="s">
        <v>48</v>
      </c>
    </row>
    <row r="479" spans="1:49" x14ac:dyDescent="0.3">
      <c r="A479" t="s">
        <v>1290</v>
      </c>
      <c r="B479" t="s">
        <v>48</v>
      </c>
      <c r="C479" t="s">
        <v>49</v>
      </c>
      <c r="D479">
        <v>438.36</v>
      </c>
      <c r="E479">
        <v>0</v>
      </c>
      <c r="F479">
        <v>1.8</v>
      </c>
      <c r="G479" t="s">
        <v>1438</v>
      </c>
      <c r="H479" t="s">
        <v>1292</v>
      </c>
      <c r="I479" t="s">
        <v>52</v>
      </c>
      <c r="J479" t="s">
        <v>53</v>
      </c>
      <c r="K479">
        <v>480</v>
      </c>
      <c r="L479" t="s">
        <v>126</v>
      </c>
      <c r="M479">
        <f>DOWNLOAD_2kLRbPnDtawQopEJ_UKtt22ud9U57gk8mqebZIeugNk[[#This Row],[Standard Value]]</f>
        <v>480</v>
      </c>
      <c r="N479">
        <f>-LOG(DOWNLOAD_2kLRbPnDtawQopEJ_UKtt22ud9U57gk8mqebZIeugNk[[#This Row],[IC50]]*POWER(10, -9), 10)</f>
        <v>6.3187587626244124</v>
      </c>
      <c r="O479">
        <v>6.32</v>
      </c>
      <c r="P479" t="s">
        <v>48</v>
      </c>
      <c r="R479" t="s">
        <v>127</v>
      </c>
      <c r="S479">
        <v>14.41</v>
      </c>
      <c r="T479">
        <v>0.28000000000000003</v>
      </c>
      <c r="U479">
        <v>4.5199999999999996</v>
      </c>
      <c r="V479">
        <v>5.55</v>
      </c>
      <c r="W479">
        <v>0</v>
      </c>
      <c r="X479" t="s">
        <v>519</v>
      </c>
      <c r="Y479" t="s">
        <v>520</v>
      </c>
      <c r="Z479" t="s">
        <v>58</v>
      </c>
      <c r="AA479" t="s">
        <v>59</v>
      </c>
      <c r="AB479" t="s">
        <v>60</v>
      </c>
      <c r="AC479" t="s">
        <v>61</v>
      </c>
      <c r="AD479" t="s">
        <v>49</v>
      </c>
      <c r="AE479" t="s">
        <v>49</v>
      </c>
      <c r="AF479" t="s">
        <v>49</v>
      </c>
      <c r="AG479" t="s">
        <v>49</v>
      </c>
      <c r="AH479" t="s">
        <v>48</v>
      </c>
      <c r="AI479" t="s">
        <v>48</v>
      </c>
      <c r="AJ479" t="s">
        <v>48</v>
      </c>
      <c r="AK479" t="s">
        <v>62</v>
      </c>
      <c r="AL479" t="s">
        <v>63</v>
      </c>
      <c r="AM479" t="s">
        <v>61</v>
      </c>
      <c r="AN479" t="s">
        <v>64</v>
      </c>
      <c r="AO479" t="s">
        <v>521</v>
      </c>
      <c r="AP479">
        <v>1</v>
      </c>
      <c r="AQ479" t="s">
        <v>66</v>
      </c>
      <c r="AR479" t="s">
        <v>67</v>
      </c>
      <c r="AS479">
        <v>2014</v>
      </c>
      <c r="AT479" t="s">
        <v>49</v>
      </c>
      <c r="AU479" t="s">
        <v>48</v>
      </c>
      <c r="AV479" t="s">
        <v>48</v>
      </c>
      <c r="AW479" t="s">
        <v>48</v>
      </c>
    </row>
    <row r="480" spans="1:49" x14ac:dyDescent="0.3">
      <c r="A480" t="s">
        <v>281</v>
      </c>
      <c r="B480" t="s">
        <v>282</v>
      </c>
      <c r="C480" t="s">
        <v>112</v>
      </c>
      <c r="D480">
        <v>331.35</v>
      </c>
      <c r="E480">
        <v>0</v>
      </c>
      <c r="F480">
        <v>1.58</v>
      </c>
      <c r="G480" t="s">
        <v>1439</v>
      </c>
      <c r="H480" t="s">
        <v>284</v>
      </c>
      <c r="I480" t="s">
        <v>52</v>
      </c>
      <c r="J480" t="s">
        <v>53</v>
      </c>
      <c r="K480">
        <v>270</v>
      </c>
      <c r="L480" t="s">
        <v>126</v>
      </c>
      <c r="M480">
        <f>DOWNLOAD_2kLRbPnDtawQopEJ_UKtt22ud9U57gk8mqebZIeugNk[[#This Row],[Standard Value]]</f>
        <v>270</v>
      </c>
      <c r="N480">
        <f>-LOG(DOWNLOAD_2kLRbPnDtawQopEJ_UKtt22ud9U57gk8mqebZIeugNk[[#This Row],[IC50]]*POWER(10, -9), 10)</f>
        <v>6.5686362358410122</v>
      </c>
      <c r="O480">
        <v>6.57</v>
      </c>
      <c r="P480" t="s">
        <v>48</v>
      </c>
      <c r="R480" t="s">
        <v>127</v>
      </c>
      <c r="S480">
        <v>19.82</v>
      </c>
      <c r="T480">
        <v>0.37</v>
      </c>
      <c r="U480">
        <v>4.99</v>
      </c>
      <c r="V480">
        <v>8.81</v>
      </c>
      <c r="W480">
        <v>0</v>
      </c>
      <c r="X480" t="s">
        <v>519</v>
      </c>
      <c r="Y480" t="s">
        <v>520</v>
      </c>
      <c r="Z480" t="s">
        <v>58</v>
      </c>
      <c r="AA480" t="s">
        <v>59</v>
      </c>
      <c r="AB480" t="s">
        <v>60</v>
      </c>
      <c r="AC480" t="s">
        <v>61</v>
      </c>
      <c r="AD480" t="s">
        <v>49</v>
      </c>
      <c r="AE480" t="s">
        <v>49</v>
      </c>
      <c r="AF480" t="s">
        <v>49</v>
      </c>
      <c r="AG480" t="s">
        <v>49</v>
      </c>
      <c r="AH480" t="s">
        <v>48</v>
      </c>
      <c r="AI480" t="s">
        <v>48</v>
      </c>
      <c r="AJ480" t="s">
        <v>48</v>
      </c>
      <c r="AK480" t="s">
        <v>62</v>
      </c>
      <c r="AL480" t="s">
        <v>63</v>
      </c>
      <c r="AM480" t="s">
        <v>61</v>
      </c>
      <c r="AN480" t="s">
        <v>64</v>
      </c>
      <c r="AO480" t="s">
        <v>521</v>
      </c>
      <c r="AP480">
        <v>1</v>
      </c>
      <c r="AQ480" t="s">
        <v>66</v>
      </c>
      <c r="AR480" t="s">
        <v>67</v>
      </c>
      <c r="AS480">
        <v>2014</v>
      </c>
      <c r="AT480" t="s">
        <v>49</v>
      </c>
      <c r="AU480" t="s">
        <v>48</v>
      </c>
      <c r="AV480" t="s">
        <v>48</v>
      </c>
      <c r="AW480" t="s">
        <v>48</v>
      </c>
    </row>
    <row r="481" spans="1:49" x14ac:dyDescent="0.3">
      <c r="A481" t="s">
        <v>1440</v>
      </c>
      <c r="B481" t="s">
        <v>48</v>
      </c>
      <c r="C481" t="s">
        <v>49</v>
      </c>
      <c r="D481">
        <v>390.45</v>
      </c>
      <c r="E481">
        <v>0</v>
      </c>
      <c r="F481">
        <v>3.48</v>
      </c>
      <c r="G481" t="s">
        <v>1441</v>
      </c>
      <c r="H481" t="s">
        <v>1442</v>
      </c>
      <c r="I481" t="s">
        <v>52</v>
      </c>
      <c r="J481" t="s">
        <v>53</v>
      </c>
      <c r="K481">
        <v>4810</v>
      </c>
      <c r="L481" t="s">
        <v>126</v>
      </c>
      <c r="M481">
        <f>DOWNLOAD_2kLRbPnDtawQopEJ_UKtt22ud9U57gk8mqebZIeugNk[[#This Row],[Standard Value]]</f>
        <v>4810</v>
      </c>
      <c r="N481">
        <f>-LOG(DOWNLOAD_2kLRbPnDtawQopEJ_UKtt22ud9U57gk8mqebZIeugNk[[#This Row],[IC50]]*POWER(10, -9), 10)</f>
        <v>5.3178549236261672</v>
      </c>
      <c r="O481">
        <v>5.32</v>
      </c>
      <c r="P481" t="s">
        <v>48</v>
      </c>
      <c r="R481" t="s">
        <v>127</v>
      </c>
      <c r="S481">
        <v>13.62</v>
      </c>
      <c r="T481">
        <v>0.25</v>
      </c>
      <c r="U481">
        <v>1.84</v>
      </c>
      <c r="V481">
        <v>4.92</v>
      </c>
      <c r="W481">
        <v>0</v>
      </c>
      <c r="X481" t="s">
        <v>128</v>
      </c>
      <c r="Y481" t="s">
        <v>129</v>
      </c>
      <c r="Z481" t="s">
        <v>58</v>
      </c>
      <c r="AA481" t="s">
        <v>59</v>
      </c>
      <c r="AB481" t="s">
        <v>60</v>
      </c>
      <c r="AC481" t="s">
        <v>61</v>
      </c>
      <c r="AD481" t="s">
        <v>49</v>
      </c>
      <c r="AE481" t="s">
        <v>49</v>
      </c>
      <c r="AF481" t="s">
        <v>49</v>
      </c>
      <c r="AG481" t="s">
        <v>49</v>
      </c>
      <c r="AH481" t="s">
        <v>48</v>
      </c>
      <c r="AI481" t="s">
        <v>48</v>
      </c>
      <c r="AJ481" t="s">
        <v>48</v>
      </c>
      <c r="AK481" t="s">
        <v>62</v>
      </c>
      <c r="AL481" t="s">
        <v>63</v>
      </c>
      <c r="AM481" t="s">
        <v>61</v>
      </c>
      <c r="AN481" t="s">
        <v>64</v>
      </c>
      <c r="AO481" t="s">
        <v>130</v>
      </c>
      <c r="AP481">
        <v>1</v>
      </c>
      <c r="AQ481" t="s">
        <v>66</v>
      </c>
      <c r="AR481" t="s">
        <v>131</v>
      </c>
      <c r="AS481">
        <v>2014</v>
      </c>
      <c r="AT481" t="s">
        <v>49</v>
      </c>
      <c r="AU481" t="s">
        <v>48</v>
      </c>
      <c r="AV481" t="s">
        <v>48</v>
      </c>
      <c r="AW481" t="s">
        <v>48</v>
      </c>
    </row>
    <row r="482" spans="1:49" x14ac:dyDescent="0.3">
      <c r="A482" t="s">
        <v>1443</v>
      </c>
      <c r="B482" t="s">
        <v>48</v>
      </c>
      <c r="C482" t="s">
        <v>49</v>
      </c>
      <c r="D482">
        <v>291.33999999999997</v>
      </c>
      <c r="E482">
        <v>0</v>
      </c>
      <c r="F482">
        <v>1.93</v>
      </c>
      <c r="G482" t="s">
        <v>479</v>
      </c>
      <c r="H482" t="s">
        <v>1444</v>
      </c>
      <c r="I482" t="s">
        <v>52</v>
      </c>
      <c r="J482" t="s">
        <v>53</v>
      </c>
      <c r="K482">
        <v>420</v>
      </c>
      <c r="L482" t="s">
        <v>126</v>
      </c>
      <c r="M482">
        <f>DOWNLOAD_2kLRbPnDtawQopEJ_UKtt22ud9U57gk8mqebZIeugNk[[#This Row],[Standard Value]]</f>
        <v>420</v>
      </c>
      <c r="N482">
        <f>-LOG(DOWNLOAD_2kLRbPnDtawQopEJ_UKtt22ud9U57gk8mqebZIeugNk[[#This Row],[IC50]]*POWER(10, -9), 10)</f>
        <v>6.3767507096020992</v>
      </c>
      <c r="O482">
        <v>6.38</v>
      </c>
      <c r="P482" t="s">
        <v>48</v>
      </c>
      <c r="R482" t="s">
        <v>127</v>
      </c>
      <c r="S482">
        <v>21.89</v>
      </c>
      <c r="T482">
        <v>0.44</v>
      </c>
      <c r="U482">
        <v>4.45</v>
      </c>
      <c r="V482">
        <v>6.64</v>
      </c>
      <c r="W482">
        <v>0</v>
      </c>
      <c r="X482" t="s">
        <v>128</v>
      </c>
      <c r="Y482" t="s">
        <v>129</v>
      </c>
      <c r="Z482" t="s">
        <v>58</v>
      </c>
      <c r="AA482" t="s">
        <v>59</v>
      </c>
      <c r="AB482" t="s">
        <v>60</v>
      </c>
      <c r="AC482" t="s">
        <v>61</v>
      </c>
      <c r="AD482" t="s">
        <v>49</v>
      </c>
      <c r="AE482" t="s">
        <v>49</v>
      </c>
      <c r="AF482" t="s">
        <v>49</v>
      </c>
      <c r="AG482" t="s">
        <v>49</v>
      </c>
      <c r="AH482" t="s">
        <v>48</v>
      </c>
      <c r="AI482" t="s">
        <v>48</v>
      </c>
      <c r="AJ482" t="s">
        <v>48</v>
      </c>
      <c r="AK482" t="s">
        <v>62</v>
      </c>
      <c r="AL482" t="s">
        <v>63</v>
      </c>
      <c r="AM482" t="s">
        <v>61</v>
      </c>
      <c r="AN482" t="s">
        <v>64</v>
      </c>
      <c r="AO482" t="s">
        <v>130</v>
      </c>
      <c r="AP482">
        <v>1</v>
      </c>
      <c r="AQ482" t="s">
        <v>66</v>
      </c>
      <c r="AR482" t="s">
        <v>131</v>
      </c>
      <c r="AS482">
        <v>2014</v>
      </c>
      <c r="AT482" t="s">
        <v>49</v>
      </c>
      <c r="AU482" t="s">
        <v>48</v>
      </c>
      <c r="AV482" t="s">
        <v>48</v>
      </c>
      <c r="AW482" t="s">
        <v>48</v>
      </c>
    </row>
    <row r="483" spans="1:49" x14ac:dyDescent="0.3">
      <c r="A483" t="s">
        <v>1445</v>
      </c>
      <c r="B483" t="s">
        <v>48</v>
      </c>
      <c r="C483" t="s">
        <v>49</v>
      </c>
      <c r="D483">
        <v>298.35000000000002</v>
      </c>
      <c r="E483">
        <v>0</v>
      </c>
      <c r="F483">
        <v>2.78</v>
      </c>
      <c r="G483" t="s">
        <v>1217</v>
      </c>
      <c r="H483" t="s">
        <v>1446</v>
      </c>
      <c r="I483" t="s">
        <v>52</v>
      </c>
      <c r="J483" t="s">
        <v>53</v>
      </c>
      <c r="K483">
        <v>3400</v>
      </c>
      <c r="L483" t="s">
        <v>126</v>
      </c>
      <c r="M483">
        <f>DOWNLOAD_2kLRbPnDtawQopEJ_UKtt22ud9U57gk8mqebZIeugNk[[#This Row],[Standard Value]]</f>
        <v>3400</v>
      </c>
      <c r="N483">
        <f>-LOG(DOWNLOAD_2kLRbPnDtawQopEJ_UKtt22ud9U57gk8mqebZIeugNk[[#This Row],[IC50]]*POWER(10, -9), 10)</f>
        <v>5.4685210829577438</v>
      </c>
      <c r="O483">
        <v>5.47</v>
      </c>
      <c r="P483" t="s">
        <v>48</v>
      </c>
      <c r="R483" t="s">
        <v>127</v>
      </c>
      <c r="S483">
        <v>18.329999999999998</v>
      </c>
      <c r="T483">
        <v>0.34</v>
      </c>
      <c r="U483">
        <v>2.69</v>
      </c>
      <c r="V483">
        <v>6.58</v>
      </c>
      <c r="W483">
        <v>0</v>
      </c>
      <c r="X483" t="s">
        <v>128</v>
      </c>
      <c r="Y483" t="s">
        <v>129</v>
      </c>
      <c r="Z483" t="s">
        <v>58</v>
      </c>
      <c r="AA483" t="s">
        <v>59</v>
      </c>
      <c r="AB483" t="s">
        <v>60</v>
      </c>
      <c r="AC483" t="s">
        <v>61</v>
      </c>
      <c r="AD483" t="s">
        <v>49</v>
      </c>
      <c r="AE483" t="s">
        <v>49</v>
      </c>
      <c r="AF483" t="s">
        <v>49</v>
      </c>
      <c r="AG483" t="s">
        <v>49</v>
      </c>
      <c r="AH483" t="s">
        <v>48</v>
      </c>
      <c r="AI483" t="s">
        <v>48</v>
      </c>
      <c r="AJ483" t="s">
        <v>48</v>
      </c>
      <c r="AK483" t="s">
        <v>62</v>
      </c>
      <c r="AL483" t="s">
        <v>63</v>
      </c>
      <c r="AM483" t="s">
        <v>61</v>
      </c>
      <c r="AN483" t="s">
        <v>64</v>
      </c>
      <c r="AO483" t="s">
        <v>130</v>
      </c>
      <c r="AP483">
        <v>1</v>
      </c>
      <c r="AQ483" t="s">
        <v>66</v>
      </c>
      <c r="AR483" t="s">
        <v>131</v>
      </c>
      <c r="AS483">
        <v>2014</v>
      </c>
      <c r="AT483" t="s">
        <v>49</v>
      </c>
      <c r="AU483" t="s">
        <v>48</v>
      </c>
      <c r="AV483" t="s">
        <v>48</v>
      </c>
      <c r="AW483" t="s">
        <v>48</v>
      </c>
    </row>
    <row r="484" spans="1:49" x14ac:dyDescent="0.3">
      <c r="A484" t="s">
        <v>1447</v>
      </c>
      <c r="B484" t="s">
        <v>48</v>
      </c>
      <c r="C484" t="s">
        <v>49</v>
      </c>
      <c r="D484">
        <v>255.27</v>
      </c>
      <c r="E484">
        <v>0</v>
      </c>
      <c r="F484">
        <v>2.33</v>
      </c>
      <c r="G484" t="s">
        <v>561</v>
      </c>
      <c r="H484" t="s">
        <v>1448</v>
      </c>
      <c r="I484" t="s">
        <v>52</v>
      </c>
      <c r="J484" t="s">
        <v>53</v>
      </c>
      <c r="K484">
        <v>32</v>
      </c>
      <c r="L484" t="s">
        <v>54</v>
      </c>
      <c r="M484">
        <f>DOWNLOAD_2kLRbPnDtawQopEJ_UKtt22ud9U57gk8mqebZIeugNk[[#This Row],[Standard Value]]/DOWNLOAD_2kLRbPnDtawQopEJ_UKtt22ud9U57gk8mqebZIeugNk[[#This Row],[Molecular Weight]]*1000*1000</f>
        <v>125357.46464527756</v>
      </c>
      <c r="N484">
        <f>-LOG(DOWNLOAD_2kLRbPnDtawQopEJ_UKtt22ud9U57gk8mqebZIeugNk[[#This Row],[IC50]]*POWER(10, -9), 10)</f>
        <v>3.9018498000565396</v>
      </c>
      <c r="P484" t="s">
        <v>48</v>
      </c>
      <c r="R484" t="s">
        <v>55</v>
      </c>
      <c r="W484">
        <v>0</v>
      </c>
      <c r="X484" t="s">
        <v>235</v>
      </c>
      <c r="Y484" t="s">
        <v>236</v>
      </c>
      <c r="Z484" t="s">
        <v>58</v>
      </c>
      <c r="AA484" t="s">
        <v>59</v>
      </c>
      <c r="AB484" t="s">
        <v>60</v>
      </c>
      <c r="AC484" t="s">
        <v>61</v>
      </c>
      <c r="AD484" t="s">
        <v>49</v>
      </c>
      <c r="AE484" t="s">
        <v>49</v>
      </c>
      <c r="AF484" t="s">
        <v>49</v>
      </c>
      <c r="AG484" t="s">
        <v>49</v>
      </c>
      <c r="AH484" t="s">
        <v>48</v>
      </c>
      <c r="AI484" t="s">
        <v>48</v>
      </c>
      <c r="AJ484" t="s">
        <v>48</v>
      </c>
      <c r="AK484" t="s">
        <v>62</v>
      </c>
      <c r="AL484" t="s">
        <v>63</v>
      </c>
      <c r="AM484" t="s">
        <v>61</v>
      </c>
      <c r="AN484" t="s">
        <v>64</v>
      </c>
      <c r="AO484" t="s">
        <v>237</v>
      </c>
      <c r="AP484">
        <v>1</v>
      </c>
      <c r="AQ484" t="s">
        <v>66</v>
      </c>
      <c r="AR484" t="s">
        <v>67</v>
      </c>
      <c r="AS484">
        <v>2005</v>
      </c>
      <c r="AT484" t="s">
        <v>49</v>
      </c>
      <c r="AU484" t="s">
        <v>48</v>
      </c>
      <c r="AV484" t="s">
        <v>48</v>
      </c>
      <c r="AW484" t="s">
        <v>48</v>
      </c>
    </row>
    <row r="485" spans="1:49" x14ac:dyDescent="0.3">
      <c r="A485" t="s">
        <v>1449</v>
      </c>
      <c r="B485" t="s">
        <v>48</v>
      </c>
      <c r="C485" t="s">
        <v>49</v>
      </c>
      <c r="D485">
        <v>541.6</v>
      </c>
      <c r="E485">
        <v>1</v>
      </c>
      <c r="F485">
        <v>2.2599999999999998</v>
      </c>
      <c r="G485" t="s">
        <v>1410</v>
      </c>
      <c r="H485" t="s">
        <v>1450</v>
      </c>
      <c r="I485" t="s">
        <v>52</v>
      </c>
      <c r="J485" t="s">
        <v>53</v>
      </c>
      <c r="K485">
        <v>0.125</v>
      </c>
      <c r="L485" t="s">
        <v>54</v>
      </c>
      <c r="M485">
        <f>DOWNLOAD_2kLRbPnDtawQopEJ_UKtt22ud9U57gk8mqebZIeugNk[[#This Row],[Standard Value]]/DOWNLOAD_2kLRbPnDtawQopEJ_UKtt22ud9U57gk8mqebZIeugNk[[#This Row],[Molecular Weight]]*1000*1000</f>
        <v>230.79763663220086</v>
      </c>
      <c r="N485">
        <f>-LOG(DOWNLOAD_2kLRbPnDtawQopEJ_UKtt22ud9U57gk8mqebZIeugNk[[#This Row],[IC50]]*POWER(10, -9), 10)</f>
        <v>6.6367686426690309</v>
      </c>
      <c r="P485" t="s">
        <v>48</v>
      </c>
      <c r="R485" t="s">
        <v>55</v>
      </c>
      <c r="W485">
        <v>0</v>
      </c>
      <c r="X485" t="s">
        <v>86</v>
      </c>
      <c r="Y485" t="s">
        <v>87</v>
      </c>
      <c r="Z485" t="s">
        <v>58</v>
      </c>
      <c r="AA485" t="s">
        <v>59</v>
      </c>
      <c r="AB485" t="s">
        <v>60</v>
      </c>
      <c r="AC485" t="s">
        <v>61</v>
      </c>
      <c r="AD485" t="s">
        <v>49</v>
      </c>
      <c r="AE485" t="s">
        <v>49</v>
      </c>
      <c r="AF485" t="s">
        <v>49</v>
      </c>
      <c r="AG485" t="s">
        <v>49</v>
      </c>
      <c r="AH485" t="s">
        <v>48</v>
      </c>
      <c r="AI485" t="s">
        <v>48</v>
      </c>
      <c r="AJ485" t="s">
        <v>48</v>
      </c>
      <c r="AK485" t="s">
        <v>62</v>
      </c>
      <c r="AL485" t="s">
        <v>63</v>
      </c>
      <c r="AM485" t="s">
        <v>61</v>
      </c>
      <c r="AN485" t="s">
        <v>64</v>
      </c>
      <c r="AO485" t="s">
        <v>88</v>
      </c>
      <c r="AP485">
        <v>1</v>
      </c>
      <c r="AQ485" t="s">
        <v>66</v>
      </c>
      <c r="AR485" t="s">
        <v>76</v>
      </c>
      <c r="AS485">
        <v>2001</v>
      </c>
      <c r="AT485" t="s">
        <v>49</v>
      </c>
      <c r="AU485" t="s">
        <v>48</v>
      </c>
      <c r="AV485" t="s">
        <v>48</v>
      </c>
      <c r="AW485" t="s">
        <v>48</v>
      </c>
    </row>
    <row r="486" spans="1:49" x14ac:dyDescent="0.3">
      <c r="A486" t="s">
        <v>1451</v>
      </c>
      <c r="B486" t="s">
        <v>48</v>
      </c>
      <c r="C486" t="s">
        <v>49</v>
      </c>
      <c r="D486">
        <v>417.46</v>
      </c>
      <c r="E486">
        <v>0</v>
      </c>
      <c r="F486">
        <v>3.42</v>
      </c>
      <c r="G486" t="s">
        <v>1452</v>
      </c>
      <c r="H486" t="s">
        <v>1453</v>
      </c>
      <c r="I486" t="s">
        <v>52</v>
      </c>
      <c r="J486" t="s">
        <v>53</v>
      </c>
      <c r="K486">
        <v>3.8</v>
      </c>
      <c r="L486" t="s">
        <v>54</v>
      </c>
      <c r="M486">
        <f>DOWNLOAD_2kLRbPnDtawQopEJ_UKtt22ud9U57gk8mqebZIeugNk[[#This Row],[Standard Value]]/DOWNLOAD_2kLRbPnDtawQopEJ_UKtt22ud9U57gk8mqebZIeugNk[[#This Row],[Molecular Weight]]*1000*1000</f>
        <v>9102.6685191395591</v>
      </c>
      <c r="N486">
        <f>-LOG(DOWNLOAD_2kLRbPnDtawQopEJ_UKtt22ud9U57gk8mqebZIeugNk[[#This Row],[IC50]]*POWER(10, -9), 10)</f>
        <v>5.0408312721572761</v>
      </c>
      <c r="P486" t="s">
        <v>48</v>
      </c>
      <c r="R486" t="s">
        <v>55</v>
      </c>
      <c r="W486">
        <v>0</v>
      </c>
      <c r="X486" t="s">
        <v>98</v>
      </c>
      <c r="Y486" t="s">
        <v>99</v>
      </c>
      <c r="Z486" t="s">
        <v>58</v>
      </c>
      <c r="AA486" t="s">
        <v>59</v>
      </c>
      <c r="AB486" t="s">
        <v>60</v>
      </c>
      <c r="AC486" t="s">
        <v>49</v>
      </c>
      <c r="AD486" t="s">
        <v>49</v>
      </c>
      <c r="AE486" t="s">
        <v>49</v>
      </c>
      <c r="AF486" t="s">
        <v>49</v>
      </c>
      <c r="AG486" t="s">
        <v>49</v>
      </c>
      <c r="AH486" t="s">
        <v>48</v>
      </c>
      <c r="AI486" t="s">
        <v>48</v>
      </c>
      <c r="AJ486" t="s">
        <v>48</v>
      </c>
      <c r="AK486" t="s">
        <v>62</v>
      </c>
      <c r="AL486" t="s">
        <v>63</v>
      </c>
      <c r="AM486" t="s">
        <v>61</v>
      </c>
      <c r="AN486" t="s">
        <v>64</v>
      </c>
      <c r="AO486" t="s">
        <v>100</v>
      </c>
      <c r="AP486">
        <v>1</v>
      </c>
      <c r="AQ486" t="s">
        <v>66</v>
      </c>
      <c r="AR486" t="s">
        <v>67</v>
      </c>
      <c r="AS486">
        <v>1991</v>
      </c>
      <c r="AT486" t="s">
        <v>49</v>
      </c>
      <c r="AU486" t="s">
        <v>48</v>
      </c>
      <c r="AV486" t="s">
        <v>48</v>
      </c>
      <c r="AW486" t="s">
        <v>48</v>
      </c>
    </row>
    <row r="487" spans="1:49" x14ac:dyDescent="0.3">
      <c r="A487" t="s">
        <v>998</v>
      </c>
      <c r="B487" t="s">
        <v>48</v>
      </c>
      <c r="C487" t="s">
        <v>49</v>
      </c>
      <c r="D487">
        <v>349.34</v>
      </c>
      <c r="E487">
        <v>0</v>
      </c>
      <c r="F487">
        <v>1.72</v>
      </c>
      <c r="G487" t="s">
        <v>470</v>
      </c>
      <c r="H487" t="s">
        <v>1000</v>
      </c>
      <c r="I487" t="s">
        <v>52</v>
      </c>
      <c r="J487" t="s">
        <v>53</v>
      </c>
      <c r="K487">
        <v>2.8</v>
      </c>
      <c r="L487" t="s">
        <v>54</v>
      </c>
      <c r="M487">
        <f>DOWNLOAD_2kLRbPnDtawQopEJ_UKtt22ud9U57gk8mqebZIeugNk[[#This Row],[Standard Value]]/DOWNLOAD_2kLRbPnDtawQopEJ_UKtt22ud9U57gk8mqebZIeugNk[[#This Row],[Molecular Weight]]*1000*1000</f>
        <v>8015.1142153775691</v>
      </c>
      <c r="N487">
        <f>-LOG(DOWNLOAD_2kLRbPnDtawQopEJ_UKtt22ud9U57gk8mqebZIeugNk[[#This Row],[IC50]]*POWER(10, -9), 10)</f>
        <v>5.0960902845693736</v>
      </c>
      <c r="P487" t="s">
        <v>48</v>
      </c>
      <c r="R487" t="s">
        <v>55</v>
      </c>
      <c r="W487">
        <v>1</v>
      </c>
      <c r="X487" t="s">
        <v>98</v>
      </c>
      <c r="Y487" t="s">
        <v>99</v>
      </c>
      <c r="Z487" t="s">
        <v>58</v>
      </c>
      <c r="AA487" t="s">
        <v>59</v>
      </c>
      <c r="AB487" t="s">
        <v>60</v>
      </c>
      <c r="AC487" t="s">
        <v>49</v>
      </c>
      <c r="AD487" t="s">
        <v>49</v>
      </c>
      <c r="AE487" t="s">
        <v>49</v>
      </c>
      <c r="AF487" t="s">
        <v>49</v>
      </c>
      <c r="AG487" t="s">
        <v>49</v>
      </c>
      <c r="AH487" t="s">
        <v>48</v>
      </c>
      <c r="AI487" t="s">
        <v>48</v>
      </c>
      <c r="AJ487" t="s">
        <v>48</v>
      </c>
      <c r="AK487" t="s">
        <v>62</v>
      </c>
      <c r="AL487" t="s">
        <v>63</v>
      </c>
      <c r="AM487" t="s">
        <v>61</v>
      </c>
      <c r="AN487" t="s">
        <v>64</v>
      </c>
      <c r="AO487" t="s">
        <v>100</v>
      </c>
      <c r="AP487">
        <v>1</v>
      </c>
      <c r="AQ487" t="s">
        <v>66</v>
      </c>
      <c r="AR487" t="s">
        <v>67</v>
      </c>
      <c r="AS487">
        <v>1991</v>
      </c>
      <c r="AT487" t="s">
        <v>49</v>
      </c>
      <c r="AU487" t="s">
        <v>48</v>
      </c>
      <c r="AV487" t="s">
        <v>48</v>
      </c>
      <c r="AW487" t="s">
        <v>48</v>
      </c>
    </row>
    <row r="488" spans="1:49" x14ac:dyDescent="0.3">
      <c r="A488" t="s">
        <v>1454</v>
      </c>
      <c r="B488" t="s">
        <v>48</v>
      </c>
      <c r="C488" t="s">
        <v>49</v>
      </c>
      <c r="D488">
        <v>359.4</v>
      </c>
      <c r="E488">
        <v>0</v>
      </c>
      <c r="F488">
        <v>2.35</v>
      </c>
      <c r="G488" t="s">
        <v>1455</v>
      </c>
      <c r="H488" t="s">
        <v>1456</v>
      </c>
      <c r="I488" t="s">
        <v>52</v>
      </c>
      <c r="J488" t="s">
        <v>53</v>
      </c>
      <c r="K488">
        <v>0.75</v>
      </c>
      <c r="L488" t="s">
        <v>54</v>
      </c>
      <c r="M488">
        <f>DOWNLOAD_2kLRbPnDtawQopEJ_UKtt22ud9U57gk8mqebZIeugNk[[#This Row],[Standard Value]]/DOWNLOAD_2kLRbPnDtawQopEJ_UKtt22ud9U57gk8mqebZIeugNk[[#This Row],[Molecular Weight]]*1000*1000</f>
        <v>2086.8113522537569</v>
      </c>
      <c r="N488">
        <f>-LOG(DOWNLOAD_2kLRbPnDtawQopEJ_UKtt22ud9U57gk8mqebZIeugNk[[#This Row],[IC50]]*POWER(10, -9), 10)</f>
        <v>5.6805168093812544</v>
      </c>
      <c r="P488" t="s">
        <v>48</v>
      </c>
      <c r="R488" t="s">
        <v>55</v>
      </c>
      <c r="W488">
        <v>0</v>
      </c>
      <c r="X488" t="s">
        <v>80</v>
      </c>
      <c r="Y488" t="s">
        <v>81</v>
      </c>
      <c r="Z488" t="s">
        <v>58</v>
      </c>
      <c r="AA488" t="s">
        <v>59</v>
      </c>
      <c r="AB488" t="s">
        <v>60</v>
      </c>
      <c r="AC488" t="s">
        <v>61</v>
      </c>
      <c r="AD488" t="s">
        <v>49</v>
      </c>
      <c r="AE488" t="s">
        <v>49</v>
      </c>
      <c r="AF488" t="s">
        <v>49</v>
      </c>
      <c r="AG488" t="s">
        <v>49</v>
      </c>
      <c r="AH488" t="s">
        <v>48</v>
      </c>
      <c r="AI488" t="s">
        <v>48</v>
      </c>
      <c r="AJ488" t="s">
        <v>48</v>
      </c>
      <c r="AK488" t="s">
        <v>62</v>
      </c>
      <c r="AL488" t="s">
        <v>63</v>
      </c>
      <c r="AM488" t="s">
        <v>61</v>
      </c>
      <c r="AN488" t="s">
        <v>64</v>
      </c>
      <c r="AO488" t="s">
        <v>82</v>
      </c>
      <c r="AP488">
        <v>1</v>
      </c>
      <c r="AQ488" t="s">
        <v>66</v>
      </c>
      <c r="AR488" t="s">
        <v>67</v>
      </c>
      <c r="AS488">
        <v>1993</v>
      </c>
      <c r="AT488" t="s">
        <v>49</v>
      </c>
      <c r="AU488" t="s">
        <v>48</v>
      </c>
      <c r="AV488" t="s">
        <v>48</v>
      </c>
      <c r="AW488" t="s">
        <v>48</v>
      </c>
    </row>
    <row r="489" spans="1:49" x14ac:dyDescent="0.3">
      <c r="A489" t="s">
        <v>1457</v>
      </c>
      <c r="B489" t="s">
        <v>48</v>
      </c>
      <c r="C489" t="s">
        <v>49</v>
      </c>
      <c r="D489">
        <v>382.42</v>
      </c>
      <c r="E489">
        <v>0</v>
      </c>
      <c r="F489">
        <v>3.54</v>
      </c>
      <c r="G489" t="s">
        <v>157</v>
      </c>
      <c r="H489" t="s">
        <v>1458</v>
      </c>
      <c r="I489" t="s">
        <v>52</v>
      </c>
      <c r="J489" t="s">
        <v>53</v>
      </c>
      <c r="K489">
        <v>500</v>
      </c>
      <c r="L489" t="s">
        <v>126</v>
      </c>
      <c r="M489">
        <f>DOWNLOAD_2kLRbPnDtawQopEJ_UKtt22ud9U57gk8mqebZIeugNk[[#This Row],[Standard Value]]</f>
        <v>500</v>
      </c>
      <c r="N489">
        <f>-LOG(DOWNLOAD_2kLRbPnDtawQopEJ_UKtt22ud9U57gk8mqebZIeugNk[[#This Row],[IC50]]*POWER(10, -9), 10)</f>
        <v>6.3010299956639804</v>
      </c>
      <c r="O489">
        <v>6.3</v>
      </c>
      <c r="P489" t="s">
        <v>48</v>
      </c>
      <c r="R489" t="s">
        <v>127</v>
      </c>
      <c r="S489">
        <v>16.48</v>
      </c>
      <c r="T489">
        <v>0.32</v>
      </c>
      <c r="U489">
        <v>2.76</v>
      </c>
      <c r="V489">
        <v>8.39</v>
      </c>
      <c r="W489">
        <v>0</v>
      </c>
      <c r="X489" t="s">
        <v>334</v>
      </c>
      <c r="Y489" t="s">
        <v>335</v>
      </c>
      <c r="Z489" t="s">
        <v>58</v>
      </c>
      <c r="AA489" t="s">
        <v>59</v>
      </c>
      <c r="AB489" t="s">
        <v>60</v>
      </c>
      <c r="AC489" t="s">
        <v>61</v>
      </c>
      <c r="AD489" t="s">
        <v>49</v>
      </c>
      <c r="AE489" t="s">
        <v>49</v>
      </c>
      <c r="AF489" t="s">
        <v>49</v>
      </c>
      <c r="AG489" t="s">
        <v>49</v>
      </c>
      <c r="AH489" t="s">
        <v>48</v>
      </c>
      <c r="AI489" t="s">
        <v>48</v>
      </c>
      <c r="AJ489" t="s">
        <v>48</v>
      </c>
      <c r="AK489" t="s">
        <v>62</v>
      </c>
      <c r="AL489" t="s">
        <v>63</v>
      </c>
      <c r="AM489" t="s">
        <v>61</v>
      </c>
      <c r="AN489" t="s">
        <v>64</v>
      </c>
      <c r="AO489" t="s">
        <v>336</v>
      </c>
      <c r="AP489">
        <v>1</v>
      </c>
      <c r="AQ489" t="s">
        <v>66</v>
      </c>
      <c r="AR489" t="s">
        <v>76</v>
      </c>
      <c r="AS489">
        <v>2006</v>
      </c>
      <c r="AT489" t="s">
        <v>49</v>
      </c>
      <c r="AU489" t="s">
        <v>48</v>
      </c>
      <c r="AV489" t="s">
        <v>48</v>
      </c>
      <c r="AW489" t="s">
        <v>48</v>
      </c>
    </row>
    <row r="490" spans="1:49" x14ac:dyDescent="0.3">
      <c r="A490" t="s">
        <v>1459</v>
      </c>
      <c r="B490" t="s">
        <v>48</v>
      </c>
      <c r="C490" t="s">
        <v>49</v>
      </c>
      <c r="D490">
        <v>370.38</v>
      </c>
      <c r="E490">
        <v>0</v>
      </c>
      <c r="F490">
        <v>4.18</v>
      </c>
      <c r="G490" t="s">
        <v>482</v>
      </c>
      <c r="H490" t="s">
        <v>1460</v>
      </c>
      <c r="I490" t="s">
        <v>52</v>
      </c>
      <c r="J490" t="s">
        <v>53</v>
      </c>
      <c r="K490">
        <v>1000</v>
      </c>
      <c r="L490" t="s">
        <v>126</v>
      </c>
      <c r="M490">
        <f>DOWNLOAD_2kLRbPnDtawQopEJ_UKtt22ud9U57gk8mqebZIeugNk[[#This Row],[Standard Value]]</f>
        <v>1000</v>
      </c>
      <c r="N490">
        <f>-LOG(DOWNLOAD_2kLRbPnDtawQopEJ_UKtt22ud9U57gk8mqebZIeugNk[[#This Row],[IC50]]*POWER(10, -9), 10)</f>
        <v>5.9999999999999991</v>
      </c>
      <c r="O490">
        <v>6</v>
      </c>
      <c r="P490" t="s">
        <v>48</v>
      </c>
      <c r="R490" t="s">
        <v>127</v>
      </c>
      <c r="S490">
        <v>16.2</v>
      </c>
      <c r="T490">
        <v>0.32</v>
      </c>
      <c r="U490">
        <v>1.82</v>
      </c>
      <c r="V490">
        <v>10.94</v>
      </c>
      <c r="W490">
        <v>0</v>
      </c>
      <c r="X490" t="s">
        <v>334</v>
      </c>
      <c r="Y490" t="s">
        <v>335</v>
      </c>
      <c r="Z490" t="s">
        <v>58</v>
      </c>
      <c r="AA490" t="s">
        <v>59</v>
      </c>
      <c r="AB490" t="s">
        <v>60</v>
      </c>
      <c r="AC490" t="s">
        <v>61</v>
      </c>
      <c r="AD490" t="s">
        <v>49</v>
      </c>
      <c r="AE490" t="s">
        <v>49</v>
      </c>
      <c r="AF490" t="s">
        <v>49</v>
      </c>
      <c r="AG490" t="s">
        <v>49</v>
      </c>
      <c r="AH490" t="s">
        <v>48</v>
      </c>
      <c r="AI490" t="s">
        <v>48</v>
      </c>
      <c r="AJ490" t="s">
        <v>48</v>
      </c>
      <c r="AK490" t="s">
        <v>62</v>
      </c>
      <c r="AL490" t="s">
        <v>63</v>
      </c>
      <c r="AM490" t="s">
        <v>61</v>
      </c>
      <c r="AN490" t="s">
        <v>64</v>
      </c>
      <c r="AO490" t="s">
        <v>336</v>
      </c>
      <c r="AP490">
        <v>1</v>
      </c>
      <c r="AQ490" t="s">
        <v>66</v>
      </c>
      <c r="AR490" t="s">
        <v>76</v>
      </c>
      <c r="AS490">
        <v>2006</v>
      </c>
      <c r="AT490" t="s">
        <v>49</v>
      </c>
      <c r="AU490" t="s">
        <v>48</v>
      </c>
      <c r="AV490" t="s">
        <v>48</v>
      </c>
      <c r="AW490" t="s">
        <v>48</v>
      </c>
    </row>
    <row r="491" spans="1:49" x14ac:dyDescent="0.3">
      <c r="A491" t="s">
        <v>1261</v>
      </c>
      <c r="B491" t="s">
        <v>1262</v>
      </c>
      <c r="C491" t="s">
        <v>112</v>
      </c>
      <c r="D491">
        <v>401.44</v>
      </c>
      <c r="E491">
        <v>0</v>
      </c>
      <c r="F491">
        <v>2.37</v>
      </c>
      <c r="G491" t="s">
        <v>1461</v>
      </c>
      <c r="H491" t="s">
        <v>1264</v>
      </c>
      <c r="I491" t="s">
        <v>52</v>
      </c>
      <c r="J491" t="s">
        <v>53</v>
      </c>
      <c r="K491">
        <v>300</v>
      </c>
      <c r="L491" t="s">
        <v>126</v>
      </c>
      <c r="M491">
        <f>DOWNLOAD_2kLRbPnDtawQopEJ_UKtt22ud9U57gk8mqebZIeugNk[[#This Row],[Standard Value]]</f>
        <v>300</v>
      </c>
      <c r="N491">
        <f>-LOG(DOWNLOAD_2kLRbPnDtawQopEJ_UKtt22ud9U57gk8mqebZIeugNk[[#This Row],[IC50]]*POWER(10, -9), 10)</f>
        <v>6.5228787452803365</v>
      </c>
      <c r="O491">
        <v>6.52</v>
      </c>
      <c r="P491" t="s">
        <v>48</v>
      </c>
      <c r="R491" t="s">
        <v>127</v>
      </c>
      <c r="S491">
        <v>16.25</v>
      </c>
      <c r="T491">
        <v>0.31</v>
      </c>
      <c r="U491">
        <v>4.1500000000000004</v>
      </c>
      <c r="V491">
        <v>7.78</v>
      </c>
      <c r="W491">
        <v>0</v>
      </c>
      <c r="X491" t="s">
        <v>334</v>
      </c>
      <c r="Y491" t="s">
        <v>335</v>
      </c>
      <c r="Z491" t="s">
        <v>58</v>
      </c>
      <c r="AA491" t="s">
        <v>59</v>
      </c>
      <c r="AB491" t="s">
        <v>60</v>
      </c>
      <c r="AC491" t="s">
        <v>61</v>
      </c>
      <c r="AD491" t="s">
        <v>49</v>
      </c>
      <c r="AE491" t="s">
        <v>49</v>
      </c>
      <c r="AF491" t="s">
        <v>49</v>
      </c>
      <c r="AG491" t="s">
        <v>49</v>
      </c>
      <c r="AH491" t="s">
        <v>48</v>
      </c>
      <c r="AI491" t="s">
        <v>48</v>
      </c>
      <c r="AJ491" t="s">
        <v>48</v>
      </c>
      <c r="AK491" t="s">
        <v>62</v>
      </c>
      <c r="AL491" t="s">
        <v>63</v>
      </c>
      <c r="AM491" t="s">
        <v>61</v>
      </c>
      <c r="AN491" t="s">
        <v>64</v>
      </c>
      <c r="AO491" t="s">
        <v>336</v>
      </c>
      <c r="AP491">
        <v>1</v>
      </c>
      <c r="AQ491" t="s">
        <v>66</v>
      </c>
      <c r="AR491" t="s">
        <v>76</v>
      </c>
      <c r="AS491">
        <v>2006</v>
      </c>
      <c r="AT491" t="s">
        <v>49</v>
      </c>
      <c r="AU491" t="s">
        <v>48</v>
      </c>
      <c r="AV491" t="s">
        <v>48</v>
      </c>
      <c r="AW491" t="s">
        <v>48</v>
      </c>
    </row>
    <row r="492" spans="1:49" x14ac:dyDescent="0.3">
      <c r="A492" t="s">
        <v>1462</v>
      </c>
      <c r="B492" t="s">
        <v>1463</v>
      </c>
      <c r="C492" t="s">
        <v>112</v>
      </c>
      <c r="D492">
        <v>389.39</v>
      </c>
      <c r="E492">
        <v>0</v>
      </c>
      <c r="F492">
        <v>0.97</v>
      </c>
      <c r="G492" t="s">
        <v>1464</v>
      </c>
      <c r="H492" t="s">
        <v>1465</v>
      </c>
      <c r="I492" t="s">
        <v>52</v>
      </c>
      <c r="J492" t="s">
        <v>53</v>
      </c>
      <c r="K492">
        <v>500</v>
      </c>
      <c r="L492" t="s">
        <v>126</v>
      </c>
      <c r="M492">
        <f>DOWNLOAD_2kLRbPnDtawQopEJ_UKtt22ud9U57gk8mqebZIeugNk[[#This Row],[Standard Value]]</f>
        <v>500</v>
      </c>
      <c r="N492">
        <f>-LOG(DOWNLOAD_2kLRbPnDtawQopEJ_UKtt22ud9U57gk8mqebZIeugNk[[#This Row],[IC50]]*POWER(10, -9), 10)</f>
        <v>6.3010299956639804</v>
      </c>
      <c r="O492">
        <v>6.3</v>
      </c>
      <c r="P492" t="s">
        <v>48</v>
      </c>
      <c r="R492" t="s">
        <v>127</v>
      </c>
      <c r="S492">
        <v>16.18</v>
      </c>
      <c r="T492">
        <v>0.31</v>
      </c>
      <c r="U492">
        <v>5.33</v>
      </c>
      <c r="V492">
        <v>5.12</v>
      </c>
      <c r="W492">
        <v>0</v>
      </c>
      <c r="X492" t="s">
        <v>334</v>
      </c>
      <c r="Y492" t="s">
        <v>335</v>
      </c>
      <c r="Z492" t="s">
        <v>58</v>
      </c>
      <c r="AA492" t="s">
        <v>59</v>
      </c>
      <c r="AB492" t="s">
        <v>60</v>
      </c>
      <c r="AC492" t="s">
        <v>61</v>
      </c>
      <c r="AD492" t="s">
        <v>49</v>
      </c>
      <c r="AE492" t="s">
        <v>49</v>
      </c>
      <c r="AF492" t="s">
        <v>49</v>
      </c>
      <c r="AG492" t="s">
        <v>49</v>
      </c>
      <c r="AH492" t="s">
        <v>48</v>
      </c>
      <c r="AI492" t="s">
        <v>48</v>
      </c>
      <c r="AJ492" t="s">
        <v>48</v>
      </c>
      <c r="AK492" t="s">
        <v>62</v>
      </c>
      <c r="AL492" t="s">
        <v>63</v>
      </c>
      <c r="AM492" t="s">
        <v>61</v>
      </c>
      <c r="AN492" t="s">
        <v>64</v>
      </c>
      <c r="AO492" t="s">
        <v>336</v>
      </c>
      <c r="AP492">
        <v>1</v>
      </c>
      <c r="AQ492" t="s">
        <v>66</v>
      </c>
      <c r="AR492" t="s">
        <v>76</v>
      </c>
      <c r="AS492">
        <v>2006</v>
      </c>
      <c r="AT492" t="s">
        <v>49</v>
      </c>
      <c r="AU492" t="s">
        <v>48</v>
      </c>
      <c r="AV492" t="s">
        <v>48</v>
      </c>
      <c r="AW492" t="s">
        <v>48</v>
      </c>
    </row>
    <row r="493" spans="1:49" x14ac:dyDescent="0.3">
      <c r="A493" t="s">
        <v>181</v>
      </c>
      <c r="B493" t="s">
        <v>182</v>
      </c>
      <c r="C493" t="s">
        <v>112</v>
      </c>
      <c r="D493">
        <v>612.63</v>
      </c>
      <c r="E493">
        <v>2</v>
      </c>
      <c r="F493">
        <v>3.63</v>
      </c>
      <c r="G493" t="s">
        <v>1466</v>
      </c>
      <c r="H493" t="s">
        <v>184</v>
      </c>
      <c r="I493" t="s">
        <v>52</v>
      </c>
      <c r="J493" t="s">
        <v>53</v>
      </c>
      <c r="K493">
        <v>100</v>
      </c>
      <c r="L493" t="s">
        <v>126</v>
      </c>
      <c r="M493">
        <f>DOWNLOAD_2kLRbPnDtawQopEJ_UKtt22ud9U57gk8mqebZIeugNk[[#This Row],[Standard Value]]</f>
        <v>100</v>
      </c>
      <c r="N493">
        <f>-LOG(DOWNLOAD_2kLRbPnDtawQopEJ_UKtt22ud9U57gk8mqebZIeugNk[[#This Row],[IC50]]*POWER(10, -9), 10)</f>
        <v>7</v>
      </c>
      <c r="O493">
        <v>7</v>
      </c>
      <c r="P493" t="s">
        <v>48</v>
      </c>
      <c r="R493" t="s">
        <v>127</v>
      </c>
      <c r="S493">
        <v>11.43</v>
      </c>
      <c r="T493">
        <v>0.22</v>
      </c>
      <c r="U493">
        <v>3.37</v>
      </c>
      <c r="V493">
        <v>3.5</v>
      </c>
      <c r="W493">
        <v>0</v>
      </c>
      <c r="X493" t="s">
        <v>350</v>
      </c>
      <c r="Y493" t="s">
        <v>351</v>
      </c>
      <c r="Z493" t="s">
        <v>58</v>
      </c>
      <c r="AA493" t="s">
        <v>59</v>
      </c>
      <c r="AB493" t="s">
        <v>60</v>
      </c>
      <c r="AC493" t="s">
        <v>61</v>
      </c>
      <c r="AD493" t="s">
        <v>49</v>
      </c>
      <c r="AE493" t="s">
        <v>49</v>
      </c>
      <c r="AF493" t="s">
        <v>49</v>
      </c>
      <c r="AG493" t="s">
        <v>49</v>
      </c>
      <c r="AH493" t="s">
        <v>48</v>
      </c>
      <c r="AI493" t="s">
        <v>48</v>
      </c>
      <c r="AJ493" t="s">
        <v>48</v>
      </c>
      <c r="AK493" t="s">
        <v>62</v>
      </c>
      <c r="AL493" t="s">
        <v>63</v>
      </c>
      <c r="AM493" t="s">
        <v>61</v>
      </c>
      <c r="AN493" t="s">
        <v>64</v>
      </c>
      <c r="AO493" t="s">
        <v>352</v>
      </c>
      <c r="AP493">
        <v>1</v>
      </c>
      <c r="AQ493" t="s">
        <v>66</v>
      </c>
      <c r="AR493" t="s">
        <v>353</v>
      </c>
      <c r="AS493">
        <v>2008</v>
      </c>
      <c r="AT493" t="s">
        <v>49</v>
      </c>
      <c r="AU493" t="s">
        <v>48</v>
      </c>
      <c r="AV493" t="s">
        <v>48</v>
      </c>
      <c r="AW493" t="s">
        <v>48</v>
      </c>
    </row>
    <row r="494" spans="1:49" x14ac:dyDescent="0.3">
      <c r="A494" t="s">
        <v>281</v>
      </c>
      <c r="B494" t="s">
        <v>282</v>
      </c>
      <c r="C494" t="s">
        <v>112</v>
      </c>
      <c r="D494">
        <v>331.35</v>
      </c>
      <c r="E494">
        <v>0</v>
      </c>
      <c r="F494">
        <v>1.58</v>
      </c>
      <c r="G494" t="s">
        <v>283</v>
      </c>
      <c r="H494" t="s">
        <v>284</v>
      </c>
      <c r="I494" t="s">
        <v>52</v>
      </c>
      <c r="J494" t="s">
        <v>53</v>
      </c>
      <c r="K494">
        <v>200</v>
      </c>
      <c r="L494" t="s">
        <v>126</v>
      </c>
      <c r="M494">
        <f>DOWNLOAD_2kLRbPnDtawQopEJ_UKtt22ud9U57gk8mqebZIeugNk[[#This Row],[Standard Value]]</f>
        <v>200</v>
      </c>
      <c r="N494">
        <f>-LOG(DOWNLOAD_2kLRbPnDtawQopEJ_UKtt22ud9U57gk8mqebZIeugNk[[#This Row],[IC50]]*POWER(10, -9), 10)</f>
        <v>6.6989700043360187</v>
      </c>
      <c r="O494">
        <v>6.7</v>
      </c>
      <c r="P494" t="s">
        <v>48</v>
      </c>
      <c r="R494" t="s">
        <v>127</v>
      </c>
      <c r="W494">
        <v>0</v>
      </c>
      <c r="X494" t="s">
        <v>382</v>
      </c>
      <c r="Y494" t="s">
        <v>383</v>
      </c>
      <c r="Z494" t="s">
        <v>168</v>
      </c>
      <c r="AA494" t="s">
        <v>169</v>
      </c>
      <c r="AB494" t="s">
        <v>170</v>
      </c>
      <c r="AC494" t="s">
        <v>61</v>
      </c>
      <c r="AD494" t="s">
        <v>49</v>
      </c>
      <c r="AE494" t="s">
        <v>49</v>
      </c>
      <c r="AF494" t="s">
        <v>49</v>
      </c>
      <c r="AG494" t="s">
        <v>49</v>
      </c>
      <c r="AH494" t="s">
        <v>48</v>
      </c>
      <c r="AI494" t="s">
        <v>48</v>
      </c>
      <c r="AJ494" t="s">
        <v>48</v>
      </c>
      <c r="AK494" t="s">
        <v>62</v>
      </c>
      <c r="AL494" t="s">
        <v>63</v>
      </c>
      <c r="AM494" t="s">
        <v>61</v>
      </c>
      <c r="AN494" t="s">
        <v>64</v>
      </c>
      <c r="AO494" t="s">
        <v>384</v>
      </c>
      <c r="AP494">
        <v>1</v>
      </c>
      <c r="AQ494" t="s">
        <v>66</v>
      </c>
      <c r="AR494" t="s">
        <v>67</v>
      </c>
      <c r="AS494">
        <v>2006</v>
      </c>
      <c r="AT494" t="s">
        <v>49</v>
      </c>
      <c r="AU494" t="s">
        <v>48</v>
      </c>
      <c r="AV494" t="s">
        <v>48</v>
      </c>
      <c r="AW494" t="s">
        <v>48</v>
      </c>
    </row>
    <row r="495" spans="1:49" x14ac:dyDescent="0.3">
      <c r="A495" t="s">
        <v>1467</v>
      </c>
      <c r="B495" t="s">
        <v>48</v>
      </c>
      <c r="C495" t="s">
        <v>49</v>
      </c>
      <c r="D495">
        <v>255.1</v>
      </c>
      <c r="E495">
        <v>0</v>
      </c>
      <c r="F495">
        <v>4.49</v>
      </c>
      <c r="G495" t="s">
        <v>1468</v>
      </c>
      <c r="H495" t="s">
        <v>1469</v>
      </c>
      <c r="I495" t="s">
        <v>52</v>
      </c>
      <c r="J495" t="s">
        <v>53</v>
      </c>
      <c r="K495">
        <v>120000</v>
      </c>
      <c r="L495" t="s">
        <v>126</v>
      </c>
      <c r="M495">
        <f>DOWNLOAD_2kLRbPnDtawQopEJ_UKtt22ud9U57gk8mqebZIeugNk[[#This Row],[Standard Value]]</f>
        <v>120000</v>
      </c>
      <c r="N495">
        <f>-LOG(DOWNLOAD_2kLRbPnDtawQopEJ_UKtt22ud9U57gk8mqebZIeugNk[[#This Row],[IC50]]*POWER(10, -9), 10)</f>
        <v>3.9208187539523749</v>
      </c>
      <c r="O495">
        <v>3.92</v>
      </c>
      <c r="P495" t="s">
        <v>48</v>
      </c>
      <c r="R495" t="s">
        <v>127</v>
      </c>
      <c r="S495">
        <v>15.37</v>
      </c>
      <c r="T495">
        <v>0.33</v>
      </c>
      <c r="U495">
        <v>-0.56999999999999995</v>
      </c>
      <c r="V495">
        <v>13.31</v>
      </c>
      <c r="W495">
        <v>0</v>
      </c>
      <c r="X495" t="s">
        <v>774</v>
      </c>
      <c r="Y495" t="s">
        <v>775</v>
      </c>
      <c r="Z495" t="s">
        <v>58</v>
      </c>
      <c r="AA495" t="s">
        <v>59</v>
      </c>
      <c r="AB495" t="s">
        <v>60</v>
      </c>
      <c r="AC495" t="s">
        <v>61</v>
      </c>
      <c r="AD495" t="s">
        <v>49</v>
      </c>
      <c r="AE495" t="s">
        <v>49</v>
      </c>
      <c r="AF495" t="s">
        <v>49</v>
      </c>
      <c r="AG495" t="s">
        <v>49</v>
      </c>
      <c r="AH495" t="s">
        <v>48</v>
      </c>
      <c r="AI495" t="s">
        <v>48</v>
      </c>
      <c r="AJ495" t="s">
        <v>48</v>
      </c>
      <c r="AK495" t="s">
        <v>62</v>
      </c>
      <c r="AL495" t="s">
        <v>63</v>
      </c>
      <c r="AM495" t="s">
        <v>61</v>
      </c>
      <c r="AN495" t="s">
        <v>64</v>
      </c>
      <c r="AO495" t="s">
        <v>776</v>
      </c>
      <c r="AP495">
        <v>1</v>
      </c>
      <c r="AQ495" t="s">
        <v>66</v>
      </c>
      <c r="AR495" t="s">
        <v>329</v>
      </c>
      <c r="AS495">
        <v>2018</v>
      </c>
      <c r="AT495" t="s">
        <v>49</v>
      </c>
      <c r="AU495" t="s">
        <v>48</v>
      </c>
      <c r="AV495" t="s">
        <v>48</v>
      </c>
      <c r="AW495" t="s">
        <v>48</v>
      </c>
    </row>
    <row r="496" spans="1:49" x14ac:dyDescent="0.3">
      <c r="A496" t="s">
        <v>1470</v>
      </c>
      <c r="B496" t="s">
        <v>48</v>
      </c>
      <c r="C496" t="s">
        <v>49</v>
      </c>
      <c r="D496">
        <v>254.21</v>
      </c>
      <c r="E496">
        <v>0</v>
      </c>
      <c r="F496">
        <v>4.2</v>
      </c>
      <c r="G496" t="s">
        <v>1471</v>
      </c>
      <c r="H496" t="s">
        <v>1472</v>
      </c>
      <c r="I496" t="s">
        <v>52</v>
      </c>
      <c r="J496" t="s">
        <v>53</v>
      </c>
      <c r="K496">
        <v>240000</v>
      </c>
      <c r="L496" t="s">
        <v>126</v>
      </c>
      <c r="M496">
        <f>DOWNLOAD_2kLRbPnDtawQopEJ_UKtt22ud9U57gk8mqebZIeugNk[[#This Row],[Standard Value]]</f>
        <v>240000</v>
      </c>
      <c r="N496">
        <f>-LOG(DOWNLOAD_2kLRbPnDtawQopEJ_UKtt22ud9U57gk8mqebZIeugNk[[#This Row],[IC50]]*POWER(10, -9), 10)</f>
        <v>3.6197887582883936</v>
      </c>
      <c r="O496">
        <v>3.62</v>
      </c>
      <c r="P496" t="s">
        <v>48</v>
      </c>
      <c r="R496" t="s">
        <v>127</v>
      </c>
      <c r="S496">
        <v>14.24</v>
      </c>
      <c r="T496">
        <v>0.27</v>
      </c>
      <c r="U496">
        <v>-0.57999999999999996</v>
      </c>
      <c r="V496">
        <v>12.29</v>
      </c>
      <c r="W496">
        <v>0</v>
      </c>
      <c r="X496" t="s">
        <v>774</v>
      </c>
      <c r="Y496" t="s">
        <v>775</v>
      </c>
      <c r="Z496" t="s">
        <v>58</v>
      </c>
      <c r="AA496" t="s">
        <v>59</v>
      </c>
      <c r="AB496" t="s">
        <v>60</v>
      </c>
      <c r="AC496" t="s">
        <v>61</v>
      </c>
      <c r="AD496" t="s">
        <v>49</v>
      </c>
      <c r="AE496" t="s">
        <v>49</v>
      </c>
      <c r="AF496" t="s">
        <v>49</v>
      </c>
      <c r="AG496" t="s">
        <v>49</v>
      </c>
      <c r="AH496" t="s">
        <v>48</v>
      </c>
      <c r="AI496" t="s">
        <v>48</v>
      </c>
      <c r="AJ496" t="s">
        <v>48</v>
      </c>
      <c r="AK496" t="s">
        <v>62</v>
      </c>
      <c r="AL496" t="s">
        <v>63</v>
      </c>
      <c r="AM496" t="s">
        <v>61</v>
      </c>
      <c r="AN496" t="s">
        <v>64</v>
      </c>
      <c r="AO496" t="s">
        <v>776</v>
      </c>
      <c r="AP496">
        <v>1</v>
      </c>
      <c r="AQ496" t="s">
        <v>66</v>
      </c>
      <c r="AR496" t="s">
        <v>329</v>
      </c>
      <c r="AS496">
        <v>2018</v>
      </c>
      <c r="AT496" t="s">
        <v>49</v>
      </c>
      <c r="AU496" t="s">
        <v>48</v>
      </c>
      <c r="AV496" t="s">
        <v>48</v>
      </c>
      <c r="AW496" t="s">
        <v>48</v>
      </c>
    </row>
    <row r="497" spans="1:49" x14ac:dyDescent="0.3">
      <c r="A497" t="s">
        <v>281</v>
      </c>
      <c r="B497" t="s">
        <v>282</v>
      </c>
      <c r="C497" t="s">
        <v>112</v>
      </c>
      <c r="D497">
        <v>331.35</v>
      </c>
      <c r="E497">
        <v>0</v>
      </c>
      <c r="F497">
        <v>1.58</v>
      </c>
      <c r="G497" t="s">
        <v>1439</v>
      </c>
      <c r="H497" t="s">
        <v>284</v>
      </c>
      <c r="I497" t="s">
        <v>52</v>
      </c>
      <c r="J497" t="s">
        <v>53</v>
      </c>
      <c r="K497">
        <v>200</v>
      </c>
      <c r="L497" t="s">
        <v>126</v>
      </c>
      <c r="M497">
        <f>DOWNLOAD_2kLRbPnDtawQopEJ_UKtt22ud9U57gk8mqebZIeugNk[[#This Row],[Standard Value]]</f>
        <v>200</v>
      </c>
      <c r="N497">
        <f>-LOG(DOWNLOAD_2kLRbPnDtawQopEJ_UKtt22ud9U57gk8mqebZIeugNk[[#This Row],[IC50]]*POWER(10, -9), 10)</f>
        <v>6.6989700043360187</v>
      </c>
      <c r="O497">
        <v>6.7</v>
      </c>
      <c r="P497" t="s">
        <v>48</v>
      </c>
      <c r="R497" t="s">
        <v>127</v>
      </c>
      <c r="S497">
        <v>20.22</v>
      </c>
      <c r="T497">
        <v>0.38</v>
      </c>
      <c r="U497">
        <v>5.12</v>
      </c>
      <c r="V497">
        <v>8.98</v>
      </c>
      <c r="W497">
        <v>1</v>
      </c>
      <c r="X497" t="s">
        <v>590</v>
      </c>
      <c r="Y497" t="s">
        <v>591</v>
      </c>
      <c r="Z497" t="s">
        <v>58</v>
      </c>
      <c r="AA497" t="s">
        <v>59</v>
      </c>
      <c r="AB497" t="s">
        <v>60</v>
      </c>
      <c r="AC497" t="s">
        <v>61</v>
      </c>
      <c r="AD497" t="s">
        <v>49</v>
      </c>
      <c r="AE497" t="s">
        <v>49</v>
      </c>
      <c r="AF497" t="s">
        <v>49</v>
      </c>
      <c r="AG497" t="s">
        <v>49</v>
      </c>
      <c r="AH497" t="s">
        <v>48</v>
      </c>
      <c r="AI497" t="s">
        <v>48</v>
      </c>
      <c r="AJ497" t="s">
        <v>48</v>
      </c>
      <c r="AK497" t="s">
        <v>62</v>
      </c>
      <c r="AL497" t="s">
        <v>63</v>
      </c>
      <c r="AM497" t="s">
        <v>61</v>
      </c>
      <c r="AN497" t="s">
        <v>64</v>
      </c>
      <c r="AO497" t="s">
        <v>592</v>
      </c>
      <c r="AP497">
        <v>1</v>
      </c>
      <c r="AQ497" t="s">
        <v>66</v>
      </c>
      <c r="AR497" t="s">
        <v>67</v>
      </c>
      <c r="AS497">
        <v>2014</v>
      </c>
      <c r="AT497" t="s">
        <v>49</v>
      </c>
      <c r="AU497" t="s">
        <v>48</v>
      </c>
      <c r="AV497" t="s">
        <v>48</v>
      </c>
      <c r="AW497" t="s">
        <v>48</v>
      </c>
    </row>
    <row r="498" spans="1:49" x14ac:dyDescent="0.3">
      <c r="A498" t="s">
        <v>1473</v>
      </c>
      <c r="B498" t="s">
        <v>48</v>
      </c>
      <c r="C498" t="s">
        <v>49</v>
      </c>
      <c r="D498">
        <v>368.47</v>
      </c>
      <c r="E498">
        <v>1</v>
      </c>
      <c r="F498">
        <v>5.84</v>
      </c>
      <c r="G498" t="s">
        <v>69</v>
      </c>
      <c r="H498" t="s">
        <v>1474</v>
      </c>
      <c r="I498" t="s">
        <v>52</v>
      </c>
      <c r="J498" t="s">
        <v>71</v>
      </c>
      <c r="K498">
        <v>1000000</v>
      </c>
      <c r="L498" t="s">
        <v>126</v>
      </c>
      <c r="M498">
        <f>DOWNLOAD_2kLRbPnDtawQopEJ_UKtt22ud9U57gk8mqebZIeugNk[[#This Row],[Standard Value]]</f>
        <v>1000000</v>
      </c>
      <c r="N498">
        <f>-LOG(DOWNLOAD_2kLRbPnDtawQopEJ_UKtt22ud9U57gk8mqebZIeugNk[[#This Row],[IC50]]*POWER(10, -9), 10)</f>
        <v>2.9999999999999996</v>
      </c>
      <c r="P498" t="s">
        <v>72</v>
      </c>
      <c r="R498" t="s">
        <v>127</v>
      </c>
      <c r="W498">
        <v>0</v>
      </c>
      <c r="X498" t="s">
        <v>590</v>
      </c>
      <c r="Y498" t="s">
        <v>591</v>
      </c>
      <c r="Z498" t="s">
        <v>58</v>
      </c>
      <c r="AA498" t="s">
        <v>59</v>
      </c>
      <c r="AB498" t="s">
        <v>60</v>
      </c>
      <c r="AC498" t="s">
        <v>61</v>
      </c>
      <c r="AD498" t="s">
        <v>49</v>
      </c>
      <c r="AE498" t="s">
        <v>49</v>
      </c>
      <c r="AF498" t="s">
        <v>49</v>
      </c>
      <c r="AG498" t="s">
        <v>49</v>
      </c>
      <c r="AH498" t="s">
        <v>48</v>
      </c>
      <c r="AI498" t="s">
        <v>48</v>
      </c>
      <c r="AJ498" t="s">
        <v>48</v>
      </c>
      <c r="AK498" t="s">
        <v>62</v>
      </c>
      <c r="AL498" t="s">
        <v>63</v>
      </c>
      <c r="AM498" t="s">
        <v>61</v>
      </c>
      <c r="AN498" t="s">
        <v>64</v>
      </c>
      <c r="AO498" t="s">
        <v>592</v>
      </c>
      <c r="AP498">
        <v>1</v>
      </c>
      <c r="AQ498" t="s">
        <v>66</v>
      </c>
      <c r="AR498" t="s">
        <v>67</v>
      </c>
      <c r="AS498">
        <v>2014</v>
      </c>
      <c r="AT498" t="s">
        <v>49</v>
      </c>
      <c r="AU498" t="s">
        <v>48</v>
      </c>
      <c r="AV498" t="s">
        <v>48</v>
      </c>
      <c r="AW498" t="s">
        <v>48</v>
      </c>
    </row>
    <row r="499" spans="1:49" x14ac:dyDescent="0.3">
      <c r="A499" t="s">
        <v>1475</v>
      </c>
      <c r="B499" t="s">
        <v>48</v>
      </c>
      <c r="C499" t="s">
        <v>49</v>
      </c>
      <c r="D499">
        <v>376.36</v>
      </c>
      <c r="E499">
        <v>0</v>
      </c>
      <c r="F499">
        <v>1.45</v>
      </c>
      <c r="G499" t="s">
        <v>262</v>
      </c>
      <c r="H499" t="s">
        <v>1476</v>
      </c>
      <c r="I499" t="s">
        <v>52</v>
      </c>
      <c r="J499" t="s">
        <v>53</v>
      </c>
      <c r="K499">
        <v>13.8</v>
      </c>
      <c r="L499" t="s">
        <v>54</v>
      </c>
      <c r="M499">
        <f>DOWNLOAD_2kLRbPnDtawQopEJ_UKtt22ud9U57gk8mqebZIeugNk[[#This Row],[Standard Value]]/DOWNLOAD_2kLRbPnDtawQopEJ_UKtt22ud9U57gk8mqebZIeugNk[[#This Row],[Molecular Weight]]*1000*1000</f>
        <v>36667.020937400361</v>
      </c>
      <c r="N499">
        <f>-LOG(DOWNLOAD_2kLRbPnDtawQopEJ_UKtt22ud9U57gk8mqebZIeugNk[[#This Row],[IC50]]*POWER(10, -9), 10)</f>
        <v>4.4357243734592151</v>
      </c>
      <c r="P499" t="s">
        <v>48</v>
      </c>
      <c r="R499" t="s">
        <v>55</v>
      </c>
      <c r="W499">
        <v>0</v>
      </c>
      <c r="X499" t="s">
        <v>98</v>
      </c>
      <c r="Y499" t="s">
        <v>99</v>
      </c>
      <c r="Z499" t="s">
        <v>58</v>
      </c>
      <c r="AA499" t="s">
        <v>59</v>
      </c>
      <c r="AB499" t="s">
        <v>60</v>
      </c>
      <c r="AC499" t="s">
        <v>49</v>
      </c>
      <c r="AD499" t="s">
        <v>49</v>
      </c>
      <c r="AE499" t="s">
        <v>49</v>
      </c>
      <c r="AF499" t="s">
        <v>49</v>
      </c>
      <c r="AG499" t="s">
        <v>49</v>
      </c>
      <c r="AH499" t="s">
        <v>48</v>
      </c>
      <c r="AI499" t="s">
        <v>48</v>
      </c>
      <c r="AJ499" t="s">
        <v>48</v>
      </c>
      <c r="AK499" t="s">
        <v>62</v>
      </c>
      <c r="AL499" t="s">
        <v>63</v>
      </c>
      <c r="AM499" t="s">
        <v>61</v>
      </c>
      <c r="AN499" t="s">
        <v>64</v>
      </c>
      <c r="AO499" t="s">
        <v>100</v>
      </c>
      <c r="AP499">
        <v>1</v>
      </c>
      <c r="AQ499" t="s">
        <v>66</v>
      </c>
      <c r="AR499" t="s">
        <v>67</v>
      </c>
      <c r="AS499">
        <v>1991</v>
      </c>
      <c r="AT499" t="s">
        <v>49</v>
      </c>
      <c r="AU499" t="s">
        <v>48</v>
      </c>
      <c r="AV499" t="s">
        <v>48</v>
      </c>
      <c r="AW499" t="s">
        <v>48</v>
      </c>
    </row>
    <row r="500" spans="1:49" x14ac:dyDescent="0.3">
      <c r="A500" t="s">
        <v>1477</v>
      </c>
      <c r="B500" t="s">
        <v>48</v>
      </c>
      <c r="C500" t="s">
        <v>49</v>
      </c>
      <c r="D500">
        <v>318.76</v>
      </c>
      <c r="E500">
        <v>0</v>
      </c>
      <c r="F500">
        <v>3.13</v>
      </c>
      <c r="G500" t="s">
        <v>561</v>
      </c>
      <c r="H500" t="s">
        <v>1478</v>
      </c>
      <c r="I500" t="s">
        <v>52</v>
      </c>
      <c r="J500" t="s">
        <v>53</v>
      </c>
      <c r="K500">
        <v>1600</v>
      </c>
      <c r="L500" t="s">
        <v>126</v>
      </c>
      <c r="M500">
        <f>DOWNLOAD_2kLRbPnDtawQopEJ_UKtt22ud9U57gk8mqebZIeugNk[[#This Row],[Standard Value]]</f>
        <v>1600</v>
      </c>
      <c r="N500">
        <f>-LOG(DOWNLOAD_2kLRbPnDtawQopEJ_UKtt22ud9U57gk8mqebZIeugNk[[#This Row],[IC50]]*POWER(10, -9), 10)</f>
        <v>5.795880017344075</v>
      </c>
      <c r="O500">
        <v>5.8</v>
      </c>
      <c r="P500" t="s">
        <v>48</v>
      </c>
      <c r="R500" t="s">
        <v>127</v>
      </c>
      <c r="S500">
        <v>18.18</v>
      </c>
      <c r="T500">
        <v>0.36</v>
      </c>
      <c r="U500">
        <v>2.67</v>
      </c>
      <c r="V500">
        <v>6.97</v>
      </c>
      <c r="W500">
        <v>0</v>
      </c>
      <c r="X500" t="s">
        <v>128</v>
      </c>
      <c r="Y500" t="s">
        <v>129</v>
      </c>
      <c r="Z500" t="s">
        <v>58</v>
      </c>
      <c r="AA500" t="s">
        <v>59</v>
      </c>
      <c r="AB500" t="s">
        <v>60</v>
      </c>
      <c r="AC500" t="s">
        <v>61</v>
      </c>
      <c r="AD500" t="s">
        <v>49</v>
      </c>
      <c r="AE500" t="s">
        <v>49</v>
      </c>
      <c r="AF500" t="s">
        <v>49</v>
      </c>
      <c r="AG500" t="s">
        <v>49</v>
      </c>
      <c r="AH500" t="s">
        <v>48</v>
      </c>
      <c r="AI500" t="s">
        <v>48</v>
      </c>
      <c r="AJ500" t="s">
        <v>48</v>
      </c>
      <c r="AK500" t="s">
        <v>62</v>
      </c>
      <c r="AL500" t="s">
        <v>63</v>
      </c>
      <c r="AM500" t="s">
        <v>61</v>
      </c>
      <c r="AN500" t="s">
        <v>64</v>
      </c>
      <c r="AO500" t="s">
        <v>130</v>
      </c>
      <c r="AP500">
        <v>1</v>
      </c>
      <c r="AQ500" t="s">
        <v>66</v>
      </c>
      <c r="AR500" t="s">
        <v>131</v>
      </c>
      <c r="AS500">
        <v>2014</v>
      </c>
      <c r="AT500" t="s">
        <v>49</v>
      </c>
      <c r="AU500" t="s">
        <v>48</v>
      </c>
      <c r="AV500" t="s">
        <v>48</v>
      </c>
      <c r="AW500" t="s">
        <v>48</v>
      </c>
    </row>
    <row r="501" spans="1:49" x14ac:dyDescent="0.3">
      <c r="A501" t="s">
        <v>1479</v>
      </c>
      <c r="B501" t="s">
        <v>48</v>
      </c>
      <c r="C501" t="s">
        <v>49</v>
      </c>
      <c r="D501">
        <v>385.4</v>
      </c>
      <c r="E501">
        <v>0</v>
      </c>
      <c r="F501">
        <v>3.77</v>
      </c>
      <c r="G501" t="s">
        <v>1175</v>
      </c>
      <c r="H501" t="s">
        <v>1480</v>
      </c>
      <c r="I501" t="s">
        <v>52</v>
      </c>
      <c r="J501" t="s">
        <v>53</v>
      </c>
      <c r="K501">
        <v>300</v>
      </c>
      <c r="L501" t="s">
        <v>126</v>
      </c>
      <c r="M501">
        <f>DOWNLOAD_2kLRbPnDtawQopEJ_UKtt22ud9U57gk8mqebZIeugNk[[#This Row],[Standard Value]]</f>
        <v>300</v>
      </c>
      <c r="N501">
        <f>-LOG(DOWNLOAD_2kLRbPnDtawQopEJ_UKtt22ud9U57gk8mqebZIeugNk[[#This Row],[IC50]]*POWER(10, -9), 10)</f>
        <v>6.5228787452803365</v>
      </c>
      <c r="O501">
        <v>6.52</v>
      </c>
      <c r="P501" t="s">
        <v>48</v>
      </c>
      <c r="R501" t="s">
        <v>127</v>
      </c>
      <c r="S501">
        <v>16.920000000000002</v>
      </c>
      <c r="T501">
        <v>0.33</v>
      </c>
      <c r="U501">
        <v>2.75</v>
      </c>
      <c r="V501">
        <v>8.06</v>
      </c>
      <c r="W501">
        <v>0</v>
      </c>
      <c r="X501" t="s">
        <v>334</v>
      </c>
      <c r="Y501" t="s">
        <v>335</v>
      </c>
      <c r="Z501" t="s">
        <v>58</v>
      </c>
      <c r="AA501" t="s">
        <v>59</v>
      </c>
      <c r="AB501" t="s">
        <v>60</v>
      </c>
      <c r="AC501" t="s">
        <v>61</v>
      </c>
      <c r="AD501" t="s">
        <v>49</v>
      </c>
      <c r="AE501" t="s">
        <v>49</v>
      </c>
      <c r="AF501" t="s">
        <v>49</v>
      </c>
      <c r="AG501" t="s">
        <v>49</v>
      </c>
      <c r="AH501" t="s">
        <v>48</v>
      </c>
      <c r="AI501" t="s">
        <v>48</v>
      </c>
      <c r="AJ501" t="s">
        <v>48</v>
      </c>
      <c r="AK501" t="s">
        <v>62</v>
      </c>
      <c r="AL501" t="s">
        <v>63</v>
      </c>
      <c r="AM501" t="s">
        <v>61</v>
      </c>
      <c r="AN501" t="s">
        <v>64</v>
      </c>
      <c r="AO501" t="s">
        <v>336</v>
      </c>
      <c r="AP501">
        <v>1</v>
      </c>
      <c r="AQ501" t="s">
        <v>66</v>
      </c>
      <c r="AR501" t="s">
        <v>76</v>
      </c>
      <c r="AS501">
        <v>2006</v>
      </c>
      <c r="AT501" t="s">
        <v>49</v>
      </c>
      <c r="AU501" t="s">
        <v>48</v>
      </c>
      <c r="AV501" t="s">
        <v>48</v>
      </c>
      <c r="AW501" t="s">
        <v>48</v>
      </c>
    </row>
    <row r="502" spans="1:49" x14ac:dyDescent="0.3">
      <c r="A502" t="s">
        <v>1481</v>
      </c>
      <c r="B502" t="s">
        <v>48</v>
      </c>
      <c r="C502" t="s">
        <v>49</v>
      </c>
      <c r="D502">
        <v>381.43</v>
      </c>
      <c r="E502">
        <v>0</v>
      </c>
      <c r="F502">
        <v>3.5</v>
      </c>
      <c r="G502" t="s">
        <v>500</v>
      </c>
      <c r="H502" t="s">
        <v>1482</v>
      </c>
      <c r="I502" t="s">
        <v>52</v>
      </c>
      <c r="J502" t="s">
        <v>53</v>
      </c>
      <c r="K502">
        <v>100</v>
      </c>
      <c r="L502" t="s">
        <v>126</v>
      </c>
      <c r="M502">
        <f>DOWNLOAD_2kLRbPnDtawQopEJ_UKtt22ud9U57gk8mqebZIeugNk[[#This Row],[Standard Value]]</f>
        <v>100</v>
      </c>
      <c r="N502">
        <f>-LOG(DOWNLOAD_2kLRbPnDtawQopEJ_UKtt22ud9U57gk8mqebZIeugNk[[#This Row],[IC50]]*POWER(10, -9), 10)</f>
        <v>7</v>
      </c>
      <c r="O502">
        <v>7</v>
      </c>
      <c r="P502" t="s">
        <v>48</v>
      </c>
      <c r="R502" t="s">
        <v>127</v>
      </c>
      <c r="S502">
        <v>18.350000000000001</v>
      </c>
      <c r="T502">
        <v>0.35</v>
      </c>
      <c r="U502">
        <v>3.5</v>
      </c>
      <c r="V502">
        <v>8.65</v>
      </c>
      <c r="W502">
        <v>0</v>
      </c>
      <c r="X502" t="s">
        <v>334</v>
      </c>
      <c r="Y502" t="s">
        <v>335</v>
      </c>
      <c r="Z502" t="s">
        <v>58</v>
      </c>
      <c r="AA502" t="s">
        <v>59</v>
      </c>
      <c r="AB502" t="s">
        <v>60</v>
      </c>
      <c r="AC502" t="s">
        <v>61</v>
      </c>
      <c r="AD502" t="s">
        <v>49</v>
      </c>
      <c r="AE502" t="s">
        <v>49</v>
      </c>
      <c r="AF502" t="s">
        <v>49</v>
      </c>
      <c r="AG502" t="s">
        <v>49</v>
      </c>
      <c r="AH502" t="s">
        <v>48</v>
      </c>
      <c r="AI502" t="s">
        <v>48</v>
      </c>
      <c r="AJ502" t="s">
        <v>48</v>
      </c>
      <c r="AK502" t="s">
        <v>62</v>
      </c>
      <c r="AL502" t="s">
        <v>63</v>
      </c>
      <c r="AM502" t="s">
        <v>61</v>
      </c>
      <c r="AN502" t="s">
        <v>64</v>
      </c>
      <c r="AO502" t="s">
        <v>336</v>
      </c>
      <c r="AP502">
        <v>1</v>
      </c>
      <c r="AQ502" t="s">
        <v>66</v>
      </c>
      <c r="AR502" t="s">
        <v>76</v>
      </c>
      <c r="AS502">
        <v>2006</v>
      </c>
      <c r="AT502" t="s">
        <v>49</v>
      </c>
      <c r="AU502" t="s">
        <v>48</v>
      </c>
      <c r="AV502" t="s">
        <v>48</v>
      </c>
      <c r="AW502" t="s">
        <v>48</v>
      </c>
    </row>
    <row r="503" spans="1:49" x14ac:dyDescent="0.3">
      <c r="A503" t="s">
        <v>1483</v>
      </c>
      <c r="B503" t="s">
        <v>48</v>
      </c>
      <c r="C503" t="s">
        <v>49</v>
      </c>
      <c r="D503">
        <v>435.52</v>
      </c>
      <c r="E503">
        <v>0</v>
      </c>
      <c r="F503">
        <v>4.8600000000000003</v>
      </c>
      <c r="G503" t="s">
        <v>208</v>
      </c>
      <c r="H503" t="s">
        <v>1484</v>
      </c>
      <c r="I503" t="s">
        <v>52</v>
      </c>
      <c r="J503" t="s">
        <v>53</v>
      </c>
      <c r="K503">
        <v>700</v>
      </c>
      <c r="L503" t="s">
        <v>126</v>
      </c>
      <c r="M503">
        <f>DOWNLOAD_2kLRbPnDtawQopEJ_UKtt22ud9U57gk8mqebZIeugNk[[#This Row],[Standard Value]]</f>
        <v>700</v>
      </c>
      <c r="N503">
        <f>-LOG(DOWNLOAD_2kLRbPnDtawQopEJ_UKtt22ud9U57gk8mqebZIeugNk[[#This Row],[IC50]]*POWER(10, -9), 10)</f>
        <v>6.1549019599857431</v>
      </c>
      <c r="O503">
        <v>6.16</v>
      </c>
      <c r="P503" t="s">
        <v>48</v>
      </c>
      <c r="R503" t="s">
        <v>127</v>
      </c>
      <c r="S503">
        <v>14.13</v>
      </c>
      <c r="T503">
        <v>0.27</v>
      </c>
      <c r="U503">
        <v>1.29</v>
      </c>
      <c r="V503">
        <v>9.1999999999999993</v>
      </c>
      <c r="W503">
        <v>0</v>
      </c>
      <c r="X503" t="s">
        <v>334</v>
      </c>
      <c r="Y503" t="s">
        <v>335</v>
      </c>
      <c r="Z503" t="s">
        <v>58</v>
      </c>
      <c r="AA503" t="s">
        <v>59</v>
      </c>
      <c r="AB503" t="s">
        <v>60</v>
      </c>
      <c r="AC503" t="s">
        <v>61</v>
      </c>
      <c r="AD503" t="s">
        <v>49</v>
      </c>
      <c r="AE503" t="s">
        <v>49</v>
      </c>
      <c r="AF503" t="s">
        <v>49</v>
      </c>
      <c r="AG503" t="s">
        <v>49</v>
      </c>
      <c r="AH503" t="s">
        <v>48</v>
      </c>
      <c r="AI503" t="s">
        <v>48</v>
      </c>
      <c r="AJ503" t="s">
        <v>48</v>
      </c>
      <c r="AK503" t="s">
        <v>62</v>
      </c>
      <c r="AL503" t="s">
        <v>63</v>
      </c>
      <c r="AM503" t="s">
        <v>61</v>
      </c>
      <c r="AN503" t="s">
        <v>64</v>
      </c>
      <c r="AO503" t="s">
        <v>336</v>
      </c>
      <c r="AP503">
        <v>1</v>
      </c>
      <c r="AQ503" t="s">
        <v>66</v>
      </c>
      <c r="AR503" t="s">
        <v>76</v>
      </c>
      <c r="AS503">
        <v>2006</v>
      </c>
      <c r="AT503" t="s">
        <v>49</v>
      </c>
      <c r="AU503" t="s">
        <v>48</v>
      </c>
      <c r="AV503" t="s">
        <v>48</v>
      </c>
      <c r="AW503" t="s">
        <v>48</v>
      </c>
    </row>
    <row r="504" spans="1:49" x14ac:dyDescent="0.3">
      <c r="A504" t="s">
        <v>1485</v>
      </c>
      <c r="B504" t="s">
        <v>48</v>
      </c>
      <c r="C504" t="s">
        <v>49</v>
      </c>
      <c r="D504">
        <v>428.36</v>
      </c>
      <c r="E504">
        <v>1</v>
      </c>
      <c r="F504">
        <v>5.93</v>
      </c>
      <c r="G504" t="s">
        <v>1347</v>
      </c>
      <c r="H504" t="s">
        <v>1486</v>
      </c>
      <c r="I504" t="s">
        <v>52</v>
      </c>
      <c r="J504" t="s">
        <v>53</v>
      </c>
      <c r="K504">
        <v>13.9</v>
      </c>
      <c r="L504" t="s">
        <v>54</v>
      </c>
      <c r="M504">
        <f>DOWNLOAD_2kLRbPnDtawQopEJ_UKtt22ud9U57gk8mqebZIeugNk[[#This Row],[Standard Value]]/DOWNLOAD_2kLRbPnDtawQopEJ_UKtt22ud9U57gk8mqebZIeugNk[[#This Row],[Molecular Weight]]*1000*1000</f>
        <v>32449.341675226442</v>
      </c>
      <c r="N504">
        <f>-LOG(DOWNLOAD_2kLRbPnDtawQopEJ_UKtt22ud9U57gk8mqebZIeugNk[[#This Row],[IC50]]*POWER(10, -9), 10)</f>
        <v>4.488794109640704</v>
      </c>
      <c r="P504" t="s">
        <v>48</v>
      </c>
      <c r="R504" t="s">
        <v>55</v>
      </c>
      <c r="W504">
        <v>0</v>
      </c>
      <c r="X504" t="s">
        <v>1167</v>
      </c>
      <c r="Y504" t="s">
        <v>1168</v>
      </c>
      <c r="Z504" t="s">
        <v>58</v>
      </c>
      <c r="AA504" t="s">
        <v>59</v>
      </c>
      <c r="AB504" t="s">
        <v>60</v>
      </c>
      <c r="AC504" t="s">
        <v>61</v>
      </c>
      <c r="AD504" t="s">
        <v>49</v>
      </c>
      <c r="AE504" t="s">
        <v>49</v>
      </c>
      <c r="AF504" t="s">
        <v>49</v>
      </c>
      <c r="AG504" t="s">
        <v>49</v>
      </c>
      <c r="AH504" t="s">
        <v>48</v>
      </c>
      <c r="AI504" t="s">
        <v>48</v>
      </c>
      <c r="AJ504" t="s">
        <v>48</v>
      </c>
      <c r="AK504" t="s">
        <v>62</v>
      </c>
      <c r="AL504" t="s">
        <v>63</v>
      </c>
      <c r="AM504" t="s">
        <v>61</v>
      </c>
      <c r="AN504" t="s">
        <v>64</v>
      </c>
      <c r="AO504" t="s">
        <v>1169</v>
      </c>
      <c r="AP504">
        <v>1</v>
      </c>
      <c r="AQ504" t="s">
        <v>66</v>
      </c>
      <c r="AR504" t="s">
        <v>76</v>
      </c>
      <c r="AS504">
        <v>2005</v>
      </c>
      <c r="AT504" t="s">
        <v>49</v>
      </c>
      <c r="AU504" t="s">
        <v>48</v>
      </c>
      <c r="AV504" t="s">
        <v>48</v>
      </c>
      <c r="AW504" t="s">
        <v>48</v>
      </c>
    </row>
    <row r="505" spans="1:49" x14ac:dyDescent="0.3">
      <c r="A505" t="s">
        <v>1487</v>
      </c>
      <c r="B505" t="s">
        <v>48</v>
      </c>
      <c r="C505" t="s">
        <v>49</v>
      </c>
      <c r="D505">
        <v>417.49</v>
      </c>
      <c r="E505">
        <v>0</v>
      </c>
      <c r="F505">
        <v>0.21</v>
      </c>
      <c r="G505" t="s">
        <v>1488</v>
      </c>
      <c r="H505" t="s">
        <v>1489</v>
      </c>
      <c r="I505" t="s">
        <v>52</v>
      </c>
      <c r="J505" t="s">
        <v>53</v>
      </c>
      <c r="K505">
        <v>11500</v>
      </c>
      <c r="L505" t="s">
        <v>126</v>
      </c>
      <c r="M505">
        <f>DOWNLOAD_2kLRbPnDtawQopEJ_UKtt22ud9U57gk8mqebZIeugNk[[#This Row],[Standard Value]]</f>
        <v>11500</v>
      </c>
      <c r="N505">
        <f>-LOG(DOWNLOAD_2kLRbPnDtawQopEJ_UKtt22ud9U57gk8mqebZIeugNk[[#This Row],[IC50]]*POWER(10, -9), 10)</f>
        <v>4.9393021596463873</v>
      </c>
      <c r="O505">
        <v>4.9400000000000004</v>
      </c>
      <c r="P505" t="s">
        <v>48</v>
      </c>
      <c r="R505" t="s">
        <v>127</v>
      </c>
      <c r="S505">
        <v>11.83</v>
      </c>
      <c r="T505">
        <v>0.22</v>
      </c>
      <c r="U505">
        <v>4.7300000000000004</v>
      </c>
      <c r="V505">
        <v>3.65</v>
      </c>
      <c r="W505">
        <v>0</v>
      </c>
      <c r="X505" t="s">
        <v>652</v>
      </c>
      <c r="Y505" t="s">
        <v>653</v>
      </c>
      <c r="Z505" t="s">
        <v>58</v>
      </c>
      <c r="AA505" t="s">
        <v>59</v>
      </c>
      <c r="AB505" t="s">
        <v>60</v>
      </c>
      <c r="AC505" t="s">
        <v>61</v>
      </c>
      <c r="AD505" t="s">
        <v>49</v>
      </c>
      <c r="AE505" t="s">
        <v>49</v>
      </c>
      <c r="AF505" t="s">
        <v>49</v>
      </c>
      <c r="AG505" t="s">
        <v>49</v>
      </c>
      <c r="AH505" t="s">
        <v>48</v>
      </c>
      <c r="AI505" t="s">
        <v>48</v>
      </c>
      <c r="AJ505" t="s">
        <v>48</v>
      </c>
      <c r="AK505" t="s">
        <v>62</v>
      </c>
      <c r="AL505" t="s">
        <v>63</v>
      </c>
      <c r="AM505" t="s">
        <v>61</v>
      </c>
      <c r="AN505" t="s">
        <v>64</v>
      </c>
      <c r="AO505" t="s">
        <v>654</v>
      </c>
      <c r="AP505">
        <v>1</v>
      </c>
      <c r="AQ505" t="s">
        <v>66</v>
      </c>
      <c r="AR505" t="s">
        <v>267</v>
      </c>
      <c r="AS505">
        <v>2020</v>
      </c>
      <c r="AT505" t="s">
        <v>49</v>
      </c>
      <c r="AU505" t="s">
        <v>48</v>
      </c>
      <c r="AV505" t="s">
        <v>48</v>
      </c>
      <c r="AW505" t="s">
        <v>48</v>
      </c>
    </row>
    <row r="506" spans="1:49" x14ac:dyDescent="0.3">
      <c r="A506" t="s">
        <v>1490</v>
      </c>
      <c r="B506" t="s">
        <v>48</v>
      </c>
      <c r="C506" t="s">
        <v>49</v>
      </c>
      <c r="D506">
        <v>681.58</v>
      </c>
      <c r="E506">
        <v>2</v>
      </c>
      <c r="F506">
        <v>6.35</v>
      </c>
      <c r="G506" t="s">
        <v>1491</v>
      </c>
      <c r="H506" t="s">
        <v>1492</v>
      </c>
      <c r="I506" t="s">
        <v>52</v>
      </c>
      <c r="J506" t="s">
        <v>53</v>
      </c>
      <c r="K506">
        <v>6050</v>
      </c>
      <c r="L506" t="s">
        <v>126</v>
      </c>
      <c r="M506">
        <f>DOWNLOAD_2kLRbPnDtawQopEJ_UKtt22ud9U57gk8mqebZIeugNk[[#This Row],[Standard Value]]</f>
        <v>6050</v>
      </c>
      <c r="N506">
        <f>-LOG(DOWNLOAD_2kLRbPnDtawQopEJ_UKtt22ud9U57gk8mqebZIeugNk[[#This Row],[IC50]]*POWER(10, -9), 10)</f>
        <v>5.2182446253475305</v>
      </c>
      <c r="O506">
        <v>5.22</v>
      </c>
      <c r="P506" t="s">
        <v>48</v>
      </c>
      <c r="R506" t="s">
        <v>127</v>
      </c>
      <c r="S506">
        <v>7.66</v>
      </c>
      <c r="T506">
        <v>0.15</v>
      </c>
      <c r="U506">
        <v>-1.1299999999999999</v>
      </c>
      <c r="V506">
        <v>4.8</v>
      </c>
      <c r="W506">
        <v>0</v>
      </c>
      <c r="X506" t="s">
        <v>585</v>
      </c>
      <c r="Y506" t="s">
        <v>586</v>
      </c>
      <c r="Z506" t="s">
        <v>58</v>
      </c>
      <c r="AA506" t="s">
        <v>59</v>
      </c>
      <c r="AB506" t="s">
        <v>60</v>
      </c>
      <c r="AC506" t="s">
        <v>61</v>
      </c>
      <c r="AD506" t="s">
        <v>49</v>
      </c>
      <c r="AE506" t="s">
        <v>49</v>
      </c>
      <c r="AF506" t="s">
        <v>49</v>
      </c>
      <c r="AG506" t="s">
        <v>49</v>
      </c>
      <c r="AH506" t="s">
        <v>48</v>
      </c>
      <c r="AI506" t="s">
        <v>48</v>
      </c>
      <c r="AJ506" t="s">
        <v>48</v>
      </c>
      <c r="AK506" t="s">
        <v>62</v>
      </c>
      <c r="AL506" t="s">
        <v>63</v>
      </c>
      <c r="AM506" t="s">
        <v>61</v>
      </c>
      <c r="AN506" t="s">
        <v>64</v>
      </c>
      <c r="AO506" t="s">
        <v>587</v>
      </c>
      <c r="AP506">
        <v>1</v>
      </c>
      <c r="AQ506" t="s">
        <v>66</v>
      </c>
      <c r="AR506" t="s">
        <v>131</v>
      </c>
      <c r="AS506">
        <v>2015</v>
      </c>
      <c r="AT506" t="s">
        <v>49</v>
      </c>
      <c r="AU506" t="s">
        <v>48</v>
      </c>
      <c r="AV506" t="s">
        <v>48</v>
      </c>
      <c r="AW506" t="s">
        <v>48</v>
      </c>
    </row>
    <row r="507" spans="1:49" x14ac:dyDescent="0.3">
      <c r="A507" t="s">
        <v>281</v>
      </c>
      <c r="B507" t="s">
        <v>282</v>
      </c>
      <c r="C507" t="s">
        <v>112</v>
      </c>
      <c r="D507">
        <v>331.35</v>
      </c>
      <c r="E507">
        <v>0</v>
      </c>
      <c r="F507">
        <v>1.58</v>
      </c>
      <c r="G507" t="s">
        <v>584</v>
      </c>
      <c r="H507" t="s">
        <v>284</v>
      </c>
      <c r="I507" t="s">
        <v>52</v>
      </c>
      <c r="J507" t="s">
        <v>53</v>
      </c>
      <c r="K507">
        <v>5.3</v>
      </c>
      <c r="L507" t="s">
        <v>54</v>
      </c>
      <c r="M507">
        <f>DOWNLOAD_2kLRbPnDtawQopEJ_UKtt22ud9U57gk8mqebZIeugNk[[#This Row],[Standard Value]]/DOWNLOAD_2kLRbPnDtawQopEJ_UKtt22ud9U57gk8mqebZIeugNk[[#This Row],[Molecular Weight]]*1000*1000</f>
        <v>15995.17126905085</v>
      </c>
      <c r="N507">
        <f>-LOG(DOWNLOAD_2kLRbPnDtawQopEJ_UKtt22ud9U57gk8mqebZIeugNk[[#This Row],[IC50]]*POWER(10, -9), 10)</f>
        <v>4.7960111053263264</v>
      </c>
      <c r="P507" t="s">
        <v>48</v>
      </c>
      <c r="R507" t="s">
        <v>55</v>
      </c>
      <c r="W507">
        <v>1</v>
      </c>
      <c r="X507" t="s">
        <v>56</v>
      </c>
      <c r="Y507" t="s">
        <v>57</v>
      </c>
      <c r="Z507" t="s">
        <v>58</v>
      </c>
      <c r="AA507" t="s">
        <v>59</v>
      </c>
      <c r="AB507" t="s">
        <v>60</v>
      </c>
      <c r="AC507" t="s">
        <v>61</v>
      </c>
      <c r="AD507" t="s">
        <v>49</v>
      </c>
      <c r="AE507" t="s">
        <v>49</v>
      </c>
      <c r="AF507" t="s">
        <v>49</v>
      </c>
      <c r="AG507" t="s">
        <v>49</v>
      </c>
      <c r="AH507" t="s">
        <v>48</v>
      </c>
      <c r="AI507" t="s">
        <v>48</v>
      </c>
      <c r="AJ507" t="s">
        <v>48</v>
      </c>
      <c r="AK507" t="s">
        <v>62</v>
      </c>
      <c r="AL507" t="s">
        <v>63</v>
      </c>
      <c r="AM507" t="s">
        <v>61</v>
      </c>
      <c r="AN507" t="s">
        <v>64</v>
      </c>
      <c r="AO507" t="s">
        <v>65</v>
      </c>
      <c r="AP507">
        <v>1</v>
      </c>
      <c r="AQ507" t="s">
        <v>66</v>
      </c>
      <c r="AR507" t="s">
        <v>67</v>
      </c>
      <c r="AS507">
        <v>1988</v>
      </c>
      <c r="AT507" t="s">
        <v>49</v>
      </c>
      <c r="AU507" t="s">
        <v>48</v>
      </c>
      <c r="AV507" t="s">
        <v>48</v>
      </c>
      <c r="AW507" t="s">
        <v>48</v>
      </c>
    </row>
    <row r="508" spans="1:49" x14ac:dyDescent="0.3">
      <c r="A508" t="s">
        <v>1493</v>
      </c>
      <c r="B508" t="s">
        <v>48</v>
      </c>
      <c r="C508" t="s">
        <v>49</v>
      </c>
      <c r="D508">
        <v>449.6</v>
      </c>
      <c r="E508">
        <v>1</v>
      </c>
      <c r="F508">
        <v>5.21</v>
      </c>
      <c r="G508" t="s">
        <v>482</v>
      </c>
      <c r="H508" t="s">
        <v>1494</v>
      </c>
      <c r="I508" t="s">
        <v>52</v>
      </c>
      <c r="J508" t="s">
        <v>53</v>
      </c>
      <c r="K508">
        <v>8</v>
      </c>
      <c r="L508" t="s">
        <v>54</v>
      </c>
      <c r="M508">
        <f>DOWNLOAD_2kLRbPnDtawQopEJ_UKtt22ud9U57gk8mqebZIeugNk[[#This Row],[Standard Value]]/DOWNLOAD_2kLRbPnDtawQopEJ_UKtt22ud9U57gk8mqebZIeugNk[[#This Row],[Molecular Weight]]*1000*1000</f>
        <v>17793.594306049818</v>
      </c>
      <c r="N508">
        <f>-LOG(DOWNLOAD_2kLRbPnDtawQopEJ_UKtt22ud9U57gk8mqebZIeugNk[[#This Row],[IC50]]*POWER(10, -9), 10)</f>
        <v>4.7497363155690611</v>
      </c>
      <c r="P508" t="s">
        <v>48</v>
      </c>
      <c r="R508" t="s">
        <v>55</v>
      </c>
      <c r="W508">
        <v>0</v>
      </c>
      <c r="X508" t="s">
        <v>121</v>
      </c>
      <c r="Y508" t="s">
        <v>87</v>
      </c>
      <c r="Z508" t="s">
        <v>58</v>
      </c>
      <c r="AA508" t="s">
        <v>59</v>
      </c>
      <c r="AB508" t="s">
        <v>60</v>
      </c>
      <c r="AC508" t="s">
        <v>61</v>
      </c>
      <c r="AD508" t="s">
        <v>49</v>
      </c>
      <c r="AE508" t="s">
        <v>49</v>
      </c>
      <c r="AF508" t="s">
        <v>49</v>
      </c>
      <c r="AG508" t="s">
        <v>49</v>
      </c>
      <c r="AH508" t="s">
        <v>48</v>
      </c>
      <c r="AI508" t="s">
        <v>48</v>
      </c>
      <c r="AJ508" t="s">
        <v>48</v>
      </c>
      <c r="AK508" t="s">
        <v>62</v>
      </c>
      <c r="AL508" t="s">
        <v>63</v>
      </c>
      <c r="AM508" t="s">
        <v>61</v>
      </c>
      <c r="AN508" t="s">
        <v>64</v>
      </c>
      <c r="AO508" t="s">
        <v>122</v>
      </c>
      <c r="AP508">
        <v>1</v>
      </c>
      <c r="AQ508" t="s">
        <v>66</v>
      </c>
      <c r="AR508" t="s">
        <v>76</v>
      </c>
      <c r="AS508">
        <v>2004</v>
      </c>
      <c r="AT508" t="s">
        <v>49</v>
      </c>
      <c r="AU508" t="s">
        <v>48</v>
      </c>
      <c r="AV508" t="s">
        <v>48</v>
      </c>
      <c r="AW508" t="s">
        <v>48</v>
      </c>
    </row>
    <row r="509" spans="1:49" x14ac:dyDescent="0.3">
      <c r="A509" t="s">
        <v>1495</v>
      </c>
      <c r="B509" t="s">
        <v>48</v>
      </c>
      <c r="C509" t="s">
        <v>49</v>
      </c>
      <c r="D509">
        <v>595.61</v>
      </c>
      <c r="E509">
        <v>1</v>
      </c>
      <c r="F509">
        <v>4.09</v>
      </c>
      <c r="G509" t="s">
        <v>1101</v>
      </c>
      <c r="H509" t="s">
        <v>1496</v>
      </c>
      <c r="I509" t="s">
        <v>52</v>
      </c>
      <c r="J509" t="s">
        <v>53</v>
      </c>
      <c r="K509">
        <v>1950</v>
      </c>
      <c r="L509" t="s">
        <v>126</v>
      </c>
      <c r="M509">
        <f>DOWNLOAD_2kLRbPnDtawQopEJ_UKtt22ud9U57gk8mqebZIeugNk[[#This Row],[Standard Value]]</f>
        <v>1950</v>
      </c>
      <c r="N509">
        <f>-LOG(DOWNLOAD_2kLRbPnDtawQopEJ_UKtt22ud9U57gk8mqebZIeugNk[[#This Row],[IC50]]*POWER(10, -9), 10)</f>
        <v>5.7099653886374817</v>
      </c>
      <c r="O509">
        <v>5.71</v>
      </c>
      <c r="P509" t="s">
        <v>48</v>
      </c>
      <c r="R509" t="s">
        <v>127</v>
      </c>
      <c r="S509">
        <v>9.59</v>
      </c>
      <c r="T509">
        <v>0.19</v>
      </c>
      <c r="U509">
        <v>1.62</v>
      </c>
      <c r="V509">
        <v>3.51</v>
      </c>
      <c r="W509">
        <v>0</v>
      </c>
      <c r="X509" t="s">
        <v>1497</v>
      </c>
      <c r="Y509" t="s">
        <v>1498</v>
      </c>
      <c r="Z509" t="s">
        <v>58</v>
      </c>
      <c r="AA509" t="s">
        <v>59</v>
      </c>
      <c r="AB509" t="s">
        <v>60</v>
      </c>
      <c r="AC509" t="s">
        <v>61</v>
      </c>
      <c r="AD509" t="s">
        <v>49</v>
      </c>
      <c r="AE509" t="s">
        <v>49</v>
      </c>
      <c r="AF509" t="s">
        <v>49</v>
      </c>
      <c r="AG509" t="s">
        <v>49</v>
      </c>
      <c r="AH509" t="s">
        <v>48</v>
      </c>
      <c r="AI509" t="s">
        <v>48</v>
      </c>
      <c r="AJ509" t="s">
        <v>48</v>
      </c>
      <c r="AK509" t="s">
        <v>62</v>
      </c>
      <c r="AL509" t="s">
        <v>63</v>
      </c>
      <c r="AM509" t="s">
        <v>61</v>
      </c>
      <c r="AN509" t="s">
        <v>64</v>
      </c>
      <c r="AO509" t="s">
        <v>1499</v>
      </c>
      <c r="AP509">
        <v>1</v>
      </c>
      <c r="AQ509" t="s">
        <v>66</v>
      </c>
      <c r="AR509" t="s">
        <v>131</v>
      </c>
      <c r="AS509">
        <v>2022</v>
      </c>
      <c r="AT509" t="s">
        <v>49</v>
      </c>
      <c r="AU509" t="s">
        <v>299</v>
      </c>
      <c r="AV509" t="s">
        <v>269</v>
      </c>
      <c r="AW509" t="s">
        <v>48</v>
      </c>
    </row>
    <row r="510" spans="1:49" x14ac:dyDescent="0.3">
      <c r="A510" t="s">
        <v>1500</v>
      </c>
      <c r="B510" t="s">
        <v>48</v>
      </c>
      <c r="C510" t="s">
        <v>49</v>
      </c>
      <c r="D510">
        <v>556.58000000000004</v>
      </c>
      <c r="E510">
        <v>1</v>
      </c>
      <c r="F510">
        <v>1.96</v>
      </c>
      <c r="G510" t="s">
        <v>191</v>
      </c>
      <c r="H510" t="s">
        <v>1501</v>
      </c>
      <c r="I510" t="s">
        <v>52</v>
      </c>
      <c r="J510" t="s">
        <v>53</v>
      </c>
      <c r="K510">
        <v>770</v>
      </c>
      <c r="L510" t="s">
        <v>126</v>
      </c>
      <c r="M510">
        <f>DOWNLOAD_2kLRbPnDtawQopEJ_UKtt22ud9U57gk8mqebZIeugNk[[#This Row],[Standard Value]]</f>
        <v>770</v>
      </c>
      <c r="N510">
        <f>-LOG(DOWNLOAD_2kLRbPnDtawQopEJ_UKtt22ud9U57gk8mqebZIeugNk[[#This Row],[IC50]]*POWER(10, -9), 10)</f>
        <v>6.1135092748275177</v>
      </c>
      <c r="O510">
        <v>6.11</v>
      </c>
      <c r="P510" t="s">
        <v>48</v>
      </c>
      <c r="R510" t="s">
        <v>127</v>
      </c>
      <c r="S510">
        <v>10.98</v>
      </c>
      <c r="T510">
        <v>0.21</v>
      </c>
      <c r="U510">
        <v>4.1500000000000004</v>
      </c>
      <c r="V510">
        <v>3.23</v>
      </c>
      <c r="W510">
        <v>0</v>
      </c>
      <c r="X510" t="s">
        <v>1497</v>
      </c>
      <c r="Y510" t="s">
        <v>1498</v>
      </c>
      <c r="Z510" t="s">
        <v>58</v>
      </c>
      <c r="AA510" t="s">
        <v>59</v>
      </c>
      <c r="AB510" t="s">
        <v>60</v>
      </c>
      <c r="AC510" t="s">
        <v>61</v>
      </c>
      <c r="AD510" t="s">
        <v>49</v>
      </c>
      <c r="AE510" t="s">
        <v>49</v>
      </c>
      <c r="AF510" t="s">
        <v>49</v>
      </c>
      <c r="AG510" t="s">
        <v>49</v>
      </c>
      <c r="AH510" t="s">
        <v>48</v>
      </c>
      <c r="AI510" t="s">
        <v>48</v>
      </c>
      <c r="AJ510" t="s">
        <v>48</v>
      </c>
      <c r="AK510" t="s">
        <v>62</v>
      </c>
      <c r="AL510" t="s">
        <v>63</v>
      </c>
      <c r="AM510" t="s">
        <v>61</v>
      </c>
      <c r="AN510" t="s">
        <v>64</v>
      </c>
      <c r="AO510" t="s">
        <v>1499</v>
      </c>
      <c r="AP510">
        <v>1</v>
      </c>
      <c r="AQ510" t="s">
        <v>66</v>
      </c>
      <c r="AR510" t="s">
        <v>131</v>
      </c>
      <c r="AS510">
        <v>2022</v>
      </c>
      <c r="AT510" t="s">
        <v>49</v>
      </c>
      <c r="AU510" t="s">
        <v>299</v>
      </c>
      <c r="AV510" t="s">
        <v>269</v>
      </c>
      <c r="AW510" t="s">
        <v>48</v>
      </c>
    </row>
    <row r="511" spans="1:49" x14ac:dyDescent="0.3">
      <c r="A511" t="s">
        <v>1502</v>
      </c>
      <c r="B511" t="s">
        <v>48</v>
      </c>
      <c r="C511" t="s">
        <v>49</v>
      </c>
      <c r="D511">
        <v>656.1</v>
      </c>
      <c r="E511">
        <v>1</v>
      </c>
      <c r="F511">
        <v>3.18</v>
      </c>
      <c r="G511" t="s">
        <v>393</v>
      </c>
      <c r="H511" t="s">
        <v>1503</v>
      </c>
      <c r="I511" t="s">
        <v>52</v>
      </c>
      <c r="J511" t="s">
        <v>53</v>
      </c>
      <c r="K511">
        <v>900</v>
      </c>
      <c r="L511" t="s">
        <v>126</v>
      </c>
      <c r="M511">
        <f>DOWNLOAD_2kLRbPnDtawQopEJ_UKtt22ud9U57gk8mqebZIeugNk[[#This Row],[Standard Value]]</f>
        <v>900</v>
      </c>
      <c r="N511">
        <f>-LOG(DOWNLOAD_2kLRbPnDtawQopEJ_UKtt22ud9U57gk8mqebZIeugNk[[#This Row],[IC50]]*POWER(10, -9), 10)</f>
        <v>6.0457574905606748</v>
      </c>
      <c r="O511">
        <v>6.05</v>
      </c>
      <c r="P511" t="s">
        <v>48</v>
      </c>
      <c r="R511" t="s">
        <v>127</v>
      </c>
      <c r="S511">
        <v>9.2100000000000009</v>
      </c>
      <c r="T511">
        <v>0.18</v>
      </c>
      <c r="U511">
        <v>2.87</v>
      </c>
      <c r="V511">
        <v>3.62</v>
      </c>
      <c r="W511">
        <v>0</v>
      </c>
      <c r="X511" t="s">
        <v>1497</v>
      </c>
      <c r="Y511" t="s">
        <v>1498</v>
      </c>
      <c r="Z511" t="s">
        <v>58</v>
      </c>
      <c r="AA511" t="s">
        <v>59</v>
      </c>
      <c r="AB511" t="s">
        <v>60</v>
      </c>
      <c r="AC511" t="s">
        <v>61</v>
      </c>
      <c r="AD511" t="s">
        <v>49</v>
      </c>
      <c r="AE511" t="s">
        <v>49</v>
      </c>
      <c r="AF511" t="s">
        <v>49</v>
      </c>
      <c r="AG511" t="s">
        <v>49</v>
      </c>
      <c r="AH511" t="s">
        <v>48</v>
      </c>
      <c r="AI511" t="s">
        <v>48</v>
      </c>
      <c r="AJ511" t="s">
        <v>48</v>
      </c>
      <c r="AK511" t="s">
        <v>62</v>
      </c>
      <c r="AL511" t="s">
        <v>63</v>
      </c>
      <c r="AM511" t="s">
        <v>61</v>
      </c>
      <c r="AN511" t="s">
        <v>64</v>
      </c>
      <c r="AO511" t="s">
        <v>1499</v>
      </c>
      <c r="AP511">
        <v>1</v>
      </c>
      <c r="AQ511" t="s">
        <v>66</v>
      </c>
      <c r="AR511" t="s">
        <v>131</v>
      </c>
      <c r="AS511">
        <v>2022</v>
      </c>
      <c r="AT511" t="s">
        <v>49</v>
      </c>
      <c r="AU511" t="s">
        <v>299</v>
      </c>
      <c r="AV511" t="s">
        <v>269</v>
      </c>
      <c r="AW511" t="s">
        <v>48</v>
      </c>
    </row>
    <row r="512" spans="1:49" x14ac:dyDescent="0.3">
      <c r="A512" t="s">
        <v>1504</v>
      </c>
      <c r="B512" t="s">
        <v>48</v>
      </c>
      <c r="C512" t="s">
        <v>49</v>
      </c>
      <c r="D512">
        <v>359.4</v>
      </c>
      <c r="E512">
        <v>0</v>
      </c>
      <c r="F512">
        <v>2.35</v>
      </c>
      <c r="G512" t="s">
        <v>1505</v>
      </c>
      <c r="H512" t="s">
        <v>1506</v>
      </c>
      <c r="I512" t="s">
        <v>52</v>
      </c>
      <c r="J512" t="s">
        <v>53</v>
      </c>
      <c r="K512">
        <v>7.5</v>
      </c>
      <c r="L512" t="s">
        <v>54</v>
      </c>
      <c r="M512">
        <f>DOWNLOAD_2kLRbPnDtawQopEJ_UKtt22ud9U57gk8mqebZIeugNk[[#This Row],[Standard Value]]/DOWNLOAD_2kLRbPnDtawQopEJ_UKtt22ud9U57gk8mqebZIeugNk[[#This Row],[Molecular Weight]]*1000*1000</f>
        <v>20868.113522537562</v>
      </c>
      <c r="N512">
        <f>-LOG(DOWNLOAD_2kLRbPnDtawQopEJ_UKtt22ud9U57gk8mqebZIeugNk[[#This Row],[IC50]]*POWER(10, -9), 10)</f>
        <v>4.6805168093812544</v>
      </c>
      <c r="P512" t="s">
        <v>48</v>
      </c>
      <c r="R512" t="s">
        <v>55</v>
      </c>
      <c r="W512">
        <v>0</v>
      </c>
      <c r="X512" t="s">
        <v>80</v>
      </c>
      <c r="Y512" t="s">
        <v>81</v>
      </c>
      <c r="Z512" t="s">
        <v>58</v>
      </c>
      <c r="AA512" t="s">
        <v>59</v>
      </c>
      <c r="AB512" t="s">
        <v>60</v>
      </c>
      <c r="AC512" t="s">
        <v>61</v>
      </c>
      <c r="AD512" t="s">
        <v>49</v>
      </c>
      <c r="AE512" t="s">
        <v>49</v>
      </c>
      <c r="AF512" t="s">
        <v>49</v>
      </c>
      <c r="AG512" t="s">
        <v>49</v>
      </c>
      <c r="AH512" t="s">
        <v>48</v>
      </c>
      <c r="AI512" t="s">
        <v>48</v>
      </c>
      <c r="AJ512" t="s">
        <v>48</v>
      </c>
      <c r="AK512" t="s">
        <v>62</v>
      </c>
      <c r="AL512" t="s">
        <v>63</v>
      </c>
      <c r="AM512" t="s">
        <v>61</v>
      </c>
      <c r="AN512" t="s">
        <v>64</v>
      </c>
      <c r="AO512" t="s">
        <v>82</v>
      </c>
      <c r="AP512">
        <v>1</v>
      </c>
      <c r="AQ512" t="s">
        <v>66</v>
      </c>
      <c r="AR512" t="s">
        <v>67</v>
      </c>
      <c r="AS512">
        <v>1993</v>
      </c>
      <c r="AT512" t="s">
        <v>49</v>
      </c>
      <c r="AU512" t="s">
        <v>48</v>
      </c>
      <c r="AV512" t="s">
        <v>48</v>
      </c>
      <c r="AW512" t="s">
        <v>48</v>
      </c>
    </row>
    <row r="513" spans="1:49" x14ac:dyDescent="0.3">
      <c r="A513" t="s">
        <v>1507</v>
      </c>
      <c r="B513" t="s">
        <v>48</v>
      </c>
      <c r="C513" t="s">
        <v>49</v>
      </c>
      <c r="D513">
        <v>504.65</v>
      </c>
      <c r="E513">
        <v>2</v>
      </c>
      <c r="F513">
        <v>5.07</v>
      </c>
      <c r="G513" t="s">
        <v>1508</v>
      </c>
      <c r="H513" t="s">
        <v>1509</v>
      </c>
      <c r="I513" t="s">
        <v>52</v>
      </c>
      <c r="J513" t="s">
        <v>53</v>
      </c>
      <c r="K513">
        <v>3900</v>
      </c>
      <c r="L513" t="s">
        <v>126</v>
      </c>
      <c r="M513">
        <f>DOWNLOAD_2kLRbPnDtawQopEJ_UKtt22ud9U57gk8mqebZIeugNk[[#This Row],[Standard Value]]</f>
        <v>3900</v>
      </c>
      <c r="N513">
        <f>-LOG(DOWNLOAD_2kLRbPnDtawQopEJ_UKtt22ud9U57gk8mqebZIeugNk[[#This Row],[IC50]]*POWER(10, -9), 10)</f>
        <v>5.4089353929735005</v>
      </c>
      <c r="O513">
        <v>5.41</v>
      </c>
      <c r="P513" t="s">
        <v>48</v>
      </c>
      <c r="R513" t="s">
        <v>127</v>
      </c>
      <c r="S513">
        <v>10.72</v>
      </c>
      <c r="T513">
        <v>0.22</v>
      </c>
      <c r="U513">
        <v>0.34</v>
      </c>
      <c r="V513">
        <v>6.53</v>
      </c>
      <c r="W513">
        <v>0</v>
      </c>
      <c r="X513" t="s">
        <v>1510</v>
      </c>
      <c r="Y513" t="s">
        <v>1511</v>
      </c>
      <c r="Z513" t="s">
        <v>58</v>
      </c>
      <c r="AA513" t="s">
        <v>59</v>
      </c>
      <c r="AB513" t="s">
        <v>60</v>
      </c>
      <c r="AC513" t="s">
        <v>61</v>
      </c>
      <c r="AD513" t="s">
        <v>49</v>
      </c>
      <c r="AE513" t="s">
        <v>49</v>
      </c>
      <c r="AF513" t="s">
        <v>49</v>
      </c>
      <c r="AG513" t="s">
        <v>49</v>
      </c>
      <c r="AH513" t="s">
        <v>48</v>
      </c>
      <c r="AI513" t="s">
        <v>48</v>
      </c>
      <c r="AJ513" t="s">
        <v>48</v>
      </c>
      <c r="AK513" t="s">
        <v>62</v>
      </c>
      <c r="AL513" t="s">
        <v>63</v>
      </c>
      <c r="AM513" t="s">
        <v>61</v>
      </c>
      <c r="AN513" t="s">
        <v>64</v>
      </c>
      <c r="AO513" t="s">
        <v>1512</v>
      </c>
      <c r="AP513">
        <v>1</v>
      </c>
      <c r="AQ513" t="s">
        <v>66</v>
      </c>
      <c r="AR513" t="s">
        <v>76</v>
      </c>
      <c r="AS513">
        <v>2022</v>
      </c>
      <c r="AT513" t="s">
        <v>49</v>
      </c>
      <c r="AU513" t="s">
        <v>48</v>
      </c>
      <c r="AV513" t="s">
        <v>269</v>
      </c>
      <c r="AW513" t="s">
        <v>48</v>
      </c>
    </row>
    <row r="514" spans="1:49" x14ac:dyDescent="0.3">
      <c r="A514" t="s">
        <v>1513</v>
      </c>
      <c r="B514" t="s">
        <v>48</v>
      </c>
      <c r="C514" t="s">
        <v>49</v>
      </c>
      <c r="D514">
        <v>522.54</v>
      </c>
      <c r="E514">
        <v>1</v>
      </c>
      <c r="F514">
        <v>2.27</v>
      </c>
      <c r="G514" t="s">
        <v>96</v>
      </c>
      <c r="H514" t="s">
        <v>1514</v>
      </c>
      <c r="I514" t="s">
        <v>52</v>
      </c>
      <c r="J514" t="s">
        <v>53</v>
      </c>
      <c r="K514">
        <v>0.21</v>
      </c>
      <c r="L514" t="s">
        <v>54</v>
      </c>
      <c r="M514">
        <f>DOWNLOAD_2kLRbPnDtawQopEJ_UKtt22ud9U57gk8mqebZIeugNk[[#This Row],[Standard Value]]/DOWNLOAD_2kLRbPnDtawQopEJ_UKtt22ud9U57gk8mqebZIeugNk[[#This Row],[Molecular Weight]]*1000*1000</f>
        <v>401.88310942702952</v>
      </c>
      <c r="N514">
        <f>-LOG(DOWNLOAD_2kLRbPnDtawQopEJ_UKtt22ud9U57gk8mqebZIeugNk[[#This Row],[IC50]]*POWER(10, -9), 10)</f>
        <v>6.3959002462010597</v>
      </c>
      <c r="P514" t="s">
        <v>48</v>
      </c>
      <c r="R514" t="s">
        <v>55</v>
      </c>
      <c r="W514">
        <v>0</v>
      </c>
      <c r="X514" t="s">
        <v>877</v>
      </c>
      <c r="Y514" t="s">
        <v>878</v>
      </c>
      <c r="Z514" t="s">
        <v>58</v>
      </c>
      <c r="AA514" t="s">
        <v>59</v>
      </c>
      <c r="AB514" t="s">
        <v>60</v>
      </c>
      <c r="AC514" t="s">
        <v>61</v>
      </c>
      <c r="AD514" t="s">
        <v>49</v>
      </c>
      <c r="AE514" t="s">
        <v>49</v>
      </c>
      <c r="AF514" t="s">
        <v>49</v>
      </c>
      <c r="AG514" t="s">
        <v>49</v>
      </c>
      <c r="AH514" t="s">
        <v>48</v>
      </c>
      <c r="AI514" t="s">
        <v>48</v>
      </c>
      <c r="AJ514" t="s">
        <v>48</v>
      </c>
      <c r="AK514" t="s">
        <v>62</v>
      </c>
      <c r="AL514" t="s">
        <v>63</v>
      </c>
      <c r="AM514" t="s">
        <v>61</v>
      </c>
      <c r="AN514" t="s">
        <v>64</v>
      </c>
      <c r="AO514" t="s">
        <v>879</v>
      </c>
      <c r="AP514">
        <v>1</v>
      </c>
      <c r="AQ514" t="s">
        <v>66</v>
      </c>
      <c r="AR514" t="s">
        <v>131</v>
      </c>
      <c r="AS514">
        <v>2020</v>
      </c>
      <c r="AT514" t="s">
        <v>49</v>
      </c>
      <c r="AU514" t="s">
        <v>48</v>
      </c>
      <c r="AV514" t="s">
        <v>269</v>
      </c>
      <c r="AW514" t="s">
        <v>48</v>
      </c>
    </row>
    <row r="515" spans="1:49" x14ac:dyDescent="0.3">
      <c r="A515" t="s">
        <v>1515</v>
      </c>
      <c r="B515" t="s">
        <v>1516</v>
      </c>
      <c r="C515" t="s">
        <v>49</v>
      </c>
      <c r="D515">
        <v>254.24</v>
      </c>
      <c r="E515">
        <v>0</v>
      </c>
      <c r="F515">
        <v>2.87</v>
      </c>
      <c r="G515" t="s">
        <v>1517</v>
      </c>
      <c r="H515" t="s">
        <v>1518</v>
      </c>
      <c r="I515" t="s">
        <v>52</v>
      </c>
      <c r="J515" t="s">
        <v>53</v>
      </c>
      <c r="K515">
        <v>89.2</v>
      </c>
      <c r="L515" t="s">
        <v>54</v>
      </c>
      <c r="M515">
        <f>DOWNLOAD_2kLRbPnDtawQopEJ_UKtt22ud9U57gk8mqebZIeugNk[[#This Row],[Standard Value]]/DOWNLOAD_2kLRbPnDtawQopEJ_UKtt22ud9U57gk8mqebZIeugNk[[#This Row],[Molecular Weight]]*1000*1000</f>
        <v>350849.59093769669</v>
      </c>
      <c r="N515">
        <f>-LOG(DOWNLOAD_2kLRbPnDtawQopEJ_UKtt22ud9U57gk8mqebZIeugNk[[#This Row],[IC50]]*POWER(10, -9), 10)</f>
        <v>3.4548790254871808</v>
      </c>
      <c r="P515" t="s">
        <v>72</v>
      </c>
      <c r="R515" t="s">
        <v>55</v>
      </c>
      <c r="W515">
        <v>0</v>
      </c>
      <c r="X515" t="s">
        <v>314</v>
      </c>
      <c r="Y515" t="s">
        <v>315</v>
      </c>
      <c r="Z515" t="s">
        <v>58</v>
      </c>
      <c r="AA515" t="s">
        <v>59</v>
      </c>
      <c r="AB515" t="s">
        <v>60</v>
      </c>
      <c r="AC515" t="s">
        <v>61</v>
      </c>
      <c r="AD515" t="s">
        <v>49</v>
      </c>
      <c r="AE515" t="s">
        <v>49</v>
      </c>
      <c r="AF515" t="s">
        <v>49</v>
      </c>
      <c r="AG515" t="s">
        <v>49</v>
      </c>
      <c r="AH515" t="s">
        <v>48</v>
      </c>
      <c r="AI515" t="s">
        <v>48</v>
      </c>
      <c r="AJ515" t="s">
        <v>48</v>
      </c>
      <c r="AK515" t="s">
        <v>62</v>
      </c>
      <c r="AL515" t="s">
        <v>63</v>
      </c>
      <c r="AM515" t="s">
        <v>61</v>
      </c>
      <c r="AN515" t="s">
        <v>64</v>
      </c>
      <c r="AO515" t="s">
        <v>316</v>
      </c>
      <c r="AP515">
        <v>1</v>
      </c>
      <c r="AQ515" t="s">
        <v>66</v>
      </c>
      <c r="AR515" t="s">
        <v>76</v>
      </c>
      <c r="AS515">
        <v>1993</v>
      </c>
      <c r="AT515" t="s">
        <v>49</v>
      </c>
      <c r="AU515" t="s">
        <v>48</v>
      </c>
      <c r="AV515" t="s">
        <v>48</v>
      </c>
      <c r="AW515" t="s">
        <v>48</v>
      </c>
    </row>
    <row r="516" spans="1:49" x14ac:dyDescent="0.3">
      <c r="A516" t="s">
        <v>1519</v>
      </c>
      <c r="B516" t="s">
        <v>48</v>
      </c>
      <c r="C516" t="s">
        <v>49</v>
      </c>
      <c r="D516">
        <v>485.47</v>
      </c>
      <c r="E516">
        <v>1</v>
      </c>
      <c r="F516">
        <v>2.29</v>
      </c>
      <c r="G516" t="s">
        <v>396</v>
      </c>
      <c r="H516" t="s">
        <v>1520</v>
      </c>
      <c r="I516" t="s">
        <v>52</v>
      </c>
      <c r="J516" t="s">
        <v>53</v>
      </c>
      <c r="K516">
        <v>0.66</v>
      </c>
      <c r="L516" t="s">
        <v>126</v>
      </c>
      <c r="M516">
        <f>DOWNLOAD_2kLRbPnDtawQopEJ_UKtt22ud9U57gk8mqebZIeugNk[[#This Row],[Standard Value]]</f>
        <v>0.66</v>
      </c>
      <c r="N516">
        <f>-LOG(DOWNLOAD_2kLRbPnDtawQopEJ_UKtt22ud9U57gk8mqebZIeugNk[[#This Row],[IC50]]*POWER(10, -9), 10)</f>
        <v>9.1804560644581308</v>
      </c>
      <c r="O516">
        <v>9.18</v>
      </c>
      <c r="P516" t="s">
        <v>48</v>
      </c>
      <c r="R516" t="s">
        <v>127</v>
      </c>
      <c r="S516">
        <v>20.89</v>
      </c>
      <c r="T516">
        <v>0.39</v>
      </c>
      <c r="U516">
        <v>6.89</v>
      </c>
      <c r="V516">
        <v>6.78</v>
      </c>
      <c r="W516">
        <v>0</v>
      </c>
      <c r="X516" t="s">
        <v>264</v>
      </c>
      <c r="Y516" t="s">
        <v>265</v>
      </c>
      <c r="Z516" t="s">
        <v>58</v>
      </c>
      <c r="AA516" t="s">
        <v>59</v>
      </c>
      <c r="AB516" t="s">
        <v>60</v>
      </c>
      <c r="AC516" t="s">
        <v>61</v>
      </c>
      <c r="AD516" t="s">
        <v>49</v>
      </c>
      <c r="AE516" t="s">
        <v>49</v>
      </c>
      <c r="AF516" t="s">
        <v>49</v>
      </c>
      <c r="AG516" t="s">
        <v>49</v>
      </c>
      <c r="AH516" t="s">
        <v>48</v>
      </c>
      <c r="AI516" t="s">
        <v>48</v>
      </c>
      <c r="AJ516" t="s">
        <v>48</v>
      </c>
      <c r="AK516" t="s">
        <v>62</v>
      </c>
      <c r="AL516" t="s">
        <v>63</v>
      </c>
      <c r="AM516" t="s">
        <v>61</v>
      </c>
      <c r="AN516" t="s">
        <v>64</v>
      </c>
      <c r="AO516" t="s">
        <v>266</v>
      </c>
      <c r="AP516">
        <v>1</v>
      </c>
      <c r="AQ516" t="s">
        <v>66</v>
      </c>
      <c r="AR516" t="s">
        <v>267</v>
      </c>
      <c r="AS516">
        <v>2020</v>
      </c>
      <c r="AT516" t="s">
        <v>49</v>
      </c>
      <c r="AU516" t="s">
        <v>268</v>
      </c>
      <c r="AV516" t="s">
        <v>269</v>
      </c>
      <c r="AW516" t="s">
        <v>48</v>
      </c>
    </row>
    <row r="517" spans="1:49" x14ac:dyDescent="0.3">
      <c r="A517" t="s">
        <v>1521</v>
      </c>
      <c r="B517" t="s">
        <v>48</v>
      </c>
      <c r="C517" t="s">
        <v>49</v>
      </c>
      <c r="D517">
        <v>503.67</v>
      </c>
      <c r="E517">
        <v>1</v>
      </c>
      <c r="F517">
        <v>4.33</v>
      </c>
      <c r="G517" t="s">
        <v>1197</v>
      </c>
      <c r="H517" t="s">
        <v>1522</v>
      </c>
      <c r="I517" t="s">
        <v>52</v>
      </c>
      <c r="J517" t="s">
        <v>53</v>
      </c>
      <c r="K517">
        <v>18420</v>
      </c>
      <c r="L517" t="s">
        <v>126</v>
      </c>
      <c r="M517">
        <f>DOWNLOAD_2kLRbPnDtawQopEJ_UKtt22ud9U57gk8mqebZIeugNk[[#This Row],[Standard Value]]</f>
        <v>18420</v>
      </c>
      <c r="N517">
        <f>-LOG(DOWNLOAD_2kLRbPnDtawQopEJ_UKtt22ud9U57gk8mqebZIeugNk[[#This Row],[IC50]]*POWER(10, -9), 10)</f>
        <v>4.7347103741391701</v>
      </c>
      <c r="O517">
        <v>4.74</v>
      </c>
      <c r="P517" t="s">
        <v>48</v>
      </c>
      <c r="R517" t="s">
        <v>127</v>
      </c>
      <c r="S517">
        <v>9.4</v>
      </c>
      <c r="T517">
        <v>0.19</v>
      </c>
      <c r="U517">
        <v>0.4</v>
      </c>
      <c r="V517">
        <v>8.6199999999999992</v>
      </c>
      <c r="W517">
        <v>0</v>
      </c>
      <c r="X517" t="s">
        <v>1510</v>
      </c>
      <c r="Y517" t="s">
        <v>1511</v>
      </c>
      <c r="Z517" t="s">
        <v>58</v>
      </c>
      <c r="AA517" t="s">
        <v>59</v>
      </c>
      <c r="AB517" t="s">
        <v>60</v>
      </c>
      <c r="AC517" t="s">
        <v>61</v>
      </c>
      <c r="AD517" t="s">
        <v>49</v>
      </c>
      <c r="AE517" t="s">
        <v>49</v>
      </c>
      <c r="AF517" t="s">
        <v>49</v>
      </c>
      <c r="AG517" t="s">
        <v>49</v>
      </c>
      <c r="AH517" t="s">
        <v>48</v>
      </c>
      <c r="AI517" t="s">
        <v>48</v>
      </c>
      <c r="AJ517" t="s">
        <v>48</v>
      </c>
      <c r="AK517" t="s">
        <v>62</v>
      </c>
      <c r="AL517" t="s">
        <v>63</v>
      </c>
      <c r="AM517" t="s">
        <v>61</v>
      </c>
      <c r="AN517" t="s">
        <v>64</v>
      </c>
      <c r="AO517" t="s">
        <v>1512</v>
      </c>
      <c r="AP517">
        <v>1</v>
      </c>
      <c r="AQ517" t="s">
        <v>66</v>
      </c>
      <c r="AR517" t="s">
        <v>76</v>
      </c>
      <c r="AS517">
        <v>2022</v>
      </c>
      <c r="AT517" t="s">
        <v>49</v>
      </c>
      <c r="AU517" t="s">
        <v>48</v>
      </c>
      <c r="AV517" t="s">
        <v>269</v>
      </c>
      <c r="AW517" t="s">
        <v>48</v>
      </c>
    </row>
    <row r="518" spans="1:49" x14ac:dyDescent="0.3">
      <c r="A518" t="s">
        <v>281</v>
      </c>
      <c r="B518" t="s">
        <v>282</v>
      </c>
      <c r="C518" t="s">
        <v>112</v>
      </c>
      <c r="D518">
        <v>331.35</v>
      </c>
      <c r="E518">
        <v>0</v>
      </c>
      <c r="F518">
        <v>1.58</v>
      </c>
      <c r="G518" t="s">
        <v>584</v>
      </c>
      <c r="H518" t="s">
        <v>284</v>
      </c>
      <c r="I518" t="s">
        <v>52</v>
      </c>
      <c r="J518" t="s">
        <v>53</v>
      </c>
      <c r="K518">
        <v>3.1</v>
      </c>
      <c r="L518" t="s">
        <v>54</v>
      </c>
      <c r="M518">
        <f>DOWNLOAD_2kLRbPnDtawQopEJ_UKtt22ud9U57gk8mqebZIeugNk[[#This Row],[Standard Value]]/DOWNLOAD_2kLRbPnDtawQopEJ_UKtt22ud9U57gk8mqebZIeugNk[[#This Row],[Molecular Weight]]*1000*1000</f>
        <v>9355.6662139731397</v>
      </c>
      <c r="N518">
        <f>-LOG(DOWNLOAD_2kLRbPnDtawQopEJ_UKtt22ud9U57gk8mqebZIeugNk[[#This Row],[IC50]]*POWER(10, -9), 10)</f>
        <v>5.0289252810928424</v>
      </c>
      <c r="P518" t="s">
        <v>48</v>
      </c>
      <c r="R518" t="s">
        <v>55</v>
      </c>
      <c r="W518">
        <v>0</v>
      </c>
      <c r="X518" t="s">
        <v>235</v>
      </c>
      <c r="Y518" t="s">
        <v>236</v>
      </c>
      <c r="Z518" t="s">
        <v>58</v>
      </c>
      <c r="AA518" t="s">
        <v>59</v>
      </c>
      <c r="AB518" t="s">
        <v>60</v>
      </c>
      <c r="AC518" t="s">
        <v>61</v>
      </c>
      <c r="AD518" t="s">
        <v>49</v>
      </c>
      <c r="AE518" t="s">
        <v>49</v>
      </c>
      <c r="AF518" t="s">
        <v>49</v>
      </c>
      <c r="AG518" t="s">
        <v>49</v>
      </c>
      <c r="AH518" t="s">
        <v>48</v>
      </c>
      <c r="AI518" t="s">
        <v>48</v>
      </c>
      <c r="AJ518" t="s">
        <v>48</v>
      </c>
      <c r="AK518" t="s">
        <v>62</v>
      </c>
      <c r="AL518" t="s">
        <v>63</v>
      </c>
      <c r="AM518" t="s">
        <v>61</v>
      </c>
      <c r="AN518" t="s">
        <v>64</v>
      </c>
      <c r="AO518" t="s">
        <v>237</v>
      </c>
      <c r="AP518">
        <v>1</v>
      </c>
      <c r="AQ518" t="s">
        <v>66</v>
      </c>
      <c r="AR518" t="s">
        <v>67</v>
      </c>
      <c r="AS518">
        <v>2005</v>
      </c>
      <c r="AT518" t="s">
        <v>49</v>
      </c>
      <c r="AU518" t="s">
        <v>48</v>
      </c>
      <c r="AV518" t="s">
        <v>48</v>
      </c>
      <c r="AW518" t="s">
        <v>48</v>
      </c>
    </row>
    <row r="519" spans="1:49" x14ac:dyDescent="0.3">
      <c r="A519" t="s">
        <v>1523</v>
      </c>
      <c r="B519" t="s">
        <v>48</v>
      </c>
      <c r="C519" t="s">
        <v>49</v>
      </c>
      <c r="D519">
        <v>394.83</v>
      </c>
      <c r="E519">
        <v>0</v>
      </c>
      <c r="F519">
        <v>1.46</v>
      </c>
      <c r="G519" t="s">
        <v>847</v>
      </c>
      <c r="H519" t="s">
        <v>1524</v>
      </c>
      <c r="I519" t="s">
        <v>52</v>
      </c>
      <c r="J519" t="s">
        <v>53</v>
      </c>
      <c r="K519">
        <v>3.8</v>
      </c>
      <c r="L519" t="s">
        <v>54</v>
      </c>
      <c r="M519">
        <f>DOWNLOAD_2kLRbPnDtawQopEJ_UKtt22ud9U57gk8mqebZIeugNk[[#This Row],[Standard Value]]/DOWNLOAD_2kLRbPnDtawQopEJ_UKtt22ud9U57gk8mqebZIeugNk[[#This Row],[Molecular Weight]]*1000*1000</f>
        <v>9624.3953093736527</v>
      </c>
      <c r="N519">
        <f>-LOG(DOWNLOAD_2kLRbPnDtawQopEJ_UKtt22ud9U57gk8mqebZIeugNk[[#This Row],[IC50]]*POWER(10, -9), 10)</f>
        <v>5.0166265472274594</v>
      </c>
      <c r="P519" t="s">
        <v>48</v>
      </c>
      <c r="R519" t="s">
        <v>55</v>
      </c>
      <c r="W519">
        <v>0</v>
      </c>
      <c r="X519" t="s">
        <v>98</v>
      </c>
      <c r="Y519" t="s">
        <v>99</v>
      </c>
      <c r="Z519" t="s">
        <v>58</v>
      </c>
      <c r="AA519" t="s">
        <v>59</v>
      </c>
      <c r="AB519" t="s">
        <v>60</v>
      </c>
      <c r="AC519" t="s">
        <v>49</v>
      </c>
      <c r="AD519" t="s">
        <v>49</v>
      </c>
      <c r="AE519" t="s">
        <v>49</v>
      </c>
      <c r="AF519" t="s">
        <v>49</v>
      </c>
      <c r="AG519" t="s">
        <v>49</v>
      </c>
      <c r="AH519" t="s">
        <v>48</v>
      </c>
      <c r="AI519" t="s">
        <v>48</v>
      </c>
      <c r="AJ519" t="s">
        <v>48</v>
      </c>
      <c r="AK519" t="s">
        <v>62</v>
      </c>
      <c r="AL519" t="s">
        <v>63</v>
      </c>
      <c r="AM519" t="s">
        <v>61</v>
      </c>
      <c r="AN519" t="s">
        <v>64</v>
      </c>
      <c r="AO519" t="s">
        <v>100</v>
      </c>
      <c r="AP519">
        <v>1</v>
      </c>
      <c r="AQ519" t="s">
        <v>66</v>
      </c>
      <c r="AR519" t="s">
        <v>67</v>
      </c>
      <c r="AS519">
        <v>1991</v>
      </c>
      <c r="AT519" t="s">
        <v>49</v>
      </c>
      <c r="AU519" t="s">
        <v>48</v>
      </c>
      <c r="AV519" t="s">
        <v>48</v>
      </c>
      <c r="AW519" t="s">
        <v>48</v>
      </c>
    </row>
    <row r="520" spans="1:49" x14ac:dyDescent="0.3">
      <c r="A520" t="s">
        <v>1525</v>
      </c>
      <c r="B520" t="s">
        <v>48</v>
      </c>
      <c r="C520" t="s">
        <v>49</v>
      </c>
      <c r="D520">
        <v>390.39</v>
      </c>
      <c r="E520">
        <v>0</v>
      </c>
      <c r="F520">
        <v>1.79</v>
      </c>
      <c r="G520" t="s">
        <v>396</v>
      </c>
      <c r="H520" t="s">
        <v>1526</v>
      </c>
      <c r="I520" t="s">
        <v>52</v>
      </c>
      <c r="J520" t="s">
        <v>53</v>
      </c>
      <c r="K520">
        <v>5.5</v>
      </c>
      <c r="L520" t="s">
        <v>54</v>
      </c>
      <c r="M520">
        <f>DOWNLOAD_2kLRbPnDtawQopEJ_UKtt22ud9U57gk8mqebZIeugNk[[#This Row],[Standard Value]]/DOWNLOAD_2kLRbPnDtawQopEJ_UKtt22ud9U57gk8mqebZIeugNk[[#This Row],[Molecular Weight]]*1000*1000</f>
        <v>14088.475626937166</v>
      </c>
      <c r="N520">
        <f>-LOG(DOWNLOAD_2kLRbPnDtawQopEJ_UKtt22ud9U57gk8mqebZIeugNk[[#This Row],[IC50]]*POWER(10, -9), 10)</f>
        <v>4.8511359950115738</v>
      </c>
      <c r="P520" t="s">
        <v>48</v>
      </c>
      <c r="R520" t="s">
        <v>55</v>
      </c>
      <c r="W520">
        <v>0</v>
      </c>
      <c r="X520" t="s">
        <v>98</v>
      </c>
      <c r="Y520" t="s">
        <v>99</v>
      </c>
      <c r="Z520" t="s">
        <v>58</v>
      </c>
      <c r="AA520" t="s">
        <v>59</v>
      </c>
      <c r="AB520" t="s">
        <v>60</v>
      </c>
      <c r="AC520" t="s">
        <v>49</v>
      </c>
      <c r="AD520" t="s">
        <v>49</v>
      </c>
      <c r="AE520" t="s">
        <v>49</v>
      </c>
      <c r="AF520" t="s">
        <v>49</v>
      </c>
      <c r="AG520" t="s">
        <v>49</v>
      </c>
      <c r="AH520" t="s">
        <v>48</v>
      </c>
      <c r="AI520" t="s">
        <v>48</v>
      </c>
      <c r="AJ520" t="s">
        <v>48</v>
      </c>
      <c r="AK520" t="s">
        <v>62</v>
      </c>
      <c r="AL520" t="s">
        <v>63</v>
      </c>
      <c r="AM520" t="s">
        <v>61</v>
      </c>
      <c r="AN520" t="s">
        <v>64</v>
      </c>
      <c r="AO520" t="s">
        <v>100</v>
      </c>
      <c r="AP520">
        <v>1</v>
      </c>
      <c r="AQ520" t="s">
        <v>66</v>
      </c>
      <c r="AR520" t="s">
        <v>67</v>
      </c>
      <c r="AS520">
        <v>1991</v>
      </c>
      <c r="AT520" t="s">
        <v>49</v>
      </c>
      <c r="AU520" t="s">
        <v>48</v>
      </c>
      <c r="AV520" t="s">
        <v>48</v>
      </c>
      <c r="AW520" t="s">
        <v>48</v>
      </c>
    </row>
    <row r="521" spans="1:49" x14ac:dyDescent="0.3">
      <c r="A521" t="s">
        <v>1527</v>
      </c>
      <c r="B521" t="s">
        <v>48</v>
      </c>
      <c r="C521" t="s">
        <v>49</v>
      </c>
      <c r="D521">
        <v>389.4</v>
      </c>
      <c r="E521">
        <v>0</v>
      </c>
      <c r="F521">
        <v>2.6</v>
      </c>
      <c r="G521" t="s">
        <v>274</v>
      </c>
      <c r="H521" t="s">
        <v>1528</v>
      </c>
      <c r="I521" t="s">
        <v>52</v>
      </c>
      <c r="J521" t="s">
        <v>53</v>
      </c>
      <c r="K521">
        <v>6.3</v>
      </c>
      <c r="L521" t="s">
        <v>54</v>
      </c>
      <c r="M521">
        <f>DOWNLOAD_2kLRbPnDtawQopEJ_UKtt22ud9U57gk8mqebZIeugNk[[#This Row],[Standard Value]]/DOWNLOAD_2kLRbPnDtawQopEJ_UKtt22ud9U57gk8mqebZIeugNk[[#This Row],[Molecular Weight]]*1000*1000</f>
        <v>16178.736517719568</v>
      </c>
      <c r="N521">
        <f>-LOG(DOWNLOAD_2kLRbPnDtawQopEJ_UKtt22ud9U57gk8mqebZIeugNk[[#This Row],[IC50]]*POWER(10, -9), 10)</f>
        <v>4.7910553977304309</v>
      </c>
      <c r="P521" t="s">
        <v>48</v>
      </c>
      <c r="R521" t="s">
        <v>55</v>
      </c>
      <c r="W521">
        <v>0</v>
      </c>
      <c r="X521" t="s">
        <v>98</v>
      </c>
      <c r="Y521" t="s">
        <v>99</v>
      </c>
      <c r="Z521" t="s">
        <v>58</v>
      </c>
      <c r="AA521" t="s">
        <v>59</v>
      </c>
      <c r="AB521" t="s">
        <v>60</v>
      </c>
      <c r="AC521" t="s">
        <v>49</v>
      </c>
      <c r="AD521" t="s">
        <v>49</v>
      </c>
      <c r="AE521" t="s">
        <v>49</v>
      </c>
      <c r="AF521" t="s">
        <v>49</v>
      </c>
      <c r="AG521" t="s">
        <v>49</v>
      </c>
      <c r="AH521" t="s">
        <v>48</v>
      </c>
      <c r="AI521" t="s">
        <v>48</v>
      </c>
      <c r="AJ521" t="s">
        <v>48</v>
      </c>
      <c r="AK521" t="s">
        <v>62</v>
      </c>
      <c r="AL521" t="s">
        <v>63</v>
      </c>
      <c r="AM521" t="s">
        <v>61</v>
      </c>
      <c r="AN521" t="s">
        <v>64</v>
      </c>
      <c r="AO521" t="s">
        <v>100</v>
      </c>
      <c r="AP521">
        <v>1</v>
      </c>
      <c r="AQ521" t="s">
        <v>66</v>
      </c>
      <c r="AR521" t="s">
        <v>67</v>
      </c>
      <c r="AS521">
        <v>1991</v>
      </c>
      <c r="AT521" t="s">
        <v>49</v>
      </c>
      <c r="AU521" t="s">
        <v>48</v>
      </c>
      <c r="AV521" t="s">
        <v>48</v>
      </c>
      <c r="AW521" t="s">
        <v>48</v>
      </c>
    </row>
    <row r="522" spans="1:49" x14ac:dyDescent="0.3">
      <c r="A522" t="s">
        <v>226</v>
      </c>
      <c r="B522" t="s">
        <v>48</v>
      </c>
      <c r="C522" t="s">
        <v>49</v>
      </c>
      <c r="D522">
        <v>333.44</v>
      </c>
      <c r="E522">
        <v>0</v>
      </c>
      <c r="F522">
        <v>4.12</v>
      </c>
      <c r="G522" t="s">
        <v>643</v>
      </c>
      <c r="H522" t="s">
        <v>228</v>
      </c>
      <c r="I522" t="s">
        <v>52</v>
      </c>
      <c r="J522" t="s">
        <v>53</v>
      </c>
      <c r="K522">
        <v>128</v>
      </c>
      <c r="L522" t="s">
        <v>54</v>
      </c>
      <c r="M522">
        <f>DOWNLOAD_2kLRbPnDtawQopEJ_UKtt22ud9U57gk8mqebZIeugNk[[#This Row],[Standard Value]]/DOWNLOAD_2kLRbPnDtawQopEJ_UKtt22ud9U57gk8mqebZIeugNk[[#This Row],[Molecular Weight]]*1000*1000</f>
        <v>383877.15930902114</v>
      </c>
      <c r="N522">
        <f>-LOG(DOWNLOAD_2kLRbPnDtawQopEJ_UKtt22ud9U57gk8mqebZIeugNk[[#This Row],[IC50]]*POWER(10, -9), 10)</f>
        <v>3.415807727635543</v>
      </c>
      <c r="P522" t="s">
        <v>72</v>
      </c>
      <c r="R522" t="s">
        <v>55</v>
      </c>
      <c r="W522">
        <v>1</v>
      </c>
      <c r="X522" t="s">
        <v>1529</v>
      </c>
      <c r="Y522" t="s">
        <v>1530</v>
      </c>
      <c r="Z522" t="s">
        <v>58</v>
      </c>
      <c r="AA522" t="s">
        <v>59</v>
      </c>
      <c r="AB522" t="s">
        <v>60</v>
      </c>
      <c r="AC522" t="s">
        <v>61</v>
      </c>
      <c r="AD522" t="s">
        <v>49</v>
      </c>
      <c r="AE522" t="s">
        <v>49</v>
      </c>
      <c r="AF522" t="s">
        <v>49</v>
      </c>
      <c r="AG522" t="s">
        <v>49</v>
      </c>
      <c r="AH522" t="s">
        <v>48</v>
      </c>
      <c r="AI522" t="s">
        <v>48</v>
      </c>
      <c r="AJ522" t="s">
        <v>48</v>
      </c>
      <c r="AK522" t="s">
        <v>62</v>
      </c>
      <c r="AL522" t="s">
        <v>63</v>
      </c>
      <c r="AM522" t="s">
        <v>61</v>
      </c>
      <c r="AN522" t="s">
        <v>64</v>
      </c>
      <c r="AO522" t="s">
        <v>1531</v>
      </c>
      <c r="AP522">
        <v>1</v>
      </c>
      <c r="AQ522" t="s">
        <v>66</v>
      </c>
      <c r="AR522" t="s">
        <v>76</v>
      </c>
      <c r="AS522">
        <v>2021</v>
      </c>
      <c r="AT522" t="s">
        <v>49</v>
      </c>
      <c r="AU522" t="s">
        <v>268</v>
      </c>
      <c r="AV522" t="s">
        <v>269</v>
      </c>
      <c r="AW522" t="s">
        <v>48</v>
      </c>
    </row>
    <row r="523" spans="1:49" x14ac:dyDescent="0.3">
      <c r="A523" t="s">
        <v>1532</v>
      </c>
      <c r="B523" t="s">
        <v>48</v>
      </c>
      <c r="C523" t="s">
        <v>49</v>
      </c>
      <c r="D523">
        <v>515.53</v>
      </c>
      <c r="E523">
        <v>1</v>
      </c>
      <c r="F523">
        <v>1.92</v>
      </c>
      <c r="G523" t="s">
        <v>142</v>
      </c>
      <c r="H523" t="s">
        <v>1533</v>
      </c>
      <c r="I523" t="s">
        <v>52</v>
      </c>
      <c r="J523" t="s">
        <v>53</v>
      </c>
      <c r="K523">
        <v>340</v>
      </c>
      <c r="L523" t="s">
        <v>126</v>
      </c>
      <c r="M523">
        <f>DOWNLOAD_2kLRbPnDtawQopEJ_UKtt22ud9U57gk8mqebZIeugNk[[#This Row],[Standard Value]]</f>
        <v>340</v>
      </c>
      <c r="N523">
        <f>-LOG(DOWNLOAD_2kLRbPnDtawQopEJ_UKtt22ud9U57gk8mqebZIeugNk[[#This Row],[IC50]]*POWER(10, -9), 10)</f>
        <v>6.4685210829577446</v>
      </c>
      <c r="O523">
        <v>6.47</v>
      </c>
      <c r="P523" t="s">
        <v>48</v>
      </c>
      <c r="R523" t="s">
        <v>127</v>
      </c>
      <c r="S523">
        <v>12.55</v>
      </c>
      <c r="T523">
        <v>0.23</v>
      </c>
      <c r="U523">
        <v>4.55</v>
      </c>
      <c r="V523">
        <v>4.2699999999999996</v>
      </c>
      <c r="W523">
        <v>0</v>
      </c>
      <c r="X523" t="s">
        <v>1534</v>
      </c>
      <c r="Y523" t="s">
        <v>1535</v>
      </c>
      <c r="Z523" t="s">
        <v>58</v>
      </c>
      <c r="AA523" t="s">
        <v>59</v>
      </c>
      <c r="AB523" t="s">
        <v>60</v>
      </c>
      <c r="AC523" t="s">
        <v>61</v>
      </c>
      <c r="AD523" t="s">
        <v>49</v>
      </c>
      <c r="AE523" t="s">
        <v>49</v>
      </c>
      <c r="AF523" t="s">
        <v>49</v>
      </c>
      <c r="AG523" t="s">
        <v>49</v>
      </c>
      <c r="AH523" t="s">
        <v>48</v>
      </c>
      <c r="AI523" t="s">
        <v>48</v>
      </c>
      <c r="AJ523" t="s">
        <v>48</v>
      </c>
      <c r="AK523" t="s">
        <v>62</v>
      </c>
      <c r="AL523" t="s">
        <v>63</v>
      </c>
      <c r="AM523" t="s">
        <v>61</v>
      </c>
      <c r="AN523" t="s">
        <v>64</v>
      </c>
      <c r="AO523" t="s">
        <v>1536</v>
      </c>
      <c r="AP523">
        <v>1</v>
      </c>
      <c r="AQ523" t="s">
        <v>66</v>
      </c>
      <c r="AR523" t="s">
        <v>76</v>
      </c>
      <c r="AS523">
        <v>2022</v>
      </c>
      <c r="AT523" t="s">
        <v>49</v>
      </c>
      <c r="AU523" t="s">
        <v>48</v>
      </c>
      <c r="AV523" t="s">
        <v>269</v>
      </c>
      <c r="AW523" t="s">
        <v>48</v>
      </c>
    </row>
    <row r="524" spans="1:49" x14ac:dyDescent="0.3">
      <c r="A524" t="s">
        <v>1537</v>
      </c>
      <c r="B524" t="s">
        <v>48</v>
      </c>
      <c r="C524" t="s">
        <v>49</v>
      </c>
      <c r="D524">
        <v>557.6</v>
      </c>
      <c r="E524">
        <v>1</v>
      </c>
      <c r="F524">
        <v>1.97</v>
      </c>
      <c r="G524" t="s">
        <v>682</v>
      </c>
      <c r="H524" t="s">
        <v>1538</v>
      </c>
      <c r="I524" t="s">
        <v>52</v>
      </c>
      <c r="J524" t="s">
        <v>53</v>
      </c>
      <c r="K524">
        <v>5650</v>
      </c>
      <c r="L524" t="s">
        <v>126</v>
      </c>
      <c r="M524">
        <f>DOWNLOAD_2kLRbPnDtawQopEJ_UKtt22ud9U57gk8mqebZIeugNk[[#This Row],[Standard Value]]</f>
        <v>5650</v>
      </c>
      <c r="N524">
        <f>-LOG(DOWNLOAD_2kLRbPnDtawQopEJ_UKtt22ud9U57gk8mqebZIeugNk[[#This Row],[IC50]]*POWER(10, -9), 10)</f>
        <v>5.2479515521805613</v>
      </c>
      <c r="O524">
        <v>5.25</v>
      </c>
      <c r="P524" t="s">
        <v>48</v>
      </c>
      <c r="R524" t="s">
        <v>127</v>
      </c>
      <c r="S524">
        <v>9.41</v>
      </c>
      <c r="T524">
        <v>0.18</v>
      </c>
      <c r="U524">
        <v>3.28</v>
      </c>
      <c r="V524">
        <v>3.38</v>
      </c>
      <c r="W524">
        <v>0</v>
      </c>
      <c r="X524" t="s">
        <v>1497</v>
      </c>
      <c r="Y524" t="s">
        <v>1498</v>
      </c>
      <c r="Z524" t="s">
        <v>58</v>
      </c>
      <c r="AA524" t="s">
        <v>59</v>
      </c>
      <c r="AB524" t="s">
        <v>60</v>
      </c>
      <c r="AC524" t="s">
        <v>61</v>
      </c>
      <c r="AD524" t="s">
        <v>49</v>
      </c>
      <c r="AE524" t="s">
        <v>49</v>
      </c>
      <c r="AF524" t="s">
        <v>49</v>
      </c>
      <c r="AG524" t="s">
        <v>49</v>
      </c>
      <c r="AH524" t="s">
        <v>48</v>
      </c>
      <c r="AI524" t="s">
        <v>48</v>
      </c>
      <c r="AJ524" t="s">
        <v>48</v>
      </c>
      <c r="AK524" t="s">
        <v>62</v>
      </c>
      <c r="AL524" t="s">
        <v>63</v>
      </c>
      <c r="AM524" t="s">
        <v>61</v>
      </c>
      <c r="AN524" t="s">
        <v>64</v>
      </c>
      <c r="AO524" t="s">
        <v>1499</v>
      </c>
      <c r="AP524">
        <v>1</v>
      </c>
      <c r="AQ524" t="s">
        <v>66</v>
      </c>
      <c r="AR524" t="s">
        <v>131</v>
      </c>
      <c r="AS524">
        <v>2022</v>
      </c>
      <c r="AT524" t="s">
        <v>49</v>
      </c>
      <c r="AU524" t="s">
        <v>299</v>
      </c>
      <c r="AV524" t="s">
        <v>269</v>
      </c>
      <c r="AW524" t="s">
        <v>48</v>
      </c>
    </row>
    <row r="525" spans="1:49" x14ac:dyDescent="0.3">
      <c r="A525" t="s">
        <v>1539</v>
      </c>
      <c r="B525" t="s">
        <v>48</v>
      </c>
      <c r="C525" t="s">
        <v>49</v>
      </c>
      <c r="D525">
        <v>685.74</v>
      </c>
      <c r="E525">
        <v>1</v>
      </c>
      <c r="F525">
        <v>4.07</v>
      </c>
      <c r="G525" t="s">
        <v>1540</v>
      </c>
      <c r="H525" t="s">
        <v>1541</v>
      </c>
      <c r="I525" t="s">
        <v>52</v>
      </c>
      <c r="J525" t="s">
        <v>53</v>
      </c>
      <c r="K525">
        <v>430</v>
      </c>
      <c r="L525" t="s">
        <v>126</v>
      </c>
      <c r="M525">
        <f>DOWNLOAD_2kLRbPnDtawQopEJ_UKtt22ud9U57gk8mqebZIeugNk[[#This Row],[Standard Value]]</f>
        <v>430</v>
      </c>
      <c r="N525">
        <f>-LOG(DOWNLOAD_2kLRbPnDtawQopEJ_UKtt22ud9U57gk8mqebZIeugNk[[#This Row],[IC50]]*POWER(10, -9), 10)</f>
        <v>6.3665315444204129</v>
      </c>
      <c r="O525">
        <v>6.37</v>
      </c>
      <c r="P525" t="s">
        <v>48</v>
      </c>
      <c r="R525" t="s">
        <v>127</v>
      </c>
      <c r="S525">
        <v>9.2799999999999994</v>
      </c>
      <c r="T525">
        <v>0.18</v>
      </c>
      <c r="U525">
        <v>2.2999999999999998</v>
      </c>
      <c r="V525">
        <v>3.82</v>
      </c>
      <c r="W525">
        <v>0</v>
      </c>
      <c r="X525" t="s">
        <v>1497</v>
      </c>
      <c r="Y525" t="s">
        <v>1498</v>
      </c>
      <c r="Z525" t="s">
        <v>58</v>
      </c>
      <c r="AA525" t="s">
        <v>59</v>
      </c>
      <c r="AB525" t="s">
        <v>60</v>
      </c>
      <c r="AC525" t="s">
        <v>61</v>
      </c>
      <c r="AD525" t="s">
        <v>49</v>
      </c>
      <c r="AE525" t="s">
        <v>49</v>
      </c>
      <c r="AF525" t="s">
        <v>49</v>
      </c>
      <c r="AG525" t="s">
        <v>49</v>
      </c>
      <c r="AH525" t="s">
        <v>48</v>
      </c>
      <c r="AI525" t="s">
        <v>48</v>
      </c>
      <c r="AJ525" t="s">
        <v>48</v>
      </c>
      <c r="AK525" t="s">
        <v>62</v>
      </c>
      <c r="AL525" t="s">
        <v>63</v>
      </c>
      <c r="AM525" t="s">
        <v>61</v>
      </c>
      <c r="AN525" t="s">
        <v>64</v>
      </c>
      <c r="AO525" t="s">
        <v>1499</v>
      </c>
      <c r="AP525">
        <v>1</v>
      </c>
      <c r="AQ525" t="s">
        <v>66</v>
      </c>
      <c r="AR525" t="s">
        <v>131</v>
      </c>
      <c r="AS525">
        <v>2022</v>
      </c>
      <c r="AT525" t="s">
        <v>49</v>
      </c>
      <c r="AU525" t="s">
        <v>299</v>
      </c>
      <c r="AV525" t="s">
        <v>269</v>
      </c>
      <c r="AW525" t="s">
        <v>48</v>
      </c>
    </row>
    <row r="526" spans="1:49" x14ac:dyDescent="0.3">
      <c r="A526" t="s">
        <v>1542</v>
      </c>
      <c r="B526" t="s">
        <v>48</v>
      </c>
      <c r="C526" t="s">
        <v>49</v>
      </c>
      <c r="D526">
        <v>506.52</v>
      </c>
      <c r="E526">
        <v>1</v>
      </c>
      <c r="F526">
        <v>1.67</v>
      </c>
      <c r="G526" t="s">
        <v>312</v>
      </c>
      <c r="H526" t="s">
        <v>1543</v>
      </c>
      <c r="I526" t="s">
        <v>52</v>
      </c>
      <c r="J526" t="s">
        <v>53</v>
      </c>
      <c r="K526">
        <v>55</v>
      </c>
      <c r="L526" t="s">
        <v>126</v>
      </c>
      <c r="M526">
        <f>DOWNLOAD_2kLRbPnDtawQopEJ_UKtt22ud9U57gk8mqebZIeugNk[[#This Row],[Standard Value]]</f>
        <v>55</v>
      </c>
      <c r="N526">
        <f>-LOG(DOWNLOAD_2kLRbPnDtawQopEJ_UKtt22ud9U57gk8mqebZIeugNk[[#This Row],[IC50]]*POWER(10, -9), 10)</f>
        <v>7.2596373105057559</v>
      </c>
      <c r="O526">
        <v>7.26</v>
      </c>
      <c r="P526" t="s">
        <v>48</v>
      </c>
      <c r="R526" t="s">
        <v>127</v>
      </c>
      <c r="S526">
        <v>14.33</v>
      </c>
      <c r="T526">
        <v>0.27</v>
      </c>
      <c r="U526">
        <v>5.59</v>
      </c>
      <c r="V526">
        <v>5.3</v>
      </c>
      <c r="W526">
        <v>0</v>
      </c>
      <c r="X526" t="s">
        <v>1534</v>
      </c>
      <c r="Y526" t="s">
        <v>1535</v>
      </c>
      <c r="Z526" t="s">
        <v>58</v>
      </c>
      <c r="AA526" t="s">
        <v>59</v>
      </c>
      <c r="AB526" t="s">
        <v>60</v>
      </c>
      <c r="AC526" t="s">
        <v>61</v>
      </c>
      <c r="AD526" t="s">
        <v>49</v>
      </c>
      <c r="AE526" t="s">
        <v>49</v>
      </c>
      <c r="AF526" t="s">
        <v>49</v>
      </c>
      <c r="AG526" t="s">
        <v>49</v>
      </c>
      <c r="AH526" t="s">
        <v>48</v>
      </c>
      <c r="AI526" t="s">
        <v>48</v>
      </c>
      <c r="AJ526" t="s">
        <v>48</v>
      </c>
      <c r="AK526" t="s">
        <v>62</v>
      </c>
      <c r="AL526" t="s">
        <v>63</v>
      </c>
      <c r="AM526" t="s">
        <v>61</v>
      </c>
      <c r="AN526" t="s">
        <v>64</v>
      </c>
      <c r="AO526" t="s">
        <v>1536</v>
      </c>
      <c r="AP526">
        <v>1</v>
      </c>
      <c r="AQ526" t="s">
        <v>66</v>
      </c>
      <c r="AR526" t="s">
        <v>76</v>
      </c>
      <c r="AS526">
        <v>2022</v>
      </c>
      <c r="AT526" t="s">
        <v>49</v>
      </c>
      <c r="AU526" t="s">
        <v>48</v>
      </c>
      <c r="AV526" t="s">
        <v>269</v>
      </c>
      <c r="AW526" t="s">
        <v>48</v>
      </c>
    </row>
    <row r="527" spans="1:49" x14ac:dyDescent="0.3">
      <c r="A527" t="s">
        <v>1544</v>
      </c>
      <c r="B527" t="s">
        <v>48</v>
      </c>
      <c r="C527" t="s">
        <v>49</v>
      </c>
      <c r="D527">
        <v>397.86</v>
      </c>
      <c r="E527">
        <v>0</v>
      </c>
      <c r="F527">
        <v>3.69</v>
      </c>
      <c r="G527" t="s">
        <v>203</v>
      </c>
      <c r="H527" t="s">
        <v>1545</v>
      </c>
      <c r="I527" t="s">
        <v>52</v>
      </c>
      <c r="J527" t="s">
        <v>53</v>
      </c>
      <c r="K527">
        <v>73000</v>
      </c>
      <c r="L527" t="s">
        <v>126</v>
      </c>
      <c r="M527">
        <f>DOWNLOAD_2kLRbPnDtawQopEJ_UKtt22ud9U57gk8mqebZIeugNk[[#This Row],[Standard Value]]</f>
        <v>73000</v>
      </c>
      <c r="N527">
        <f>-LOG(DOWNLOAD_2kLRbPnDtawQopEJ_UKtt22ud9U57gk8mqebZIeugNk[[#This Row],[IC50]]*POWER(10, -9), 10)</f>
        <v>4.1366771398795432</v>
      </c>
      <c r="O527">
        <v>4.1399999999999997</v>
      </c>
      <c r="P527" t="s">
        <v>48</v>
      </c>
      <c r="R527" t="s">
        <v>127</v>
      </c>
      <c r="S527">
        <v>11.45</v>
      </c>
      <c r="T527">
        <v>0.21</v>
      </c>
      <c r="U527">
        <v>0.45</v>
      </c>
      <c r="V527">
        <v>4.21</v>
      </c>
      <c r="W527">
        <v>0</v>
      </c>
      <c r="X527" t="s">
        <v>1546</v>
      </c>
      <c r="Y527" t="s">
        <v>1547</v>
      </c>
      <c r="Z527" t="s">
        <v>58</v>
      </c>
      <c r="AA527" t="s">
        <v>59</v>
      </c>
      <c r="AB527" t="s">
        <v>60</v>
      </c>
      <c r="AC527" t="s">
        <v>61</v>
      </c>
      <c r="AD527" t="s">
        <v>49</v>
      </c>
      <c r="AE527" t="s">
        <v>49</v>
      </c>
      <c r="AF527" t="s">
        <v>49</v>
      </c>
      <c r="AG527" t="s">
        <v>49</v>
      </c>
      <c r="AH527" t="s">
        <v>48</v>
      </c>
      <c r="AI527" t="s">
        <v>48</v>
      </c>
      <c r="AJ527" t="s">
        <v>48</v>
      </c>
      <c r="AK527" t="s">
        <v>62</v>
      </c>
      <c r="AL527" t="s">
        <v>63</v>
      </c>
      <c r="AM527" t="s">
        <v>61</v>
      </c>
      <c r="AN527" t="s">
        <v>64</v>
      </c>
      <c r="AO527" t="s">
        <v>1548</v>
      </c>
      <c r="AP527">
        <v>1</v>
      </c>
      <c r="AQ527" t="s">
        <v>66</v>
      </c>
      <c r="AR527" t="s">
        <v>1549</v>
      </c>
      <c r="AS527">
        <v>2022</v>
      </c>
      <c r="AT527" t="s">
        <v>49</v>
      </c>
      <c r="AU527" t="s">
        <v>299</v>
      </c>
      <c r="AV527" t="s">
        <v>269</v>
      </c>
      <c r="AW527" t="s">
        <v>48</v>
      </c>
    </row>
    <row r="528" spans="1:49" x14ac:dyDescent="0.3">
      <c r="A528" t="s">
        <v>1550</v>
      </c>
      <c r="B528" t="s">
        <v>48</v>
      </c>
      <c r="C528" t="s">
        <v>49</v>
      </c>
      <c r="D528">
        <v>410.9</v>
      </c>
      <c r="E528">
        <v>0</v>
      </c>
      <c r="F528">
        <v>3.57</v>
      </c>
      <c r="G528" t="s">
        <v>531</v>
      </c>
      <c r="H528" t="s">
        <v>1551</v>
      </c>
      <c r="I528" t="s">
        <v>52</v>
      </c>
      <c r="J528" t="s">
        <v>53</v>
      </c>
      <c r="K528">
        <v>41000</v>
      </c>
      <c r="L528" t="s">
        <v>126</v>
      </c>
      <c r="M528">
        <f>DOWNLOAD_2kLRbPnDtawQopEJ_UKtt22ud9U57gk8mqebZIeugNk[[#This Row],[Standard Value]]</f>
        <v>41000</v>
      </c>
      <c r="N528">
        <f>-LOG(DOWNLOAD_2kLRbPnDtawQopEJ_UKtt22ud9U57gk8mqebZIeugNk[[#This Row],[IC50]]*POWER(10, -9), 10)</f>
        <v>4.3872161432802645</v>
      </c>
      <c r="O528">
        <v>4.3899999999999997</v>
      </c>
      <c r="P528" t="s">
        <v>48</v>
      </c>
      <c r="R528" t="s">
        <v>127</v>
      </c>
      <c r="S528">
        <v>11.72</v>
      </c>
      <c r="T528">
        <v>0.21</v>
      </c>
      <c r="U528">
        <v>0.82</v>
      </c>
      <c r="V528">
        <v>5.39</v>
      </c>
      <c r="W528">
        <v>0</v>
      </c>
      <c r="X528" t="s">
        <v>1546</v>
      </c>
      <c r="Y528" t="s">
        <v>1547</v>
      </c>
      <c r="Z528" t="s">
        <v>58</v>
      </c>
      <c r="AA528" t="s">
        <v>59</v>
      </c>
      <c r="AB528" t="s">
        <v>60</v>
      </c>
      <c r="AC528" t="s">
        <v>61</v>
      </c>
      <c r="AD528" t="s">
        <v>49</v>
      </c>
      <c r="AE528" t="s">
        <v>49</v>
      </c>
      <c r="AF528" t="s">
        <v>49</v>
      </c>
      <c r="AG528" t="s">
        <v>49</v>
      </c>
      <c r="AH528" t="s">
        <v>48</v>
      </c>
      <c r="AI528" t="s">
        <v>48</v>
      </c>
      <c r="AJ528" t="s">
        <v>48</v>
      </c>
      <c r="AK528" t="s">
        <v>62</v>
      </c>
      <c r="AL528" t="s">
        <v>63</v>
      </c>
      <c r="AM528" t="s">
        <v>61</v>
      </c>
      <c r="AN528" t="s">
        <v>64</v>
      </c>
      <c r="AO528" t="s">
        <v>1548</v>
      </c>
      <c r="AP528">
        <v>1</v>
      </c>
      <c r="AQ528" t="s">
        <v>66</v>
      </c>
      <c r="AR528" t="s">
        <v>1549</v>
      </c>
      <c r="AS528">
        <v>2022</v>
      </c>
      <c r="AT528" t="s">
        <v>49</v>
      </c>
      <c r="AU528" t="s">
        <v>299</v>
      </c>
      <c r="AV528" t="s">
        <v>269</v>
      </c>
      <c r="AW528" t="s">
        <v>48</v>
      </c>
    </row>
    <row r="529" spans="1:49" x14ac:dyDescent="0.3">
      <c r="A529" t="s">
        <v>1552</v>
      </c>
      <c r="B529" t="s">
        <v>48</v>
      </c>
      <c r="C529" t="s">
        <v>49</v>
      </c>
      <c r="D529">
        <v>290.79000000000002</v>
      </c>
      <c r="E529">
        <v>0</v>
      </c>
      <c r="F529">
        <v>2.42</v>
      </c>
      <c r="G529" t="s">
        <v>277</v>
      </c>
      <c r="H529" t="s">
        <v>1553</v>
      </c>
      <c r="I529" t="s">
        <v>52</v>
      </c>
      <c r="J529" t="s">
        <v>71</v>
      </c>
      <c r="K529">
        <v>100000</v>
      </c>
      <c r="L529" t="s">
        <v>126</v>
      </c>
      <c r="M529">
        <f>DOWNLOAD_2kLRbPnDtawQopEJ_UKtt22ud9U57gk8mqebZIeugNk[[#This Row],[Standard Value]]</f>
        <v>100000</v>
      </c>
      <c r="N529">
        <f>-LOG(DOWNLOAD_2kLRbPnDtawQopEJ_UKtt22ud9U57gk8mqebZIeugNk[[#This Row],[IC50]]*POWER(10, -9), 10)</f>
        <v>3.9999999999999991</v>
      </c>
      <c r="P529" t="s">
        <v>48</v>
      </c>
      <c r="R529" t="s">
        <v>127</v>
      </c>
      <c r="W529">
        <v>0</v>
      </c>
      <c r="X529" t="s">
        <v>1546</v>
      </c>
      <c r="Y529" t="s">
        <v>1547</v>
      </c>
      <c r="Z529" t="s">
        <v>58</v>
      </c>
      <c r="AA529" t="s">
        <v>59</v>
      </c>
      <c r="AB529" t="s">
        <v>60</v>
      </c>
      <c r="AC529" t="s">
        <v>61</v>
      </c>
      <c r="AD529" t="s">
        <v>49</v>
      </c>
      <c r="AE529" t="s">
        <v>49</v>
      </c>
      <c r="AF529" t="s">
        <v>49</v>
      </c>
      <c r="AG529" t="s">
        <v>49</v>
      </c>
      <c r="AH529" t="s">
        <v>48</v>
      </c>
      <c r="AI529" t="s">
        <v>48</v>
      </c>
      <c r="AJ529" t="s">
        <v>48</v>
      </c>
      <c r="AK529" t="s">
        <v>62</v>
      </c>
      <c r="AL529" t="s">
        <v>63</v>
      </c>
      <c r="AM529" t="s">
        <v>61</v>
      </c>
      <c r="AN529" t="s">
        <v>64</v>
      </c>
      <c r="AO529" t="s">
        <v>1548</v>
      </c>
      <c r="AP529">
        <v>1</v>
      </c>
      <c r="AQ529" t="s">
        <v>66</v>
      </c>
      <c r="AR529" t="s">
        <v>1549</v>
      </c>
      <c r="AS529">
        <v>2022</v>
      </c>
      <c r="AT529" t="s">
        <v>49</v>
      </c>
      <c r="AU529" t="s">
        <v>299</v>
      </c>
      <c r="AV529" t="s">
        <v>48</v>
      </c>
      <c r="AW529" t="s">
        <v>48</v>
      </c>
    </row>
    <row r="530" spans="1:49" x14ac:dyDescent="0.3">
      <c r="A530" t="s">
        <v>1554</v>
      </c>
      <c r="B530" t="s">
        <v>48</v>
      </c>
      <c r="C530" t="s">
        <v>49</v>
      </c>
      <c r="D530">
        <v>410.95</v>
      </c>
      <c r="E530">
        <v>0</v>
      </c>
      <c r="F530">
        <v>4.49</v>
      </c>
      <c r="G530" t="s">
        <v>479</v>
      </c>
      <c r="H530" t="s">
        <v>1555</v>
      </c>
      <c r="I530" t="s">
        <v>52</v>
      </c>
      <c r="J530" t="s">
        <v>53</v>
      </c>
      <c r="K530">
        <v>63000</v>
      </c>
      <c r="L530" t="s">
        <v>126</v>
      </c>
      <c r="M530">
        <f>DOWNLOAD_2kLRbPnDtawQopEJ_UKtt22ud9U57gk8mqebZIeugNk[[#This Row],[Standard Value]]</f>
        <v>63000</v>
      </c>
      <c r="N530">
        <f>-LOG(DOWNLOAD_2kLRbPnDtawQopEJ_UKtt22ud9U57gk8mqebZIeugNk[[#This Row],[IC50]]*POWER(10, -9), 10)</f>
        <v>4.2006594505464179</v>
      </c>
      <c r="O530">
        <v>4.2</v>
      </c>
      <c r="P530" t="s">
        <v>48</v>
      </c>
      <c r="R530" t="s">
        <v>127</v>
      </c>
      <c r="S530">
        <v>11.22</v>
      </c>
      <c r="T530">
        <v>0.2</v>
      </c>
      <c r="U530">
        <v>-0.28999999999999998</v>
      </c>
      <c r="V530">
        <v>6.53</v>
      </c>
      <c r="W530">
        <v>0</v>
      </c>
      <c r="X530" t="s">
        <v>1546</v>
      </c>
      <c r="Y530" t="s">
        <v>1547</v>
      </c>
      <c r="Z530" t="s">
        <v>58</v>
      </c>
      <c r="AA530" t="s">
        <v>59</v>
      </c>
      <c r="AB530" t="s">
        <v>60</v>
      </c>
      <c r="AC530" t="s">
        <v>61</v>
      </c>
      <c r="AD530" t="s">
        <v>49</v>
      </c>
      <c r="AE530" t="s">
        <v>49</v>
      </c>
      <c r="AF530" t="s">
        <v>49</v>
      </c>
      <c r="AG530" t="s">
        <v>49</v>
      </c>
      <c r="AH530" t="s">
        <v>48</v>
      </c>
      <c r="AI530" t="s">
        <v>48</v>
      </c>
      <c r="AJ530" t="s">
        <v>48</v>
      </c>
      <c r="AK530" t="s">
        <v>62</v>
      </c>
      <c r="AL530" t="s">
        <v>63</v>
      </c>
      <c r="AM530" t="s">
        <v>61</v>
      </c>
      <c r="AN530" t="s">
        <v>64</v>
      </c>
      <c r="AO530" t="s">
        <v>1548</v>
      </c>
      <c r="AP530">
        <v>1</v>
      </c>
      <c r="AQ530" t="s">
        <v>66</v>
      </c>
      <c r="AR530" t="s">
        <v>1549</v>
      </c>
      <c r="AS530">
        <v>2022</v>
      </c>
      <c r="AT530" t="s">
        <v>49</v>
      </c>
      <c r="AU530" t="s">
        <v>299</v>
      </c>
      <c r="AV530" t="s">
        <v>269</v>
      </c>
      <c r="AW530" t="s">
        <v>48</v>
      </c>
    </row>
    <row r="531" spans="1:49" x14ac:dyDescent="0.3">
      <c r="A531" t="s">
        <v>1556</v>
      </c>
      <c r="B531" t="s">
        <v>48</v>
      </c>
      <c r="C531" t="s">
        <v>49</v>
      </c>
      <c r="D531">
        <v>398.89</v>
      </c>
      <c r="E531">
        <v>0</v>
      </c>
      <c r="F531">
        <v>3.5</v>
      </c>
      <c r="G531" t="s">
        <v>214</v>
      </c>
      <c r="H531" t="s">
        <v>1557</v>
      </c>
      <c r="I531" t="s">
        <v>52</v>
      </c>
      <c r="J531" t="s">
        <v>53</v>
      </c>
      <c r="K531">
        <v>41000</v>
      </c>
      <c r="L531" t="s">
        <v>126</v>
      </c>
      <c r="M531">
        <f>DOWNLOAD_2kLRbPnDtawQopEJ_UKtt22ud9U57gk8mqebZIeugNk[[#This Row],[Standard Value]]</f>
        <v>41000</v>
      </c>
      <c r="N531">
        <f>-LOG(DOWNLOAD_2kLRbPnDtawQopEJ_UKtt22ud9U57gk8mqebZIeugNk[[#This Row],[IC50]]*POWER(10, -9), 10)</f>
        <v>4.3872161432802645</v>
      </c>
      <c r="O531">
        <v>4.3899999999999997</v>
      </c>
      <c r="P531" t="s">
        <v>48</v>
      </c>
      <c r="R531" t="s">
        <v>127</v>
      </c>
      <c r="S531">
        <v>12.11</v>
      </c>
      <c r="T531">
        <v>0.22</v>
      </c>
      <c r="U531">
        <v>0.89</v>
      </c>
      <c r="V531">
        <v>5.19</v>
      </c>
      <c r="W531">
        <v>0</v>
      </c>
      <c r="X531" t="s">
        <v>1546</v>
      </c>
      <c r="Y531" t="s">
        <v>1547</v>
      </c>
      <c r="Z531" t="s">
        <v>58</v>
      </c>
      <c r="AA531" t="s">
        <v>59</v>
      </c>
      <c r="AB531" t="s">
        <v>60</v>
      </c>
      <c r="AC531" t="s">
        <v>61</v>
      </c>
      <c r="AD531" t="s">
        <v>49</v>
      </c>
      <c r="AE531" t="s">
        <v>49</v>
      </c>
      <c r="AF531" t="s">
        <v>49</v>
      </c>
      <c r="AG531" t="s">
        <v>49</v>
      </c>
      <c r="AH531" t="s">
        <v>48</v>
      </c>
      <c r="AI531" t="s">
        <v>48</v>
      </c>
      <c r="AJ531" t="s">
        <v>48</v>
      </c>
      <c r="AK531" t="s">
        <v>62</v>
      </c>
      <c r="AL531" t="s">
        <v>63</v>
      </c>
      <c r="AM531" t="s">
        <v>61</v>
      </c>
      <c r="AN531" t="s">
        <v>64</v>
      </c>
      <c r="AO531" t="s">
        <v>1548</v>
      </c>
      <c r="AP531">
        <v>1</v>
      </c>
      <c r="AQ531" t="s">
        <v>66</v>
      </c>
      <c r="AR531" t="s">
        <v>1549</v>
      </c>
      <c r="AS531">
        <v>2022</v>
      </c>
      <c r="AT531" t="s">
        <v>49</v>
      </c>
      <c r="AU531" t="s">
        <v>299</v>
      </c>
      <c r="AV531" t="s">
        <v>269</v>
      </c>
      <c r="AW531" t="s">
        <v>48</v>
      </c>
    </row>
    <row r="532" spans="1:49" x14ac:dyDescent="0.3">
      <c r="A532" t="s">
        <v>1558</v>
      </c>
      <c r="B532" t="s">
        <v>48</v>
      </c>
      <c r="C532" t="s">
        <v>49</v>
      </c>
      <c r="D532">
        <v>583.67999999999995</v>
      </c>
      <c r="E532">
        <v>1</v>
      </c>
      <c r="F532">
        <v>3.38</v>
      </c>
      <c r="G532" t="s">
        <v>1559</v>
      </c>
      <c r="H532" t="s">
        <v>1560</v>
      </c>
      <c r="I532" t="s">
        <v>52</v>
      </c>
      <c r="J532" t="s">
        <v>53</v>
      </c>
      <c r="K532">
        <v>0.28000000000000003</v>
      </c>
      <c r="L532" t="s">
        <v>54</v>
      </c>
      <c r="M532">
        <f>DOWNLOAD_2kLRbPnDtawQopEJ_UKtt22ud9U57gk8mqebZIeugNk[[#This Row],[Standard Value]]/DOWNLOAD_2kLRbPnDtawQopEJ_UKtt22ud9U57gk8mqebZIeugNk[[#This Row],[Molecular Weight]]*1000*1000</f>
        <v>479.71491228070187</v>
      </c>
      <c r="N532">
        <f>-LOG(DOWNLOAD_2kLRbPnDtawQopEJ_UKtt22ud9U57gk8mqebZIeugNk[[#This Row],[IC50]]*POWER(10, -9), 10)</f>
        <v>6.3190167809700837</v>
      </c>
      <c r="P532" t="s">
        <v>48</v>
      </c>
      <c r="R532" t="s">
        <v>55</v>
      </c>
      <c r="W532">
        <v>0</v>
      </c>
      <c r="X532" t="s">
        <v>86</v>
      </c>
      <c r="Y532" t="s">
        <v>87</v>
      </c>
      <c r="Z532" t="s">
        <v>58</v>
      </c>
      <c r="AA532" t="s">
        <v>59</v>
      </c>
      <c r="AB532" t="s">
        <v>60</v>
      </c>
      <c r="AC532" t="s">
        <v>61</v>
      </c>
      <c r="AD532" t="s">
        <v>49</v>
      </c>
      <c r="AE532" t="s">
        <v>49</v>
      </c>
      <c r="AF532" t="s">
        <v>49</v>
      </c>
      <c r="AG532" t="s">
        <v>49</v>
      </c>
      <c r="AH532" t="s">
        <v>48</v>
      </c>
      <c r="AI532" t="s">
        <v>48</v>
      </c>
      <c r="AJ532" t="s">
        <v>48</v>
      </c>
      <c r="AK532" t="s">
        <v>62</v>
      </c>
      <c r="AL532" t="s">
        <v>63</v>
      </c>
      <c r="AM532" t="s">
        <v>61</v>
      </c>
      <c r="AN532" t="s">
        <v>64</v>
      </c>
      <c r="AO532" t="s">
        <v>88</v>
      </c>
      <c r="AP532">
        <v>1</v>
      </c>
      <c r="AQ532" t="s">
        <v>66</v>
      </c>
      <c r="AR532" t="s">
        <v>76</v>
      </c>
      <c r="AS532">
        <v>2001</v>
      </c>
      <c r="AT532" t="s">
        <v>49</v>
      </c>
      <c r="AU532" t="s">
        <v>48</v>
      </c>
      <c r="AV532" t="s">
        <v>48</v>
      </c>
      <c r="AW532" t="s">
        <v>48</v>
      </c>
    </row>
    <row r="533" spans="1:49" x14ac:dyDescent="0.3">
      <c r="A533" t="s">
        <v>1561</v>
      </c>
      <c r="B533" t="s">
        <v>48</v>
      </c>
      <c r="C533" t="s">
        <v>49</v>
      </c>
      <c r="D533">
        <v>351.37</v>
      </c>
      <c r="E533">
        <v>0</v>
      </c>
      <c r="F533">
        <v>2.06</v>
      </c>
      <c r="G533" t="s">
        <v>643</v>
      </c>
      <c r="H533" t="s">
        <v>1562</v>
      </c>
      <c r="I533" t="s">
        <v>52</v>
      </c>
      <c r="J533" t="s">
        <v>53</v>
      </c>
      <c r="K533">
        <v>86</v>
      </c>
      <c r="L533" t="s">
        <v>126</v>
      </c>
      <c r="M533">
        <f>DOWNLOAD_2kLRbPnDtawQopEJ_UKtt22ud9U57gk8mqebZIeugNk[[#This Row],[Standard Value]]</f>
        <v>86</v>
      </c>
      <c r="N533">
        <f>-LOG(DOWNLOAD_2kLRbPnDtawQopEJ_UKtt22ud9U57gk8mqebZIeugNk[[#This Row],[IC50]]*POWER(10, -9), 10)</f>
        <v>7.0655015487564325</v>
      </c>
      <c r="O533">
        <v>7.07</v>
      </c>
      <c r="P533" t="s">
        <v>48</v>
      </c>
      <c r="R533" t="s">
        <v>127</v>
      </c>
      <c r="S533">
        <v>20.11</v>
      </c>
      <c r="T533">
        <v>0.37</v>
      </c>
      <c r="U533">
        <v>5.01</v>
      </c>
      <c r="V533">
        <v>6.21</v>
      </c>
      <c r="W533">
        <v>0</v>
      </c>
      <c r="X533" t="s">
        <v>450</v>
      </c>
      <c r="Y533" t="s">
        <v>451</v>
      </c>
      <c r="Z533" t="s">
        <v>58</v>
      </c>
      <c r="AA533" t="s">
        <v>59</v>
      </c>
      <c r="AB533" t="s">
        <v>60</v>
      </c>
      <c r="AC533" t="s">
        <v>61</v>
      </c>
      <c r="AD533" t="s">
        <v>49</v>
      </c>
      <c r="AE533" t="s">
        <v>49</v>
      </c>
      <c r="AF533" t="s">
        <v>49</v>
      </c>
      <c r="AG533" t="s">
        <v>49</v>
      </c>
      <c r="AH533" t="s">
        <v>48</v>
      </c>
      <c r="AI533" t="s">
        <v>48</v>
      </c>
      <c r="AJ533" t="s">
        <v>48</v>
      </c>
      <c r="AK533" t="s">
        <v>62</v>
      </c>
      <c r="AL533" t="s">
        <v>63</v>
      </c>
      <c r="AM533" t="s">
        <v>61</v>
      </c>
      <c r="AN533" t="s">
        <v>64</v>
      </c>
      <c r="AO533" t="s">
        <v>452</v>
      </c>
      <c r="AP533">
        <v>1</v>
      </c>
      <c r="AQ533" t="s">
        <v>66</v>
      </c>
      <c r="AR533" t="s">
        <v>267</v>
      </c>
      <c r="AS533">
        <v>2019</v>
      </c>
      <c r="AT533" t="s">
        <v>49</v>
      </c>
      <c r="AU533" t="s">
        <v>48</v>
      </c>
      <c r="AV533" t="s">
        <v>48</v>
      </c>
      <c r="AW533" t="s">
        <v>48</v>
      </c>
    </row>
    <row r="534" spans="1:49" x14ac:dyDescent="0.3">
      <c r="A534" t="s">
        <v>1563</v>
      </c>
      <c r="B534" t="s">
        <v>48</v>
      </c>
      <c r="C534" t="s">
        <v>49</v>
      </c>
      <c r="D534">
        <v>355.33</v>
      </c>
      <c r="E534">
        <v>0</v>
      </c>
      <c r="F534">
        <v>2.66</v>
      </c>
      <c r="G534" t="s">
        <v>405</v>
      </c>
      <c r="H534" t="s">
        <v>1564</v>
      </c>
      <c r="I534" t="s">
        <v>52</v>
      </c>
      <c r="J534" t="s">
        <v>53</v>
      </c>
      <c r="K534">
        <v>0.36</v>
      </c>
      <c r="L534" t="s">
        <v>126</v>
      </c>
      <c r="M534">
        <f>DOWNLOAD_2kLRbPnDtawQopEJ_UKtt22ud9U57gk8mqebZIeugNk[[#This Row],[Standard Value]]</f>
        <v>0.36</v>
      </c>
      <c r="N534">
        <f>-LOG(DOWNLOAD_2kLRbPnDtawQopEJ_UKtt22ud9U57gk8mqebZIeugNk[[#This Row],[IC50]]*POWER(10, -9), 10)</f>
        <v>9.4436974992327105</v>
      </c>
      <c r="O534">
        <v>9.44</v>
      </c>
      <c r="P534" t="s">
        <v>48</v>
      </c>
      <c r="R534" t="s">
        <v>127</v>
      </c>
      <c r="S534">
        <v>26.58</v>
      </c>
      <c r="T534">
        <v>0.5</v>
      </c>
      <c r="U534">
        <v>6.78</v>
      </c>
      <c r="V534">
        <v>8.49</v>
      </c>
      <c r="W534">
        <v>0</v>
      </c>
      <c r="X534" t="s">
        <v>264</v>
      </c>
      <c r="Y534" t="s">
        <v>265</v>
      </c>
      <c r="Z534" t="s">
        <v>58</v>
      </c>
      <c r="AA534" t="s">
        <v>59</v>
      </c>
      <c r="AB534" t="s">
        <v>60</v>
      </c>
      <c r="AC534" t="s">
        <v>61</v>
      </c>
      <c r="AD534" t="s">
        <v>49</v>
      </c>
      <c r="AE534" t="s">
        <v>49</v>
      </c>
      <c r="AF534" t="s">
        <v>49</v>
      </c>
      <c r="AG534" t="s">
        <v>49</v>
      </c>
      <c r="AH534" t="s">
        <v>48</v>
      </c>
      <c r="AI534" t="s">
        <v>48</v>
      </c>
      <c r="AJ534" t="s">
        <v>48</v>
      </c>
      <c r="AK534" t="s">
        <v>62</v>
      </c>
      <c r="AL534" t="s">
        <v>63</v>
      </c>
      <c r="AM534" t="s">
        <v>61</v>
      </c>
      <c r="AN534" t="s">
        <v>64</v>
      </c>
      <c r="AO534" t="s">
        <v>266</v>
      </c>
      <c r="AP534">
        <v>1</v>
      </c>
      <c r="AQ534" t="s">
        <v>66</v>
      </c>
      <c r="AR534" t="s">
        <v>267</v>
      </c>
      <c r="AS534">
        <v>2020</v>
      </c>
      <c r="AT534" t="s">
        <v>49</v>
      </c>
      <c r="AU534" t="s">
        <v>268</v>
      </c>
      <c r="AV534" t="s">
        <v>269</v>
      </c>
      <c r="AW534" t="s">
        <v>48</v>
      </c>
    </row>
    <row r="535" spans="1:49" x14ac:dyDescent="0.3">
      <c r="A535" t="s">
        <v>1565</v>
      </c>
      <c r="B535" t="s">
        <v>48</v>
      </c>
      <c r="C535" t="s">
        <v>49</v>
      </c>
      <c r="D535">
        <v>557.6</v>
      </c>
      <c r="E535">
        <v>1</v>
      </c>
      <c r="F535">
        <v>1.97</v>
      </c>
      <c r="G535" t="s">
        <v>403</v>
      </c>
      <c r="H535" t="s">
        <v>1566</v>
      </c>
      <c r="I535" t="s">
        <v>52</v>
      </c>
      <c r="J535" t="s">
        <v>53</v>
      </c>
      <c r="K535">
        <v>1100</v>
      </c>
      <c r="L535" t="s">
        <v>126</v>
      </c>
      <c r="M535">
        <f>DOWNLOAD_2kLRbPnDtawQopEJ_UKtt22ud9U57gk8mqebZIeugNk[[#This Row],[Standard Value]]</f>
        <v>1100</v>
      </c>
      <c r="N535">
        <f>-LOG(DOWNLOAD_2kLRbPnDtawQopEJ_UKtt22ud9U57gk8mqebZIeugNk[[#This Row],[IC50]]*POWER(10, -9), 10)</f>
        <v>5.9586073148417746</v>
      </c>
      <c r="O535">
        <v>5.96</v>
      </c>
      <c r="P535" t="s">
        <v>48</v>
      </c>
      <c r="R535" t="s">
        <v>127</v>
      </c>
      <c r="S535">
        <v>10.69</v>
      </c>
      <c r="T535">
        <v>0.21</v>
      </c>
      <c r="U535">
        <v>3.99</v>
      </c>
      <c r="V535">
        <v>3.84</v>
      </c>
      <c r="W535">
        <v>0</v>
      </c>
      <c r="X535" t="s">
        <v>1497</v>
      </c>
      <c r="Y535" t="s">
        <v>1498</v>
      </c>
      <c r="Z535" t="s">
        <v>58</v>
      </c>
      <c r="AA535" t="s">
        <v>59</v>
      </c>
      <c r="AB535" t="s">
        <v>60</v>
      </c>
      <c r="AC535" t="s">
        <v>61</v>
      </c>
      <c r="AD535" t="s">
        <v>49</v>
      </c>
      <c r="AE535" t="s">
        <v>49</v>
      </c>
      <c r="AF535" t="s">
        <v>49</v>
      </c>
      <c r="AG535" t="s">
        <v>49</v>
      </c>
      <c r="AH535" t="s">
        <v>48</v>
      </c>
      <c r="AI535" t="s">
        <v>48</v>
      </c>
      <c r="AJ535" t="s">
        <v>48</v>
      </c>
      <c r="AK535" t="s">
        <v>62</v>
      </c>
      <c r="AL535" t="s">
        <v>63</v>
      </c>
      <c r="AM535" t="s">
        <v>61</v>
      </c>
      <c r="AN535" t="s">
        <v>64</v>
      </c>
      <c r="AO535" t="s">
        <v>1499</v>
      </c>
      <c r="AP535">
        <v>1</v>
      </c>
      <c r="AQ535" t="s">
        <v>66</v>
      </c>
      <c r="AR535" t="s">
        <v>131</v>
      </c>
      <c r="AS535">
        <v>2022</v>
      </c>
      <c r="AT535" t="s">
        <v>49</v>
      </c>
      <c r="AU535" t="s">
        <v>299</v>
      </c>
      <c r="AV535" t="s">
        <v>269</v>
      </c>
      <c r="AW535" t="s">
        <v>48</v>
      </c>
    </row>
    <row r="536" spans="1:49" x14ac:dyDescent="0.3">
      <c r="A536" t="s">
        <v>181</v>
      </c>
      <c r="B536" t="s">
        <v>182</v>
      </c>
      <c r="C536" t="s">
        <v>112</v>
      </c>
      <c r="D536">
        <v>612.63</v>
      </c>
      <c r="E536">
        <v>2</v>
      </c>
      <c r="F536">
        <v>3.63</v>
      </c>
      <c r="G536" t="s">
        <v>183</v>
      </c>
      <c r="H536" t="s">
        <v>184</v>
      </c>
      <c r="I536" t="s">
        <v>52</v>
      </c>
      <c r="J536" t="s">
        <v>53</v>
      </c>
      <c r="K536">
        <v>500</v>
      </c>
      <c r="L536" t="s">
        <v>126</v>
      </c>
      <c r="M536">
        <f>DOWNLOAD_2kLRbPnDtawQopEJ_UKtt22ud9U57gk8mqebZIeugNk[[#This Row],[Standard Value]]</f>
        <v>500</v>
      </c>
      <c r="N536">
        <f>-LOG(DOWNLOAD_2kLRbPnDtawQopEJ_UKtt22ud9U57gk8mqebZIeugNk[[#This Row],[IC50]]*POWER(10, -9), 10)</f>
        <v>6.3010299956639804</v>
      </c>
      <c r="O536">
        <v>6.3</v>
      </c>
      <c r="P536" t="s">
        <v>48</v>
      </c>
      <c r="R536" t="s">
        <v>127</v>
      </c>
      <c r="S536">
        <v>10.29</v>
      </c>
      <c r="T536">
        <v>0.2</v>
      </c>
      <c r="U536">
        <v>2.67</v>
      </c>
      <c r="V536">
        <v>3.15</v>
      </c>
      <c r="W536">
        <v>0</v>
      </c>
      <c r="X536" t="s">
        <v>1567</v>
      </c>
      <c r="Y536" t="s">
        <v>1535</v>
      </c>
      <c r="Z536" t="s">
        <v>58</v>
      </c>
      <c r="AA536" t="s">
        <v>59</v>
      </c>
      <c r="AB536" t="s">
        <v>60</v>
      </c>
      <c r="AC536" t="s">
        <v>61</v>
      </c>
      <c r="AD536" t="s">
        <v>49</v>
      </c>
      <c r="AE536" t="s">
        <v>49</v>
      </c>
      <c r="AF536" t="s">
        <v>49</v>
      </c>
      <c r="AG536" t="s">
        <v>49</v>
      </c>
      <c r="AH536" t="s">
        <v>48</v>
      </c>
      <c r="AI536" t="s">
        <v>48</v>
      </c>
      <c r="AJ536" t="s">
        <v>48</v>
      </c>
      <c r="AK536" t="s">
        <v>62</v>
      </c>
      <c r="AL536" t="s">
        <v>63</v>
      </c>
      <c r="AM536" t="s">
        <v>61</v>
      </c>
      <c r="AN536" t="s">
        <v>64</v>
      </c>
      <c r="AO536" t="s">
        <v>1568</v>
      </c>
      <c r="AP536">
        <v>1</v>
      </c>
      <c r="AQ536" t="s">
        <v>66</v>
      </c>
      <c r="AR536" t="s">
        <v>267</v>
      </c>
      <c r="AS536">
        <v>2016</v>
      </c>
      <c r="AT536" t="s">
        <v>49</v>
      </c>
      <c r="AU536" t="s">
        <v>48</v>
      </c>
      <c r="AV536" t="s">
        <v>269</v>
      </c>
      <c r="AW536" t="s">
        <v>48</v>
      </c>
    </row>
    <row r="537" spans="1:49" x14ac:dyDescent="0.3">
      <c r="A537" t="s">
        <v>1569</v>
      </c>
      <c r="B537" t="s">
        <v>48</v>
      </c>
      <c r="C537" t="s">
        <v>49</v>
      </c>
      <c r="D537">
        <v>927.87</v>
      </c>
      <c r="E537">
        <v>3</v>
      </c>
      <c r="F537">
        <v>4.08</v>
      </c>
      <c r="G537" t="s">
        <v>1570</v>
      </c>
      <c r="H537" t="s">
        <v>1571</v>
      </c>
      <c r="I537" t="s">
        <v>52</v>
      </c>
      <c r="J537" t="s">
        <v>53</v>
      </c>
      <c r="K537">
        <v>50</v>
      </c>
      <c r="L537" t="s">
        <v>126</v>
      </c>
      <c r="M537">
        <f>DOWNLOAD_2kLRbPnDtawQopEJ_UKtt22ud9U57gk8mqebZIeugNk[[#This Row],[Standard Value]]</f>
        <v>50</v>
      </c>
      <c r="N537">
        <f>-LOG(DOWNLOAD_2kLRbPnDtawQopEJ_UKtt22ud9U57gk8mqebZIeugNk[[#This Row],[IC50]]*POWER(10, -9), 10)</f>
        <v>7.3010299956639804</v>
      </c>
      <c r="O537">
        <v>7.3</v>
      </c>
      <c r="P537" t="s">
        <v>48</v>
      </c>
      <c r="R537" t="s">
        <v>127</v>
      </c>
      <c r="S537">
        <v>7.87</v>
      </c>
      <c r="T537">
        <v>0.16</v>
      </c>
      <c r="U537">
        <v>3.22</v>
      </c>
      <c r="V537">
        <v>2.82</v>
      </c>
      <c r="W537">
        <v>0</v>
      </c>
      <c r="X537" t="s">
        <v>1572</v>
      </c>
      <c r="Y537" t="s">
        <v>1573</v>
      </c>
      <c r="Z537" t="s">
        <v>58</v>
      </c>
      <c r="AA537" t="s">
        <v>59</v>
      </c>
      <c r="AB537" t="s">
        <v>60</v>
      </c>
      <c r="AC537" t="s">
        <v>61</v>
      </c>
      <c r="AD537" t="s">
        <v>49</v>
      </c>
      <c r="AE537" t="s">
        <v>49</v>
      </c>
      <c r="AF537" t="s">
        <v>49</v>
      </c>
      <c r="AG537" t="s">
        <v>49</v>
      </c>
      <c r="AH537" t="s">
        <v>48</v>
      </c>
      <c r="AI537" t="s">
        <v>48</v>
      </c>
      <c r="AJ537" t="s">
        <v>48</v>
      </c>
      <c r="AK537" t="s">
        <v>62</v>
      </c>
      <c r="AL537" t="s">
        <v>63</v>
      </c>
      <c r="AM537" t="s">
        <v>61</v>
      </c>
      <c r="AN537" t="s">
        <v>64</v>
      </c>
      <c r="AO537" t="s">
        <v>1568</v>
      </c>
      <c r="AP537">
        <v>1</v>
      </c>
      <c r="AQ537" t="s">
        <v>66</v>
      </c>
      <c r="AR537" t="s">
        <v>267</v>
      </c>
      <c r="AS537">
        <v>2016</v>
      </c>
      <c r="AT537" t="s">
        <v>49</v>
      </c>
      <c r="AU537" t="s">
        <v>299</v>
      </c>
      <c r="AV537" t="s">
        <v>269</v>
      </c>
      <c r="AW537" t="s">
        <v>48</v>
      </c>
    </row>
    <row r="538" spans="1:49" x14ac:dyDescent="0.3">
      <c r="A538" t="s">
        <v>181</v>
      </c>
      <c r="B538" t="s">
        <v>182</v>
      </c>
      <c r="C538" t="s">
        <v>112</v>
      </c>
      <c r="D538">
        <v>612.63</v>
      </c>
      <c r="E538">
        <v>2</v>
      </c>
      <c r="F538">
        <v>3.63</v>
      </c>
      <c r="G538" t="s">
        <v>898</v>
      </c>
      <c r="H538" t="s">
        <v>184</v>
      </c>
      <c r="I538" t="s">
        <v>52</v>
      </c>
      <c r="J538" t="s">
        <v>53</v>
      </c>
      <c r="K538">
        <v>80</v>
      </c>
      <c r="L538" t="s">
        <v>126</v>
      </c>
      <c r="M538">
        <f>DOWNLOAD_2kLRbPnDtawQopEJ_UKtt22ud9U57gk8mqebZIeugNk[[#This Row],[Standard Value]]</f>
        <v>80</v>
      </c>
      <c r="N538">
        <f>-LOG(DOWNLOAD_2kLRbPnDtawQopEJ_UKtt22ud9U57gk8mqebZIeugNk[[#This Row],[IC50]]*POWER(10, -9), 10)</f>
        <v>7.0969100130080554</v>
      </c>
      <c r="O538">
        <v>7.1</v>
      </c>
      <c r="P538" t="s">
        <v>48</v>
      </c>
      <c r="R538" t="s">
        <v>127</v>
      </c>
      <c r="S538">
        <v>11.58</v>
      </c>
      <c r="T538">
        <v>0.22</v>
      </c>
      <c r="U538">
        <v>3.47</v>
      </c>
      <c r="V538">
        <v>3.55</v>
      </c>
      <c r="W538">
        <v>0</v>
      </c>
      <c r="X538" t="s">
        <v>1574</v>
      </c>
      <c r="Y538" t="s">
        <v>1575</v>
      </c>
      <c r="Z538" t="s">
        <v>58</v>
      </c>
      <c r="AA538" t="s">
        <v>59</v>
      </c>
      <c r="AB538" t="s">
        <v>60</v>
      </c>
      <c r="AC538" t="s">
        <v>61</v>
      </c>
      <c r="AD538" t="s">
        <v>49</v>
      </c>
      <c r="AE538" t="s">
        <v>49</v>
      </c>
      <c r="AF538" t="s">
        <v>49</v>
      </c>
      <c r="AG538" t="s">
        <v>49</v>
      </c>
      <c r="AH538" t="s">
        <v>48</v>
      </c>
      <c r="AI538" t="s">
        <v>48</v>
      </c>
      <c r="AJ538" t="s">
        <v>48</v>
      </c>
      <c r="AK538" t="s">
        <v>62</v>
      </c>
      <c r="AL538" t="s">
        <v>63</v>
      </c>
      <c r="AM538" t="s">
        <v>61</v>
      </c>
      <c r="AN538" t="s">
        <v>64</v>
      </c>
      <c r="AO538" t="s">
        <v>146</v>
      </c>
      <c r="AP538">
        <v>1</v>
      </c>
      <c r="AQ538" t="s">
        <v>66</v>
      </c>
      <c r="AR538" t="s">
        <v>67</v>
      </c>
      <c r="AS538">
        <v>2015</v>
      </c>
      <c r="AT538" t="s">
        <v>49</v>
      </c>
      <c r="AU538" t="s">
        <v>48</v>
      </c>
      <c r="AV538" t="s">
        <v>48</v>
      </c>
      <c r="AW538" t="s">
        <v>48</v>
      </c>
    </row>
    <row r="539" spans="1:49" x14ac:dyDescent="0.3">
      <c r="A539" t="s">
        <v>1576</v>
      </c>
      <c r="B539" t="s">
        <v>48</v>
      </c>
      <c r="C539" t="s">
        <v>49</v>
      </c>
      <c r="D539">
        <v>417.53</v>
      </c>
      <c r="E539">
        <v>0</v>
      </c>
      <c r="F539">
        <v>3.78</v>
      </c>
      <c r="G539" t="s">
        <v>470</v>
      </c>
      <c r="H539" t="s">
        <v>1577</v>
      </c>
      <c r="I539" t="s">
        <v>52</v>
      </c>
      <c r="J539" t="s">
        <v>53</v>
      </c>
      <c r="K539">
        <v>52</v>
      </c>
      <c r="L539" t="s">
        <v>126</v>
      </c>
      <c r="M539">
        <f>DOWNLOAD_2kLRbPnDtawQopEJ_UKtt22ud9U57gk8mqebZIeugNk[[#This Row],[Standard Value]]</f>
        <v>52</v>
      </c>
      <c r="N539">
        <f>-LOG(DOWNLOAD_2kLRbPnDtawQopEJ_UKtt22ud9U57gk8mqebZIeugNk[[#This Row],[IC50]]*POWER(10, -9), 10)</f>
        <v>7.2839966563651997</v>
      </c>
      <c r="O539">
        <v>7.28</v>
      </c>
      <c r="P539" t="s">
        <v>48</v>
      </c>
      <c r="R539" t="s">
        <v>127</v>
      </c>
      <c r="S539">
        <v>17.45</v>
      </c>
      <c r="T539">
        <v>0.33</v>
      </c>
      <c r="U539">
        <v>3.5</v>
      </c>
      <c r="V539">
        <v>9.9499999999999993</v>
      </c>
      <c r="W539">
        <v>0</v>
      </c>
      <c r="X539" t="s">
        <v>1330</v>
      </c>
      <c r="Y539" t="s">
        <v>1331</v>
      </c>
      <c r="Z539" t="s">
        <v>58</v>
      </c>
      <c r="AA539" t="s">
        <v>59</v>
      </c>
      <c r="AB539" t="s">
        <v>60</v>
      </c>
      <c r="AC539" t="s">
        <v>61</v>
      </c>
      <c r="AD539" t="s">
        <v>49</v>
      </c>
      <c r="AE539" t="s">
        <v>49</v>
      </c>
      <c r="AF539" t="s">
        <v>49</v>
      </c>
      <c r="AG539" t="s">
        <v>49</v>
      </c>
      <c r="AH539" t="s">
        <v>48</v>
      </c>
      <c r="AI539" t="s">
        <v>48</v>
      </c>
      <c r="AJ539" t="s">
        <v>48</v>
      </c>
      <c r="AK539" t="s">
        <v>62</v>
      </c>
      <c r="AL539" t="s">
        <v>63</v>
      </c>
      <c r="AM539" t="s">
        <v>61</v>
      </c>
      <c r="AN539" t="s">
        <v>64</v>
      </c>
      <c r="AO539" t="s">
        <v>1332</v>
      </c>
      <c r="AP539">
        <v>1</v>
      </c>
      <c r="AQ539" t="s">
        <v>66</v>
      </c>
      <c r="AR539" t="s">
        <v>329</v>
      </c>
      <c r="AS539">
        <v>2017</v>
      </c>
      <c r="AT539" t="s">
        <v>49</v>
      </c>
      <c r="AU539" t="s">
        <v>48</v>
      </c>
      <c r="AV539" t="s">
        <v>48</v>
      </c>
      <c r="AW539" t="s">
        <v>48</v>
      </c>
    </row>
    <row r="540" spans="1:49" x14ac:dyDescent="0.3">
      <c r="A540" t="s">
        <v>181</v>
      </c>
      <c r="B540" t="s">
        <v>182</v>
      </c>
      <c r="C540" t="s">
        <v>112</v>
      </c>
      <c r="D540">
        <v>612.63</v>
      </c>
      <c r="E540">
        <v>2</v>
      </c>
      <c r="F540">
        <v>3.63</v>
      </c>
      <c r="G540" t="s">
        <v>898</v>
      </c>
      <c r="H540" t="s">
        <v>184</v>
      </c>
      <c r="I540" t="s">
        <v>52</v>
      </c>
      <c r="J540" t="s">
        <v>53</v>
      </c>
      <c r="K540">
        <v>0.25</v>
      </c>
      <c r="L540" t="s">
        <v>54</v>
      </c>
      <c r="M540">
        <f>DOWNLOAD_2kLRbPnDtawQopEJ_UKtt22ud9U57gk8mqebZIeugNk[[#This Row],[Standard Value]]/DOWNLOAD_2kLRbPnDtawQopEJ_UKtt22ud9U57gk8mqebZIeugNk[[#This Row],[Molecular Weight]]*1000*1000</f>
        <v>408.07665311852173</v>
      </c>
      <c r="N540">
        <f>-LOG(DOWNLOAD_2kLRbPnDtawQopEJ_UKtt22ud9U57gk8mqebZIeugNk[[#This Row],[IC50]]*POWER(10, -9), 10)</f>
        <v>6.389258251371885</v>
      </c>
      <c r="P540" t="s">
        <v>48</v>
      </c>
      <c r="R540" t="s">
        <v>55</v>
      </c>
      <c r="W540">
        <v>1</v>
      </c>
      <c r="X540" t="s">
        <v>166</v>
      </c>
      <c r="Y540" t="s">
        <v>167</v>
      </c>
      <c r="Z540" t="s">
        <v>168</v>
      </c>
      <c r="AA540" t="s">
        <v>169</v>
      </c>
      <c r="AB540" t="s">
        <v>170</v>
      </c>
      <c r="AC540" t="s">
        <v>61</v>
      </c>
      <c r="AD540" t="s">
        <v>49</v>
      </c>
      <c r="AE540" t="s">
        <v>49</v>
      </c>
      <c r="AF540" t="s">
        <v>49</v>
      </c>
      <c r="AG540" t="s">
        <v>49</v>
      </c>
      <c r="AH540" t="s">
        <v>48</v>
      </c>
      <c r="AI540" t="s">
        <v>48</v>
      </c>
      <c r="AJ540" t="s">
        <v>48</v>
      </c>
      <c r="AK540" t="s">
        <v>62</v>
      </c>
      <c r="AL540" t="s">
        <v>63</v>
      </c>
      <c r="AM540" t="s">
        <v>61</v>
      </c>
      <c r="AN540" t="s">
        <v>64</v>
      </c>
      <c r="AO540" t="s">
        <v>171</v>
      </c>
      <c r="AP540">
        <v>1</v>
      </c>
      <c r="AQ540" t="s">
        <v>66</v>
      </c>
      <c r="AR540" t="s">
        <v>67</v>
      </c>
      <c r="AS540">
        <v>2004</v>
      </c>
      <c r="AT540" t="s">
        <v>49</v>
      </c>
      <c r="AU540" t="s">
        <v>48</v>
      </c>
      <c r="AV540" t="s">
        <v>48</v>
      </c>
      <c r="AW540" t="s">
        <v>48</v>
      </c>
    </row>
    <row r="541" spans="1:49" x14ac:dyDescent="0.3">
      <c r="A541" t="s">
        <v>1578</v>
      </c>
      <c r="B541" t="s">
        <v>48</v>
      </c>
      <c r="C541" t="s">
        <v>49</v>
      </c>
      <c r="D541">
        <v>753.81</v>
      </c>
      <c r="E541">
        <v>3</v>
      </c>
      <c r="F541">
        <v>0.66</v>
      </c>
      <c r="G541" t="s">
        <v>473</v>
      </c>
      <c r="H541" t="s">
        <v>1579</v>
      </c>
      <c r="I541" t="s">
        <v>52</v>
      </c>
      <c r="J541" t="s">
        <v>53</v>
      </c>
      <c r="K541">
        <v>6000</v>
      </c>
      <c r="L541" t="s">
        <v>126</v>
      </c>
      <c r="M541">
        <f>DOWNLOAD_2kLRbPnDtawQopEJ_UKtt22ud9U57gk8mqebZIeugNk[[#This Row],[Standard Value]]</f>
        <v>6000</v>
      </c>
      <c r="N541">
        <f>-LOG(DOWNLOAD_2kLRbPnDtawQopEJ_UKtt22ud9U57gk8mqebZIeugNk[[#This Row],[IC50]]*POWER(10, -9), 10)</f>
        <v>5.2218487496163561</v>
      </c>
      <c r="O541">
        <v>5.22</v>
      </c>
      <c r="P541" t="s">
        <v>48</v>
      </c>
      <c r="R541" t="s">
        <v>127</v>
      </c>
      <c r="S541">
        <v>6.93</v>
      </c>
      <c r="T541">
        <v>0.13</v>
      </c>
      <c r="U541">
        <v>4.5599999999999996</v>
      </c>
      <c r="V541">
        <v>2.42</v>
      </c>
      <c r="W541">
        <v>0</v>
      </c>
      <c r="X541" t="s">
        <v>926</v>
      </c>
      <c r="Y541" t="s">
        <v>927</v>
      </c>
      <c r="Z541" t="s">
        <v>58</v>
      </c>
      <c r="AA541" t="s">
        <v>59</v>
      </c>
      <c r="AB541" t="s">
        <v>60</v>
      </c>
      <c r="AC541" t="s">
        <v>61</v>
      </c>
      <c r="AD541" t="s">
        <v>49</v>
      </c>
      <c r="AE541" t="s">
        <v>49</v>
      </c>
      <c r="AF541" t="s">
        <v>49</v>
      </c>
      <c r="AG541" t="s">
        <v>49</v>
      </c>
      <c r="AH541" t="s">
        <v>48</v>
      </c>
      <c r="AI541" t="s">
        <v>48</v>
      </c>
      <c r="AJ541" t="s">
        <v>48</v>
      </c>
      <c r="AK541" t="s">
        <v>62</v>
      </c>
      <c r="AL541" t="s">
        <v>63</v>
      </c>
      <c r="AM541" t="s">
        <v>61</v>
      </c>
      <c r="AN541" t="s">
        <v>64</v>
      </c>
      <c r="AO541" t="s">
        <v>928</v>
      </c>
      <c r="AP541">
        <v>1</v>
      </c>
      <c r="AQ541" t="s">
        <v>66</v>
      </c>
      <c r="AR541" t="s">
        <v>67</v>
      </c>
      <c r="AS541">
        <v>2020</v>
      </c>
      <c r="AT541" t="s">
        <v>49</v>
      </c>
      <c r="AU541" t="s">
        <v>299</v>
      </c>
      <c r="AV541" t="s">
        <v>269</v>
      </c>
      <c r="AW541" t="s">
        <v>48</v>
      </c>
    </row>
    <row r="542" spans="1:49" x14ac:dyDescent="0.3">
      <c r="A542" t="s">
        <v>1580</v>
      </c>
      <c r="B542" t="s">
        <v>48</v>
      </c>
      <c r="C542" t="s">
        <v>49</v>
      </c>
      <c r="D542">
        <v>685.74</v>
      </c>
      <c r="E542">
        <v>1</v>
      </c>
      <c r="F542">
        <v>4.07</v>
      </c>
      <c r="G542" t="s">
        <v>832</v>
      </c>
      <c r="H542" t="s">
        <v>1581</v>
      </c>
      <c r="I542" t="s">
        <v>52</v>
      </c>
      <c r="J542" t="s">
        <v>53</v>
      </c>
      <c r="K542">
        <v>1440</v>
      </c>
      <c r="L542" t="s">
        <v>126</v>
      </c>
      <c r="M542">
        <f>DOWNLOAD_2kLRbPnDtawQopEJ_UKtt22ud9U57gk8mqebZIeugNk[[#This Row],[Standard Value]]</f>
        <v>1440</v>
      </c>
      <c r="N542">
        <f>-LOG(DOWNLOAD_2kLRbPnDtawQopEJ_UKtt22ud9U57gk8mqebZIeugNk[[#This Row],[IC50]]*POWER(10, -9), 10)</f>
        <v>5.8416375079047498</v>
      </c>
      <c r="O542">
        <v>5.84</v>
      </c>
      <c r="P542" t="s">
        <v>48</v>
      </c>
      <c r="R542" t="s">
        <v>127</v>
      </c>
      <c r="S542">
        <v>8.52</v>
      </c>
      <c r="T542">
        <v>0.16</v>
      </c>
      <c r="U542">
        <v>1.77</v>
      </c>
      <c r="V542">
        <v>3.5</v>
      </c>
      <c r="W542">
        <v>0</v>
      </c>
      <c r="X542" t="s">
        <v>1497</v>
      </c>
      <c r="Y542" t="s">
        <v>1498</v>
      </c>
      <c r="Z542" t="s">
        <v>58</v>
      </c>
      <c r="AA542" t="s">
        <v>59</v>
      </c>
      <c r="AB542" t="s">
        <v>60</v>
      </c>
      <c r="AC542" t="s">
        <v>61</v>
      </c>
      <c r="AD542" t="s">
        <v>49</v>
      </c>
      <c r="AE542" t="s">
        <v>49</v>
      </c>
      <c r="AF542" t="s">
        <v>49</v>
      </c>
      <c r="AG542" t="s">
        <v>49</v>
      </c>
      <c r="AH542" t="s">
        <v>48</v>
      </c>
      <c r="AI542" t="s">
        <v>48</v>
      </c>
      <c r="AJ542" t="s">
        <v>48</v>
      </c>
      <c r="AK542" t="s">
        <v>62</v>
      </c>
      <c r="AL542" t="s">
        <v>63</v>
      </c>
      <c r="AM542" t="s">
        <v>61</v>
      </c>
      <c r="AN542" t="s">
        <v>64</v>
      </c>
      <c r="AO542" t="s">
        <v>1499</v>
      </c>
      <c r="AP542">
        <v>1</v>
      </c>
      <c r="AQ542" t="s">
        <v>66</v>
      </c>
      <c r="AR542" t="s">
        <v>131</v>
      </c>
      <c r="AS542">
        <v>2022</v>
      </c>
      <c r="AT542" t="s">
        <v>49</v>
      </c>
      <c r="AU542" t="s">
        <v>299</v>
      </c>
      <c r="AV542" t="s">
        <v>269</v>
      </c>
      <c r="AW542" t="s">
        <v>48</v>
      </c>
    </row>
    <row r="543" spans="1:49" x14ac:dyDescent="0.3">
      <c r="A543" t="s">
        <v>1582</v>
      </c>
      <c r="B543" t="s">
        <v>48</v>
      </c>
      <c r="C543" t="s">
        <v>49</v>
      </c>
      <c r="D543">
        <v>520.20000000000005</v>
      </c>
      <c r="E543">
        <v>1</v>
      </c>
      <c r="F543">
        <v>3.09</v>
      </c>
      <c r="G543" t="s">
        <v>96</v>
      </c>
      <c r="H543" t="s">
        <v>1583</v>
      </c>
      <c r="I543" t="s">
        <v>52</v>
      </c>
      <c r="J543" t="s">
        <v>53</v>
      </c>
      <c r="K543">
        <v>49</v>
      </c>
      <c r="L543" t="s">
        <v>126</v>
      </c>
      <c r="M543">
        <f>DOWNLOAD_2kLRbPnDtawQopEJ_UKtt22ud9U57gk8mqebZIeugNk[[#This Row],[Standard Value]]</f>
        <v>49</v>
      </c>
      <c r="N543">
        <f>-LOG(DOWNLOAD_2kLRbPnDtawQopEJ_UKtt22ud9U57gk8mqebZIeugNk[[#This Row],[IC50]]*POWER(10, -9), 10)</f>
        <v>7.3098039199714853</v>
      </c>
      <c r="O543">
        <v>7.31</v>
      </c>
      <c r="P543" t="s">
        <v>48</v>
      </c>
      <c r="R543" t="s">
        <v>127</v>
      </c>
      <c r="S543">
        <v>14.05</v>
      </c>
      <c r="T543">
        <v>0.37</v>
      </c>
      <c r="U543">
        <v>4.22</v>
      </c>
      <c r="V543">
        <v>5.89</v>
      </c>
      <c r="W543">
        <v>0</v>
      </c>
      <c r="X543" t="s">
        <v>144</v>
      </c>
      <c r="Y543" t="s">
        <v>145</v>
      </c>
      <c r="Z543" t="s">
        <v>58</v>
      </c>
      <c r="AA543" t="s">
        <v>59</v>
      </c>
      <c r="AB543" t="s">
        <v>60</v>
      </c>
      <c r="AC543" t="s">
        <v>61</v>
      </c>
      <c r="AD543" t="s">
        <v>49</v>
      </c>
      <c r="AE543" t="s">
        <v>49</v>
      </c>
      <c r="AF543" t="s">
        <v>49</v>
      </c>
      <c r="AG543" t="s">
        <v>49</v>
      </c>
      <c r="AH543" t="s">
        <v>48</v>
      </c>
      <c r="AI543" t="s">
        <v>48</v>
      </c>
      <c r="AJ543" t="s">
        <v>48</v>
      </c>
      <c r="AK543" t="s">
        <v>62</v>
      </c>
      <c r="AL543" t="s">
        <v>63</v>
      </c>
      <c r="AM543" t="s">
        <v>61</v>
      </c>
      <c r="AN543" t="s">
        <v>64</v>
      </c>
      <c r="AO543" t="s">
        <v>146</v>
      </c>
      <c r="AP543">
        <v>1</v>
      </c>
      <c r="AQ543" t="s">
        <v>66</v>
      </c>
      <c r="AR543" t="s">
        <v>67</v>
      </c>
      <c r="AS543">
        <v>2015</v>
      </c>
      <c r="AT543" t="s">
        <v>49</v>
      </c>
      <c r="AU543" t="s">
        <v>48</v>
      </c>
      <c r="AV543" t="s">
        <v>48</v>
      </c>
      <c r="AW543" t="s">
        <v>48</v>
      </c>
    </row>
    <row r="544" spans="1:49" x14ac:dyDescent="0.3">
      <c r="A544" t="s">
        <v>1584</v>
      </c>
      <c r="B544" t="s">
        <v>48</v>
      </c>
      <c r="C544" t="s">
        <v>49</v>
      </c>
      <c r="D544">
        <v>412.47</v>
      </c>
      <c r="E544">
        <v>0</v>
      </c>
      <c r="F544">
        <v>2.71</v>
      </c>
      <c r="G544" t="s">
        <v>1452</v>
      </c>
      <c r="H544" t="s">
        <v>1585</v>
      </c>
      <c r="I544" t="s">
        <v>52</v>
      </c>
      <c r="J544" t="s">
        <v>53</v>
      </c>
      <c r="K544">
        <v>8100</v>
      </c>
      <c r="L544" t="s">
        <v>126</v>
      </c>
      <c r="M544">
        <f>DOWNLOAD_2kLRbPnDtawQopEJ_UKtt22ud9U57gk8mqebZIeugNk[[#This Row],[Standard Value]]</f>
        <v>8100</v>
      </c>
      <c r="N544">
        <f>-LOG(DOWNLOAD_2kLRbPnDtawQopEJ_UKtt22ud9U57gk8mqebZIeugNk[[#This Row],[IC50]]*POWER(10, -9), 10)</f>
        <v>5.0915149811213496</v>
      </c>
      <c r="O544">
        <v>5.09</v>
      </c>
      <c r="P544" t="s">
        <v>48</v>
      </c>
      <c r="R544" t="s">
        <v>127</v>
      </c>
      <c r="S544">
        <v>12.34</v>
      </c>
      <c r="T544">
        <v>0.24</v>
      </c>
      <c r="U544">
        <v>2.38</v>
      </c>
      <c r="V544">
        <v>4.0999999999999996</v>
      </c>
      <c r="W544">
        <v>0</v>
      </c>
      <c r="X544" t="s">
        <v>144</v>
      </c>
      <c r="Y544" t="s">
        <v>145</v>
      </c>
      <c r="Z544" t="s">
        <v>58</v>
      </c>
      <c r="AA544" t="s">
        <v>59</v>
      </c>
      <c r="AB544" t="s">
        <v>60</v>
      </c>
      <c r="AC544" t="s">
        <v>61</v>
      </c>
      <c r="AD544" t="s">
        <v>49</v>
      </c>
      <c r="AE544" t="s">
        <v>49</v>
      </c>
      <c r="AF544" t="s">
        <v>49</v>
      </c>
      <c r="AG544" t="s">
        <v>49</v>
      </c>
      <c r="AH544" t="s">
        <v>48</v>
      </c>
      <c r="AI544" t="s">
        <v>48</v>
      </c>
      <c r="AJ544" t="s">
        <v>48</v>
      </c>
      <c r="AK544" t="s">
        <v>62</v>
      </c>
      <c r="AL544" t="s">
        <v>63</v>
      </c>
      <c r="AM544" t="s">
        <v>61</v>
      </c>
      <c r="AN544" t="s">
        <v>64</v>
      </c>
      <c r="AO544" t="s">
        <v>146</v>
      </c>
      <c r="AP544">
        <v>1</v>
      </c>
      <c r="AQ544" t="s">
        <v>66</v>
      </c>
      <c r="AR544" t="s">
        <v>67</v>
      </c>
      <c r="AS544">
        <v>2015</v>
      </c>
      <c r="AT544" t="s">
        <v>49</v>
      </c>
      <c r="AU544" t="s">
        <v>48</v>
      </c>
      <c r="AV544" t="s">
        <v>48</v>
      </c>
      <c r="AW544" t="s">
        <v>48</v>
      </c>
    </row>
    <row r="545" spans="1:49" x14ac:dyDescent="0.3">
      <c r="A545" t="s">
        <v>1586</v>
      </c>
      <c r="B545" t="s">
        <v>48</v>
      </c>
      <c r="C545" t="s">
        <v>49</v>
      </c>
      <c r="D545">
        <v>431.3</v>
      </c>
      <c r="E545">
        <v>0</v>
      </c>
      <c r="F545">
        <v>2.87</v>
      </c>
      <c r="G545" t="s">
        <v>1587</v>
      </c>
      <c r="H545" t="s">
        <v>1588</v>
      </c>
      <c r="I545" t="s">
        <v>52</v>
      </c>
      <c r="J545" t="s">
        <v>53</v>
      </c>
      <c r="K545">
        <v>300</v>
      </c>
      <c r="L545" t="s">
        <v>126</v>
      </c>
      <c r="M545">
        <f>DOWNLOAD_2kLRbPnDtawQopEJ_UKtt22ud9U57gk8mqebZIeugNk[[#This Row],[Standard Value]]</f>
        <v>300</v>
      </c>
      <c r="N545">
        <f>-LOG(DOWNLOAD_2kLRbPnDtawQopEJ_UKtt22ud9U57gk8mqebZIeugNk[[#This Row],[IC50]]*POWER(10, -9), 10)</f>
        <v>6.5228787452803365</v>
      </c>
      <c r="O545">
        <v>6.52</v>
      </c>
      <c r="P545" t="s">
        <v>48</v>
      </c>
      <c r="R545" t="s">
        <v>127</v>
      </c>
      <c r="S545">
        <v>15.12</v>
      </c>
      <c r="T545">
        <v>0.33</v>
      </c>
      <c r="U545">
        <v>3.65</v>
      </c>
      <c r="V545">
        <v>5.25</v>
      </c>
      <c r="W545">
        <v>0</v>
      </c>
      <c r="X545" t="s">
        <v>144</v>
      </c>
      <c r="Y545" t="s">
        <v>145</v>
      </c>
      <c r="Z545" t="s">
        <v>58</v>
      </c>
      <c r="AA545" t="s">
        <v>59</v>
      </c>
      <c r="AB545" t="s">
        <v>60</v>
      </c>
      <c r="AC545" t="s">
        <v>61</v>
      </c>
      <c r="AD545" t="s">
        <v>49</v>
      </c>
      <c r="AE545" t="s">
        <v>49</v>
      </c>
      <c r="AF545" t="s">
        <v>49</v>
      </c>
      <c r="AG545" t="s">
        <v>49</v>
      </c>
      <c r="AH545" t="s">
        <v>48</v>
      </c>
      <c r="AI545" t="s">
        <v>48</v>
      </c>
      <c r="AJ545" t="s">
        <v>48</v>
      </c>
      <c r="AK545" t="s">
        <v>62</v>
      </c>
      <c r="AL545" t="s">
        <v>63</v>
      </c>
      <c r="AM545" t="s">
        <v>61</v>
      </c>
      <c r="AN545" t="s">
        <v>64</v>
      </c>
      <c r="AO545" t="s">
        <v>146</v>
      </c>
      <c r="AP545">
        <v>1</v>
      </c>
      <c r="AQ545" t="s">
        <v>66</v>
      </c>
      <c r="AR545" t="s">
        <v>67</v>
      </c>
      <c r="AS545">
        <v>2015</v>
      </c>
      <c r="AT545" t="s">
        <v>49</v>
      </c>
      <c r="AU545" t="s">
        <v>48</v>
      </c>
      <c r="AV545" t="s">
        <v>48</v>
      </c>
      <c r="AW545" t="s">
        <v>48</v>
      </c>
    </row>
    <row r="546" spans="1:49" x14ac:dyDescent="0.3">
      <c r="A546" t="s">
        <v>1589</v>
      </c>
      <c r="B546" t="s">
        <v>48</v>
      </c>
      <c r="C546" t="s">
        <v>49</v>
      </c>
      <c r="D546">
        <v>420.13</v>
      </c>
      <c r="E546">
        <v>0</v>
      </c>
      <c r="F546">
        <v>2.87</v>
      </c>
      <c r="G546" t="s">
        <v>470</v>
      </c>
      <c r="H546" t="s">
        <v>1590</v>
      </c>
      <c r="I546" t="s">
        <v>52</v>
      </c>
      <c r="J546" t="s">
        <v>53</v>
      </c>
      <c r="K546">
        <v>12000</v>
      </c>
      <c r="L546" t="s">
        <v>126</v>
      </c>
      <c r="M546">
        <f>DOWNLOAD_2kLRbPnDtawQopEJ_UKtt22ud9U57gk8mqebZIeugNk[[#This Row],[Standard Value]]</f>
        <v>12000</v>
      </c>
      <c r="N546">
        <f>-LOG(DOWNLOAD_2kLRbPnDtawQopEJ_UKtt22ud9U57gk8mqebZIeugNk[[#This Row],[IC50]]*POWER(10, -9), 10)</f>
        <v>4.9208187539523749</v>
      </c>
      <c r="O546">
        <v>4.92</v>
      </c>
      <c r="P546" t="s">
        <v>48</v>
      </c>
      <c r="R546" t="s">
        <v>127</v>
      </c>
      <c r="S546">
        <v>11.71</v>
      </c>
      <c r="T546">
        <v>0.34</v>
      </c>
      <c r="U546">
        <v>2.0499999999999998</v>
      </c>
      <c r="V546">
        <v>5.87</v>
      </c>
      <c r="W546">
        <v>0</v>
      </c>
      <c r="X546" t="s">
        <v>144</v>
      </c>
      <c r="Y546" t="s">
        <v>145</v>
      </c>
      <c r="Z546" t="s">
        <v>58</v>
      </c>
      <c r="AA546" t="s">
        <v>59</v>
      </c>
      <c r="AB546" t="s">
        <v>60</v>
      </c>
      <c r="AC546" t="s">
        <v>61</v>
      </c>
      <c r="AD546" t="s">
        <v>49</v>
      </c>
      <c r="AE546" t="s">
        <v>49</v>
      </c>
      <c r="AF546" t="s">
        <v>49</v>
      </c>
      <c r="AG546" t="s">
        <v>49</v>
      </c>
      <c r="AH546" t="s">
        <v>48</v>
      </c>
      <c r="AI546" t="s">
        <v>48</v>
      </c>
      <c r="AJ546" t="s">
        <v>48</v>
      </c>
      <c r="AK546" t="s">
        <v>62</v>
      </c>
      <c r="AL546" t="s">
        <v>63</v>
      </c>
      <c r="AM546" t="s">
        <v>61</v>
      </c>
      <c r="AN546" t="s">
        <v>64</v>
      </c>
      <c r="AO546" t="s">
        <v>146</v>
      </c>
      <c r="AP546">
        <v>1</v>
      </c>
      <c r="AQ546" t="s">
        <v>66</v>
      </c>
      <c r="AR546" t="s">
        <v>67</v>
      </c>
      <c r="AS546">
        <v>2015</v>
      </c>
      <c r="AT546" t="s">
        <v>49</v>
      </c>
      <c r="AU546" t="s">
        <v>48</v>
      </c>
      <c r="AV546" t="s">
        <v>48</v>
      </c>
      <c r="AW546" t="s">
        <v>48</v>
      </c>
    </row>
    <row r="547" spans="1:49" x14ac:dyDescent="0.3">
      <c r="A547" t="s">
        <v>852</v>
      </c>
      <c r="B547" t="s">
        <v>48</v>
      </c>
      <c r="C547" t="s">
        <v>49</v>
      </c>
      <c r="D547">
        <v>402.38</v>
      </c>
      <c r="E547">
        <v>0</v>
      </c>
      <c r="F547">
        <v>1.17</v>
      </c>
      <c r="G547" t="s">
        <v>1591</v>
      </c>
      <c r="H547" t="s">
        <v>854</v>
      </c>
      <c r="I547" t="s">
        <v>52</v>
      </c>
      <c r="J547" t="s">
        <v>71</v>
      </c>
      <c r="K547">
        <v>83</v>
      </c>
      <c r="L547" t="s">
        <v>126</v>
      </c>
      <c r="M547">
        <f>DOWNLOAD_2kLRbPnDtawQopEJ_UKtt22ud9U57gk8mqebZIeugNk[[#This Row],[Standard Value]]</f>
        <v>83</v>
      </c>
      <c r="N547">
        <f>-LOG(DOWNLOAD_2kLRbPnDtawQopEJ_UKtt22ud9U57gk8mqebZIeugNk[[#This Row],[IC50]]*POWER(10, -9), 10)</f>
        <v>7.0809219076239254</v>
      </c>
      <c r="P547" t="s">
        <v>48</v>
      </c>
      <c r="R547" t="s">
        <v>127</v>
      </c>
      <c r="W547">
        <v>0</v>
      </c>
      <c r="X547" t="s">
        <v>519</v>
      </c>
      <c r="Y547" t="s">
        <v>520</v>
      </c>
      <c r="Z547" t="s">
        <v>58</v>
      </c>
      <c r="AA547" t="s">
        <v>59</v>
      </c>
      <c r="AB547" t="s">
        <v>60</v>
      </c>
      <c r="AC547" t="s">
        <v>61</v>
      </c>
      <c r="AD547" t="s">
        <v>49</v>
      </c>
      <c r="AE547" t="s">
        <v>49</v>
      </c>
      <c r="AF547" t="s">
        <v>49</v>
      </c>
      <c r="AG547" t="s">
        <v>49</v>
      </c>
      <c r="AH547" t="s">
        <v>48</v>
      </c>
      <c r="AI547" t="s">
        <v>48</v>
      </c>
      <c r="AJ547" t="s">
        <v>48</v>
      </c>
      <c r="AK547" t="s">
        <v>62</v>
      </c>
      <c r="AL547" t="s">
        <v>63</v>
      </c>
      <c r="AM547" t="s">
        <v>61</v>
      </c>
      <c r="AN547" t="s">
        <v>64</v>
      </c>
      <c r="AO547" t="s">
        <v>521</v>
      </c>
      <c r="AP547">
        <v>1</v>
      </c>
      <c r="AQ547" t="s">
        <v>66</v>
      </c>
      <c r="AR547" t="s">
        <v>67</v>
      </c>
      <c r="AS547">
        <v>2014</v>
      </c>
      <c r="AT547" t="s">
        <v>49</v>
      </c>
      <c r="AU547" t="s">
        <v>48</v>
      </c>
      <c r="AV547" t="s">
        <v>48</v>
      </c>
      <c r="AW547" t="s">
        <v>48</v>
      </c>
    </row>
    <row r="548" spans="1:49" x14ac:dyDescent="0.3">
      <c r="A548" t="s">
        <v>1592</v>
      </c>
      <c r="B548" t="s">
        <v>1593</v>
      </c>
      <c r="C548" t="s">
        <v>49</v>
      </c>
      <c r="D548">
        <v>346.47</v>
      </c>
      <c r="E548">
        <v>1</v>
      </c>
      <c r="F548">
        <v>5.4</v>
      </c>
      <c r="G548" t="s">
        <v>1594</v>
      </c>
      <c r="H548" t="s">
        <v>1595</v>
      </c>
      <c r="I548" t="s">
        <v>52</v>
      </c>
      <c r="J548" t="s">
        <v>53</v>
      </c>
      <c r="K548">
        <v>500000</v>
      </c>
      <c r="L548" t="s">
        <v>126</v>
      </c>
      <c r="M548">
        <f>DOWNLOAD_2kLRbPnDtawQopEJ_UKtt22ud9U57gk8mqebZIeugNk[[#This Row],[Standard Value]]</f>
        <v>500000</v>
      </c>
      <c r="N548">
        <f>-LOG(DOWNLOAD_2kLRbPnDtawQopEJ_UKtt22ud9U57gk8mqebZIeugNk[[#This Row],[IC50]]*POWER(10, -9), 10)</f>
        <v>3.3010299956639808</v>
      </c>
      <c r="P548" t="s">
        <v>72</v>
      </c>
      <c r="R548" t="s">
        <v>127</v>
      </c>
      <c r="W548">
        <v>0</v>
      </c>
      <c r="X548" t="s">
        <v>590</v>
      </c>
      <c r="Y548" t="s">
        <v>591</v>
      </c>
      <c r="Z548" t="s">
        <v>58</v>
      </c>
      <c r="AA548" t="s">
        <v>59</v>
      </c>
      <c r="AB548" t="s">
        <v>60</v>
      </c>
      <c r="AC548" t="s">
        <v>61</v>
      </c>
      <c r="AD548" t="s">
        <v>49</v>
      </c>
      <c r="AE548" t="s">
        <v>49</v>
      </c>
      <c r="AF548" t="s">
        <v>49</v>
      </c>
      <c r="AG548" t="s">
        <v>49</v>
      </c>
      <c r="AH548" t="s">
        <v>48</v>
      </c>
      <c r="AI548" t="s">
        <v>48</v>
      </c>
      <c r="AJ548" t="s">
        <v>48</v>
      </c>
      <c r="AK548" t="s">
        <v>62</v>
      </c>
      <c r="AL548" t="s">
        <v>63</v>
      </c>
      <c r="AM548" t="s">
        <v>61</v>
      </c>
      <c r="AN548" t="s">
        <v>64</v>
      </c>
      <c r="AO548" t="s">
        <v>592</v>
      </c>
      <c r="AP548">
        <v>1</v>
      </c>
      <c r="AQ548" t="s">
        <v>66</v>
      </c>
      <c r="AR548" t="s">
        <v>67</v>
      </c>
      <c r="AS548">
        <v>2014</v>
      </c>
      <c r="AT548" t="s">
        <v>49</v>
      </c>
      <c r="AU548" t="s">
        <v>48</v>
      </c>
      <c r="AV548" t="s">
        <v>48</v>
      </c>
      <c r="AW548" t="s">
        <v>48</v>
      </c>
    </row>
    <row r="549" spans="1:49" x14ac:dyDescent="0.3">
      <c r="A549" t="s">
        <v>1596</v>
      </c>
      <c r="B549" t="s">
        <v>48</v>
      </c>
      <c r="C549" t="s">
        <v>49</v>
      </c>
      <c r="D549">
        <v>379.46</v>
      </c>
      <c r="E549">
        <v>0</v>
      </c>
      <c r="F549">
        <v>4.29</v>
      </c>
      <c r="G549" t="s">
        <v>1597</v>
      </c>
      <c r="H549" t="s">
        <v>1598</v>
      </c>
      <c r="I549" t="s">
        <v>52</v>
      </c>
      <c r="J549" t="s">
        <v>53</v>
      </c>
      <c r="K549">
        <v>8</v>
      </c>
      <c r="L549" t="s">
        <v>54</v>
      </c>
      <c r="M549">
        <f>DOWNLOAD_2kLRbPnDtawQopEJ_UKtt22ud9U57gk8mqebZIeugNk[[#This Row],[Standard Value]]/DOWNLOAD_2kLRbPnDtawQopEJ_UKtt22ud9U57gk8mqebZIeugNk[[#This Row],[Molecular Weight]]*1000*1000</f>
        <v>21082.5910504401</v>
      </c>
      <c r="N549">
        <f>-LOG(DOWNLOAD_2kLRbPnDtawQopEJ_UKtt22ud9U57gk8mqebZIeugNk[[#This Row],[IC50]]*POWER(10, -9), 10)</f>
        <v>4.6760760153875154</v>
      </c>
      <c r="P549" t="s">
        <v>48</v>
      </c>
      <c r="R549" t="s">
        <v>55</v>
      </c>
      <c r="W549">
        <v>0</v>
      </c>
      <c r="X549" t="s">
        <v>121</v>
      </c>
      <c r="Y549" t="s">
        <v>87</v>
      </c>
      <c r="Z549" t="s">
        <v>58</v>
      </c>
      <c r="AA549" t="s">
        <v>59</v>
      </c>
      <c r="AB549" t="s">
        <v>60</v>
      </c>
      <c r="AC549" t="s">
        <v>61</v>
      </c>
      <c r="AD549" t="s">
        <v>49</v>
      </c>
      <c r="AE549" t="s">
        <v>49</v>
      </c>
      <c r="AF549" t="s">
        <v>49</v>
      </c>
      <c r="AG549" t="s">
        <v>49</v>
      </c>
      <c r="AH549" t="s">
        <v>48</v>
      </c>
      <c r="AI549" t="s">
        <v>48</v>
      </c>
      <c r="AJ549" t="s">
        <v>48</v>
      </c>
      <c r="AK549" t="s">
        <v>62</v>
      </c>
      <c r="AL549" t="s">
        <v>63</v>
      </c>
      <c r="AM549" t="s">
        <v>61</v>
      </c>
      <c r="AN549" t="s">
        <v>64</v>
      </c>
      <c r="AO549" t="s">
        <v>122</v>
      </c>
      <c r="AP549">
        <v>1</v>
      </c>
      <c r="AQ549" t="s">
        <v>66</v>
      </c>
      <c r="AR549" t="s">
        <v>76</v>
      </c>
      <c r="AS549">
        <v>2004</v>
      </c>
      <c r="AT549" t="s">
        <v>49</v>
      </c>
      <c r="AU549" t="s">
        <v>48</v>
      </c>
      <c r="AV549" t="s">
        <v>48</v>
      </c>
      <c r="AW549" t="s">
        <v>48</v>
      </c>
    </row>
    <row r="550" spans="1:49" x14ac:dyDescent="0.3">
      <c r="A550" t="s">
        <v>1599</v>
      </c>
      <c r="B550" t="s">
        <v>48</v>
      </c>
      <c r="C550" t="s">
        <v>49</v>
      </c>
      <c r="D550">
        <v>296.32</v>
      </c>
      <c r="E550">
        <v>0</v>
      </c>
      <c r="F550">
        <v>3.56</v>
      </c>
      <c r="G550" t="s">
        <v>1347</v>
      </c>
      <c r="H550" t="s">
        <v>1600</v>
      </c>
      <c r="I550" t="s">
        <v>52</v>
      </c>
      <c r="J550" t="s">
        <v>53</v>
      </c>
      <c r="K550">
        <v>500000</v>
      </c>
      <c r="L550" t="s">
        <v>126</v>
      </c>
      <c r="M550">
        <f>DOWNLOAD_2kLRbPnDtawQopEJ_UKtt22ud9U57gk8mqebZIeugNk[[#This Row],[Standard Value]]</f>
        <v>500000</v>
      </c>
      <c r="N550">
        <f>-LOG(DOWNLOAD_2kLRbPnDtawQopEJ_UKtt22ud9U57gk8mqebZIeugNk[[#This Row],[IC50]]*POWER(10, -9), 10)</f>
        <v>3.3010299956639808</v>
      </c>
      <c r="P550" t="s">
        <v>72</v>
      </c>
      <c r="R550" t="s">
        <v>127</v>
      </c>
      <c r="W550">
        <v>0</v>
      </c>
      <c r="X550" t="s">
        <v>590</v>
      </c>
      <c r="Y550" t="s">
        <v>591</v>
      </c>
      <c r="Z550" t="s">
        <v>58</v>
      </c>
      <c r="AA550" t="s">
        <v>59</v>
      </c>
      <c r="AB550" t="s">
        <v>60</v>
      </c>
      <c r="AC550" t="s">
        <v>61</v>
      </c>
      <c r="AD550" t="s">
        <v>49</v>
      </c>
      <c r="AE550" t="s">
        <v>49</v>
      </c>
      <c r="AF550" t="s">
        <v>49</v>
      </c>
      <c r="AG550" t="s">
        <v>49</v>
      </c>
      <c r="AH550" t="s">
        <v>48</v>
      </c>
      <c r="AI550" t="s">
        <v>48</v>
      </c>
      <c r="AJ550" t="s">
        <v>48</v>
      </c>
      <c r="AK550" t="s">
        <v>62</v>
      </c>
      <c r="AL550" t="s">
        <v>63</v>
      </c>
      <c r="AM550" t="s">
        <v>61</v>
      </c>
      <c r="AN550" t="s">
        <v>64</v>
      </c>
      <c r="AO550" t="s">
        <v>592</v>
      </c>
      <c r="AP550">
        <v>1</v>
      </c>
      <c r="AQ550" t="s">
        <v>66</v>
      </c>
      <c r="AR550" t="s">
        <v>67</v>
      </c>
      <c r="AS550">
        <v>2014</v>
      </c>
      <c r="AT550" t="s">
        <v>49</v>
      </c>
      <c r="AU550" t="s">
        <v>48</v>
      </c>
      <c r="AV550" t="s">
        <v>48</v>
      </c>
      <c r="AW550" t="s">
        <v>48</v>
      </c>
    </row>
    <row r="551" spans="1:49" x14ac:dyDescent="0.3">
      <c r="A551" t="s">
        <v>1601</v>
      </c>
      <c r="B551" t="s">
        <v>48</v>
      </c>
      <c r="C551" t="s">
        <v>49</v>
      </c>
      <c r="D551">
        <v>404.42</v>
      </c>
      <c r="E551">
        <v>0</v>
      </c>
      <c r="F551">
        <v>2.23</v>
      </c>
      <c r="G551" t="s">
        <v>473</v>
      </c>
      <c r="H551" t="s">
        <v>1602</v>
      </c>
      <c r="I551" t="s">
        <v>52</v>
      </c>
      <c r="J551" t="s">
        <v>53</v>
      </c>
      <c r="K551">
        <v>0.9</v>
      </c>
      <c r="L551" t="s">
        <v>54</v>
      </c>
      <c r="M551">
        <f>DOWNLOAD_2kLRbPnDtawQopEJ_UKtt22ud9U57gk8mqebZIeugNk[[#This Row],[Standard Value]]/DOWNLOAD_2kLRbPnDtawQopEJ_UKtt22ud9U57gk8mqebZIeugNk[[#This Row],[Molecular Weight]]*1000*1000</f>
        <v>2225.4092280302652</v>
      </c>
      <c r="N551">
        <f>-LOG(DOWNLOAD_2kLRbPnDtawQopEJ_UKtt22ud9U57gk8mqebZIeugNk[[#This Row],[IC50]]*POWER(10, -9), 10)</f>
        <v>5.6525901154095601</v>
      </c>
      <c r="P551" t="s">
        <v>48</v>
      </c>
      <c r="R551" t="s">
        <v>55</v>
      </c>
      <c r="W551">
        <v>0</v>
      </c>
      <c r="X551" t="s">
        <v>98</v>
      </c>
      <c r="Y551" t="s">
        <v>99</v>
      </c>
      <c r="Z551" t="s">
        <v>58</v>
      </c>
      <c r="AA551" t="s">
        <v>59</v>
      </c>
      <c r="AB551" t="s">
        <v>60</v>
      </c>
      <c r="AC551" t="s">
        <v>49</v>
      </c>
      <c r="AD551" t="s">
        <v>49</v>
      </c>
      <c r="AE551" t="s">
        <v>49</v>
      </c>
      <c r="AF551" t="s">
        <v>49</v>
      </c>
      <c r="AG551" t="s">
        <v>49</v>
      </c>
      <c r="AH551" t="s">
        <v>48</v>
      </c>
      <c r="AI551" t="s">
        <v>48</v>
      </c>
      <c r="AJ551" t="s">
        <v>48</v>
      </c>
      <c r="AK551" t="s">
        <v>62</v>
      </c>
      <c r="AL551" t="s">
        <v>63</v>
      </c>
      <c r="AM551" t="s">
        <v>61</v>
      </c>
      <c r="AN551" t="s">
        <v>64</v>
      </c>
      <c r="AO551" t="s">
        <v>100</v>
      </c>
      <c r="AP551">
        <v>1</v>
      </c>
      <c r="AQ551" t="s">
        <v>66</v>
      </c>
      <c r="AR551" t="s">
        <v>67</v>
      </c>
      <c r="AS551">
        <v>1991</v>
      </c>
      <c r="AT551" t="s">
        <v>49</v>
      </c>
      <c r="AU551" t="s">
        <v>48</v>
      </c>
      <c r="AV551" t="s">
        <v>48</v>
      </c>
      <c r="AW551" t="s">
        <v>48</v>
      </c>
    </row>
    <row r="552" spans="1:49" x14ac:dyDescent="0.3">
      <c r="A552" t="s">
        <v>1603</v>
      </c>
      <c r="B552" t="s">
        <v>48</v>
      </c>
      <c r="C552" t="s">
        <v>49</v>
      </c>
      <c r="D552">
        <v>445.41</v>
      </c>
      <c r="E552">
        <v>0</v>
      </c>
      <c r="F552">
        <v>0.82</v>
      </c>
      <c r="G552" t="s">
        <v>1604</v>
      </c>
      <c r="H552" t="s">
        <v>1605</v>
      </c>
      <c r="I552" t="s">
        <v>52</v>
      </c>
      <c r="J552" t="s">
        <v>53</v>
      </c>
      <c r="K552">
        <v>800</v>
      </c>
      <c r="L552" t="s">
        <v>126</v>
      </c>
      <c r="M552">
        <f>DOWNLOAD_2kLRbPnDtawQopEJ_UKtt22ud9U57gk8mqebZIeugNk[[#This Row],[Standard Value]]</f>
        <v>800</v>
      </c>
      <c r="N552">
        <f>-LOG(DOWNLOAD_2kLRbPnDtawQopEJ_UKtt22ud9U57gk8mqebZIeugNk[[#This Row],[IC50]]*POWER(10, -9), 10)</f>
        <v>6.0969100130080562</v>
      </c>
      <c r="O552">
        <v>6.1</v>
      </c>
      <c r="P552" t="s">
        <v>48</v>
      </c>
      <c r="Q552">
        <v>302773</v>
      </c>
      <c r="R552" t="s">
        <v>127</v>
      </c>
      <c r="S552">
        <v>13.69</v>
      </c>
      <c r="T552">
        <v>0.26</v>
      </c>
      <c r="U552">
        <v>5.28</v>
      </c>
      <c r="V552">
        <v>4.2699999999999996</v>
      </c>
      <c r="W552">
        <v>0</v>
      </c>
      <c r="X552" t="s">
        <v>251</v>
      </c>
      <c r="Y552" t="s">
        <v>252</v>
      </c>
      <c r="Z552" t="s">
        <v>58</v>
      </c>
      <c r="AA552" t="s">
        <v>59</v>
      </c>
      <c r="AB552" t="s">
        <v>60</v>
      </c>
      <c r="AC552" t="s">
        <v>61</v>
      </c>
      <c r="AD552" t="s">
        <v>49</v>
      </c>
      <c r="AE552" t="s">
        <v>49</v>
      </c>
      <c r="AF552" t="s">
        <v>49</v>
      </c>
      <c r="AG552" t="s">
        <v>49</v>
      </c>
      <c r="AH552" t="s">
        <v>48</v>
      </c>
      <c r="AI552" t="s">
        <v>48</v>
      </c>
      <c r="AJ552" t="s">
        <v>48</v>
      </c>
      <c r="AK552" t="s">
        <v>62</v>
      </c>
      <c r="AL552" t="s">
        <v>63</v>
      </c>
      <c r="AM552" t="s">
        <v>61</v>
      </c>
      <c r="AN552" t="s">
        <v>64</v>
      </c>
      <c r="AO552" t="s">
        <v>253</v>
      </c>
      <c r="AP552">
        <v>37</v>
      </c>
      <c r="AQ552" t="s">
        <v>254</v>
      </c>
      <c r="AR552" t="s">
        <v>48</v>
      </c>
      <c r="AS552">
        <v>2015</v>
      </c>
      <c r="AT552" t="s">
        <v>49</v>
      </c>
      <c r="AU552" t="s">
        <v>48</v>
      </c>
      <c r="AV552" t="s">
        <v>48</v>
      </c>
      <c r="AW552" t="s">
        <v>48</v>
      </c>
    </row>
    <row r="553" spans="1:49" x14ac:dyDescent="0.3">
      <c r="A553" t="s">
        <v>1606</v>
      </c>
      <c r="B553" t="s">
        <v>48</v>
      </c>
      <c r="C553" t="s">
        <v>49</v>
      </c>
      <c r="D553">
        <v>418.84</v>
      </c>
      <c r="E553">
        <v>0</v>
      </c>
      <c r="F553">
        <v>1.68</v>
      </c>
      <c r="G553" t="s">
        <v>1607</v>
      </c>
      <c r="H553" t="s">
        <v>1608</v>
      </c>
      <c r="I553" t="s">
        <v>52</v>
      </c>
      <c r="J553" t="s">
        <v>53</v>
      </c>
      <c r="K553">
        <v>400</v>
      </c>
      <c r="L553" t="s">
        <v>126</v>
      </c>
      <c r="M553">
        <f>DOWNLOAD_2kLRbPnDtawQopEJ_UKtt22ud9U57gk8mqebZIeugNk[[#This Row],[Standard Value]]</f>
        <v>400</v>
      </c>
      <c r="N553">
        <f>-LOG(DOWNLOAD_2kLRbPnDtawQopEJ_UKtt22ud9U57gk8mqebZIeugNk[[#This Row],[IC50]]*POWER(10, -9), 10)</f>
        <v>6.3979400086720375</v>
      </c>
      <c r="O553">
        <v>6.4</v>
      </c>
      <c r="P553" t="s">
        <v>48</v>
      </c>
      <c r="Q553">
        <v>302774</v>
      </c>
      <c r="R553" t="s">
        <v>127</v>
      </c>
      <c r="S553">
        <v>15.28</v>
      </c>
      <c r="T553">
        <v>0.3</v>
      </c>
      <c r="U553">
        <v>4.72</v>
      </c>
      <c r="V553">
        <v>5.62</v>
      </c>
      <c r="W553">
        <v>0</v>
      </c>
      <c r="X553" t="s">
        <v>251</v>
      </c>
      <c r="Y553" t="s">
        <v>252</v>
      </c>
      <c r="Z553" t="s">
        <v>58</v>
      </c>
      <c r="AA553" t="s">
        <v>59</v>
      </c>
      <c r="AB553" t="s">
        <v>60</v>
      </c>
      <c r="AC553" t="s">
        <v>61</v>
      </c>
      <c r="AD553" t="s">
        <v>49</v>
      </c>
      <c r="AE553" t="s">
        <v>49</v>
      </c>
      <c r="AF553" t="s">
        <v>49</v>
      </c>
      <c r="AG553" t="s">
        <v>49</v>
      </c>
      <c r="AH553" t="s">
        <v>48</v>
      </c>
      <c r="AI553" t="s">
        <v>48</v>
      </c>
      <c r="AJ553" t="s">
        <v>48</v>
      </c>
      <c r="AK553" t="s">
        <v>62</v>
      </c>
      <c r="AL553" t="s">
        <v>63</v>
      </c>
      <c r="AM553" t="s">
        <v>61</v>
      </c>
      <c r="AN553" t="s">
        <v>64</v>
      </c>
      <c r="AO553" t="s">
        <v>253</v>
      </c>
      <c r="AP553">
        <v>37</v>
      </c>
      <c r="AQ553" t="s">
        <v>254</v>
      </c>
      <c r="AR553" t="s">
        <v>48</v>
      </c>
      <c r="AS553">
        <v>2015</v>
      </c>
      <c r="AT553" t="s">
        <v>49</v>
      </c>
      <c r="AU553" t="s">
        <v>48</v>
      </c>
      <c r="AV553" t="s">
        <v>48</v>
      </c>
      <c r="AW553" t="s">
        <v>48</v>
      </c>
    </row>
    <row r="554" spans="1:49" x14ac:dyDescent="0.3">
      <c r="A554" t="s">
        <v>1609</v>
      </c>
      <c r="B554" t="s">
        <v>48</v>
      </c>
      <c r="C554" t="s">
        <v>49</v>
      </c>
      <c r="D554">
        <v>483.46</v>
      </c>
      <c r="E554">
        <v>0</v>
      </c>
      <c r="F554">
        <v>1.19</v>
      </c>
      <c r="G554" t="s">
        <v>1610</v>
      </c>
      <c r="H554" t="s">
        <v>1611</v>
      </c>
      <c r="I554" t="s">
        <v>52</v>
      </c>
      <c r="J554" t="s">
        <v>53</v>
      </c>
      <c r="K554">
        <v>800</v>
      </c>
      <c r="L554" t="s">
        <v>126</v>
      </c>
      <c r="M554">
        <f>DOWNLOAD_2kLRbPnDtawQopEJ_UKtt22ud9U57gk8mqebZIeugNk[[#This Row],[Standard Value]]</f>
        <v>800</v>
      </c>
      <c r="N554">
        <f>-LOG(DOWNLOAD_2kLRbPnDtawQopEJ_UKtt22ud9U57gk8mqebZIeugNk[[#This Row],[IC50]]*POWER(10, -9), 10)</f>
        <v>6.0969100130080562</v>
      </c>
      <c r="O554">
        <v>6.1</v>
      </c>
      <c r="P554" t="s">
        <v>48</v>
      </c>
      <c r="Q554">
        <v>302778</v>
      </c>
      <c r="R554" t="s">
        <v>127</v>
      </c>
      <c r="S554">
        <v>12.61</v>
      </c>
      <c r="T554">
        <v>0.24</v>
      </c>
      <c r="U554">
        <v>4.91</v>
      </c>
      <c r="V554">
        <v>3.95</v>
      </c>
      <c r="W554">
        <v>0</v>
      </c>
      <c r="X554" t="s">
        <v>251</v>
      </c>
      <c r="Y554" t="s">
        <v>252</v>
      </c>
      <c r="Z554" t="s">
        <v>58</v>
      </c>
      <c r="AA554" t="s">
        <v>59</v>
      </c>
      <c r="AB554" t="s">
        <v>60</v>
      </c>
      <c r="AC554" t="s">
        <v>61</v>
      </c>
      <c r="AD554" t="s">
        <v>49</v>
      </c>
      <c r="AE554" t="s">
        <v>49</v>
      </c>
      <c r="AF554" t="s">
        <v>49</v>
      </c>
      <c r="AG554" t="s">
        <v>49</v>
      </c>
      <c r="AH554" t="s">
        <v>48</v>
      </c>
      <c r="AI554" t="s">
        <v>48</v>
      </c>
      <c r="AJ554" t="s">
        <v>48</v>
      </c>
      <c r="AK554" t="s">
        <v>62</v>
      </c>
      <c r="AL554" t="s">
        <v>63</v>
      </c>
      <c r="AM554" t="s">
        <v>61</v>
      </c>
      <c r="AN554" t="s">
        <v>64</v>
      </c>
      <c r="AO554" t="s">
        <v>253</v>
      </c>
      <c r="AP554">
        <v>37</v>
      </c>
      <c r="AQ554" t="s">
        <v>254</v>
      </c>
      <c r="AR554" t="s">
        <v>48</v>
      </c>
      <c r="AS554">
        <v>2015</v>
      </c>
      <c r="AT554" t="s">
        <v>49</v>
      </c>
      <c r="AU554" t="s">
        <v>48</v>
      </c>
      <c r="AV554" t="s">
        <v>48</v>
      </c>
      <c r="AW554" t="s">
        <v>48</v>
      </c>
    </row>
    <row r="555" spans="1:49" x14ac:dyDescent="0.3">
      <c r="A555" t="s">
        <v>1612</v>
      </c>
      <c r="B555" t="s">
        <v>48</v>
      </c>
      <c r="C555" t="s">
        <v>49</v>
      </c>
      <c r="D555">
        <v>408.33</v>
      </c>
      <c r="E555">
        <v>0</v>
      </c>
      <c r="F555">
        <v>4.71</v>
      </c>
      <c r="G555" t="s">
        <v>1347</v>
      </c>
      <c r="H555" t="s">
        <v>1613</v>
      </c>
      <c r="I555" t="s">
        <v>52</v>
      </c>
      <c r="J555" t="s">
        <v>53</v>
      </c>
      <c r="K555">
        <v>16</v>
      </c>
      <c r="L555" t="s">
        <v>54</v>
      </c>
      <c r="M555">
        <f>DOWNLOAD_2kLRbPnDtawQopEJ_UKtt22ud9U57gk8mqebZIeugNk[[#This Row],[Standard Value]]/DOWNLOAD_2kLRbPnDtawQopEJ_UKtt22ud9U57gk8mqebZIeugNk[[#This Row],[Molecular Weight]]*1000*1000</f>
        <v>39183.993338721135</v>
      </c>
      <c r="N555">
        <f>-LOG(DOWNLOAD_2kLRbPnDtawQopEJ_UKtt22ud9U57gk8mqebZIeugNk[[#This Row],[IC50]]*POWER(10, -9), 10)</f>
        <v>4.4068913060494159</v>
      </c>
      <c r="P555" t="s">
        <v>48</v>
      </c>
      <c r="R555" t="s">
        <v>55</v>
      </c>
      <c r="W555">
        <v>0</v>
      </c>
      <c r="X555" t="s">
        <v>121</v>
      </c>
      <c r="Y555" t="s">
        <v>87</v>
      </c>
      <c r="Z555" t="s">
        <v>58</v>
      </c>
      <c r="AA555" t="s">
        <v>59</v>
      </c>
      <c r="AB555" t="s">
        <v>60</v>
      </c>
      <c r="AC555" t="s">
        <v>61</v>
      </c>
      <c r="AD555" t="s">
        <v>49</v>
      </c>
      <c r="AE555" t="s">
        <v>49</v>
      </c>
      <c r="AF555" t="s">
        <v>49</v>
      </c>
      <c r="AG555" t="s">
        <v>49</v>
      </c>
      <c r="AH555" t="s">
        <v>48</v>
      </c>
      <c r="AI555" t="s">
        <v>48</v>
      </c>
      <c r="AJ555" t="s">
        <v>48</v>
      </c>
      <c r="AK555" t="s">
        <v>62</v>
      </c>
      <c r="AL555" t="s">
        <v>63</v>
      </c>
      <c r="AM555" t="s">
        <v>61</v>
      </c>
      <c r="AN555" t="s">
        <v>64</v>
      </c>
      <c r="AO555" t="s">
        <v>122</v>
      </c>
      <c r="AP555">
        <v>1</v>
      </c>
      <c r="AQ555" t="s">
        <v>66</v>
      </c>
      <c r="AR555" t="s">
        <v>76</v>
      </c>
      <c r="AS555">
        <v>2004</v>
      </c>
      <c r="AT555" t="s">
        <v>49</v>
      </c>
      <c r="AU555" t="s">
        <v>48</v>
      </c>
      <c r="AV555" t="s">
        <v>48</v>
      </c>
      <c r="AW555" t="s">
        <v>48</v>
      </c>
    </row>
    <row r="556" spans="1:49" x14ac:dyDescent="0.3">
      <c r="A556" t="s">
        <v>1614</v>
      </c>
      <c r="B556" t="s">
        <v>1615</v>
      </c>
      <c r="C556" t="s">
        <v>305</v>
      </c>
      <c r="D556">
        <v>261.23</v>
      </c>
      <c r="E556">
        <v>0</v>
      </c>
      <c r="F556">
        <v>1.45</v>
      </c>
      <c r="G556" t="s">
        <v>1113</v>
      </c>
      <c r="H556" t="s">
        <v>1616</v>
      </c>
      <c r="I556" t="s">
        <v>52</v>
      </c>
      <c r="J556" t="s">
        <v>53</v>
      </c>
      <c r="K556">
        <v>25</v>
      </c>
      <c r="L556" t="s">
        <v>54</v>
      </c>
      <c r="M556">
        <f>DOWNLOAD_2kLRbPnDtawQopEJ_UKtt22ud9U57gk8mqebZIeugNk[[#This Row],[Standard Value]]/DOWNLOAD_2kLRbPnDtawQopEJ_UKtt22ud9U57gk8mqebZIeugNk[[#This Row],[Molecular Weight]]*1000*1000</f>
        <v>95701.106304788875</v>
      </c>
      <c r="N556">
        <f>-LOG(DOWNLOAD_2kLRbPnDtawQopEJ_UKtt22ud9U57gk8mqebZIeugNk[[#This Row],[IC50]]*POWER(10, -9), 10)</f>
        <v>4.0190830417499264</v>
      </c>
      <c r="P556" t="s">
        <v>48</v>
      </c>
      <c r="R556" t="s">
        <v>55</v>
      </c>
      <c r="W556">
        <v>0</v>
      </c>
      <c r="X556" t="s">
        <v>115</v>
      </c>
      <c r="Y556" t="s">
        <v>116</v>
      </c>
      <c r="Z556" t="s">
        <v>58</v>
      </c>
      <c r="AA556" t="s">
        <v>59</v>
      </c>
      <c r="AB556" t="s">
        <v>60</v>
      </c>
      <c r="AC556" t="s">
        <v>61</v>
      </c>
      <c r="AD556" t="s">
        <v>49</v>
      </c>
      <c r="AE556" t="s">
        <v>49</v>
      </c>
      <c r="AF556" t="s">
        <v>49</v>
      </c>
      <c r="AG556" t="s">
        <v>49</v>
      </c>
      <c r="AH556" t="s">
        <v>48</v>
      </c>
      <c r="AI556" t="s">
        <v>48</v>
      </c>
      <c r="AJ556" t="s">
        <v>48</v>
      </c>
      <c r="AK556" t="s">
        <v>62</v>
      </c>
      <c r="AL556" t="s">
        <v>63</v>
      </c>
      <c r="AM556" t="s">
        <v>61</v>
      </c>
      <c r="AN556" t="s">
        <v>64</v>
      </c>
      <c r="AO556" t="s">
        <v>117</v>
      </c>
      <c r="AP556">
        <v>1</v>
      </c>
      <c r="AQ556" t="s">
        <v>66</v>
      </c>
      <c r="AR556" t="s">
        <v>67</v>
      </c>
      <c r="AS556">
        <v>1986</v>
      </c>
      <c r="AT556" t="s">
        <v>49</v>
      </c>
      <c r="AU556" t="s">
        <v>48</v>
      </c>
      <c r="AV556" t="s">
        <v>48</v>
      </c>
      <c r="AW556" t="s">
        <v>48</v>
      </c>
    </row>
    <row r="557" spans="1:49" x14ac:dyDescent="0.3">
      <c r="A557" t="s">
        <v>1617</v>
      </c>
      <c r="B557" t="s">
        <v>48</v>
      </c>
      <c r="C557" t="s">
        <v>49</v>
      </c>
      <c r="D557">
        <v>344.35</v>
      </c>
      <c r="E557">
        <v>0</v>
      </c>
      <c r="F557">
        <v>1.1200000000000001</v>
      </c>
      <c r="G557" t="s">
        <v>760</v>
      </c>
      <c r="H557" t="s">
        <v>1618</v>
      </c>
      <c r="I557" t="s">
        <v>52</v>
      </c>
      <c r="J557" t="s">
        <v>53</v>
      </c>
      <c r="K557">
        <v>6.3</v>
      </c>
      <c r="L557" t="s">
        <v>54</v>
      </c>
      <c r="M557">
        <f>DOWNLOAD_2kLRbPnDtawQopEJ_UKtt22ud9U57gk8mqebZIeugNk[[#This Row],[Standard Value]]/DOWNLOAD_2kLRbPnDtawQopEJ_UKtt22ud9U57gk8mqebZIeugNk[[#This Row],[Molecular Weight]]*1000*1000</f>
        <v>18295.339044576736</v>
      </c>
      <c r="N557">
        <f>-LOG(DOWNLOAD_2kLRbPnDtawQopEJ_UKtt22ud9U57gk8mqebZIeugNk[[#This Row],[IC50]]*POWER(10, -9), 10)</f>
        <v>4.7376595378677564</v>
      </c>
      <c r="P557" t="s">
        <v>48</v>
      </c>
      <c r="R557" t="s">
        <v>55</v>
      </c>
      <c r="W557">
        <v>0</v>
      </c>
      <c r="X557" t="s">
        <v>98</v>
      </c>
      <c r="Y557" t="s">
        <v>99</v>
      </c>
      <c r="Z557" t="s">
        <v>58</v>
      </c>
      <c r="AA557" t="s">
        <v>59</v>
      </c>
      <c r="AB557" t="s">
        <v>60</v>
      </c>
      <c r="AC557" t="s">
        <v>49</v>
      </c>
      <c r="AD557" t="s">
        <v>49</v>
      </c>
      <c r="AE557" t="s">
        <v>49</v>
      </c>
      <c r="AF557" t="s">
        <v>49</v>
      </c>
      <c r="AG557" t="s">
        <v>49</v>
      </c>
      <c r="AH557" t="s">
        <v>48</v>
      </c>
      <c r="AI557" t="s">
        <v>48</v>
      </c>
      <c r="AJ557" t="s">
        <v>48</v>
      </c>
      <c r="AK557" t="s">
        <v>62</v>
      </c>
      <c r="AL557" t="s">
        <v>63</v>
      </c>
      <c r="AM557" t="s">
        <v>61</v>
      </c>
      <c r="AN557" t="s">
        <v>64</v>
      </c>
      <c r="AO557" t="s">
        <v>100</v>
      </c>
      <c r="AP557">
        <v>1</v>
      </c>
      <c r="AQ557" t="s">
        <v>66</v>
      </c>
      <c r="AR557" t="s">
        <v>67</v>
      </c>
      <c r="AS557">
        <v>1991</v>
      </c>
      <c r="AT557" t="s">
        <v>49</v>
      </c>
      <c r="AU557" t="s">
        <v>48</v>
      </c>
      <c r="AV557" t="s">
        <v>48</v>
      </c>
      <c r="AW557" t="s">
        <v>48</v>
      </c>
    </row>
    <row r="558" spans="1:49" x14ac:dyDescent="0.3">
      <c r="A558" t="s">
        <v>1619</v>
      </c>
      <c r="B558" t="s">
        <v>48</v>
      </c>
      <c r="C558" t="s">
        <v>49</v>
      </c>
      <c r="D558">
        <v>346.36</v>
      </c>
      <c r="E558">
        <v>0</v>
      </c>
      <c r="F558">
        <v>1.5</v>
      </c>
      <c r="G558" t="s">
        <v>324</v>
      </c>
      <c r="H558" t="s">
        <v>1620</v>
      </c>
      <c r="I558" t="s">
        <v>52</v>
      </c>
      <c r="J558" t="s">
        <v>53</v>
      </c>
      <c r="K558">
        <v>3</v>
      </c>
      <c r="L558" t="s">
        <v>54</v>
      </c>
      <c r="M558">
        <f>DOWNLOAD_2kLRbPnDtawQopEJ_UKtt22ud9U57gk8mqebZIeugNk[[#This Row],[Standard Value]]/DOWNLOAD_2kLRbPnDtawQopEJ_UKtt22ud9U57gk8mqebZIeugNk[[#This Row],[Molecular Weight]]*1000*1000</f>
        <v>8661.5082573045383</v>
      </c>
      <c r="N558">
        <f>-LOG(DOWNLOAD_2kLRbPnDtawQopEJ_UKtt22ud9U57gk8mqebZIeugNk[[#This Row],[IC50]]*POWER(10, -9), 10)</f>
        <v>5.0624064762516765</v>
      </c>
      <c r="P558" t="s">
        <v>48</v>
      </c>
      <c r="R558" t="s">
        <v>55</v>
      </c>
      <c r="W558">
        <v>0</v>
      </c>
      <c r="X558" t="s">
        <v>98</v>
      </c>
      <c r="Y558" t="s">
        <v>99</v>
      </c>
      <c r="Z558" t="s">
        <v>58</v>
      </c>
      <c r="AA558" t="s">
        <v>59</v>
      </c>
      <c r="AB558" t="s">
        <v>60</v>
      </c>
      <c r="AC558" t="s">
        <v>49</v>
      </c>
      <c r="AD558" t="s">
        <v>49</v>
      </c>
      <c r="AE558" t="s">
        <v>49</v>
      </c>
      <c r="AF558" t="s">
        <v>49</v>
      </c>
      <c r="AG558" t="s">
        <v>49</v>
      </c>
      <c r="AH558" t="s">
        <v>48</v>
      </c>
      <c r="AI558" t="s">
        <v>48</v>
      </c>
      <c r="AJ558" t="s">
        <v>48</v>
      </c>
      <c r="AK558" t="s">
        <v>62</v>
      </c>
      <c r="AL558" t="s">
        <v>63</v>
      </c>
      <c r="AM558" t="s">
        <v>61</v>
      </c>
      <c r="AN558" t="s">
        <v>64</v>
      </c>
      <c r="AO558" t="s">
        <v>100</v>
      </c>
      <c r="AP558">
        <v>1</v>
      </c>
      <c r="AQ558" t="s">
        <v>66</v>
      </c>
      <c r="AR558" t="s">
        <v>67</v>
      </c>
      <c r="AS558">
        <v>1991</v>
      </c>
      <c r="AT558" t="s">
        <v>49</v>
      </c>
      <c r="AU558" t="s">
        <v>48</v>
      </c>
      <c r="AV558" t="s">
        <v>48</v>
      </c>
      <c r="AW558" t="s">
        <v>48</v>
      </c>
    </row>
    <row r="559" spans="1:49" x14ac:dyDescent="0.3">
      <c r="A559" t="s">
        <v>1621</v>
      </c>
      <c r="B559" t="s">
        <v>48</v>
      </c>
      <c r="C559" t="s">
        <v>49</v>
      </c>
      <c r="D559">
        <v>377.42</v>
      </c>
      <c r="E559">
        <v>0</v>
      </c>
      <c r="F559">
        <v>1.49</v>
      </c>
      <c r="G559" t="s">
        <v>1622</v>
      </c>
      <c r="H559" t="s">
        <v>1623</v>
      </c>
      <c r="I559" t="s">
        <v>52</v>
      </c>
      <c r="J559" t="s">
        <v>53</v>
      </c>
      <c r="K559">
        <v>120</v>
      </c>
      <c r="L559" t="s">
        <v>126</v>
      </c>
      <c r="M559">
        <f>DOWNLOAD_2kLRbPnDtawQopEJ_UKtt22ud9U57gk8mqebZIeugNk[[#This Row],[Standard Value]]</f>
        <v>120</v>
      </c>
      <c r="N559">
        <f>-LOG(DOWNLOAD_2kLRbPnDtawQopEJ_UKtt22ud9U57gk8mqebZIeugNk[[#This Row],[IC50]]*POWER(10, -9), 10)</f>
        <v>6.9208187539523749</v>
      </c>
      <c r="O559">
        <v>6.92</v>
      </c>
      <c r="P559" t="s">
        <v>48</v>
      </c>
      <c r="R559" t="s">
        <v>127</v>
      </c>
      <c r="S559">
        <v>18.34</v>
      </c>
      <c r="T559">
        <v>0.35</v>
      </c>
      <c r="U559">
        <v>5.43</v>
      </c>
      <c r="V559">
        <v>7.2</v>
      </c>
      <c r="W559">
        <v>0</v>
      </c>
      <c r="X559" t="s">
        <v>708</v>
      </c>
      <c r="Y559" t="s">
        <v>709</v>
      </c>
      <c r="Z559" t="s">
        <v>58</v>
      </c>
      <c r="AA559" t="s">
        <v>59</v>
      </c>
      <c r="AB559" t="s">
        <v>60</v>
      </c>
      <c r="AC559" t="s">
        <v>61</v>
      </c>
      <c r="AD559" t="s">
        <v>49</v>
      </c>
      <c r="AE559" t="s">
        <v>49</v>
      </c>
      <c r="AF559" t="s">
        <v>49</v>
      </c>
      <c r="AG559" t="s">
        <v>49</v>
      </c>
      <c r="AH559" t="s">
        <v>48</v>
      </c>
      <c r="AI559" t="s">
        <v>48</v>
      </c>
      <c r="AJ559" t="s">
        <v>48</v>
      </c>
      <c r="AK559" t="s">
        <v>62</v>
      </c>
      <c r="AL559" t="s">
        <v>63</v>
      </c>
      <c r="AM559" t="s">
        <v>61</v>
      </c>
      <c r="AN559" t="s">
        <v>64</v>
      </c>
      <c r="AO559" t="s">
        <v>710</v>
      </c>
      <c r="AP559">
        <v>1</v>
      </c>
      <c r="AQ559" t="s">
        <v>66</v>
      </c>
      <c r="AR559" t="s">
        <v>76</v>
      </c>
      <c r="AS559">
        <v>2018</v>
      </c>
      <c r="AT559" t="s">
        <v>49</v>
      </c>
      <c r="AU559" t="s">
        <v>48</v>
      </c>
      <c r="AV559" t="s">
        <v>48</v>
      </c>
      <c r="AW559" t="s">
        <v>48</v>
      </c>
    </row>
    <row r="560" spans="1:49" x14ac:dyDescent="0.3">
      <c r="A560" t="s">
        <v>1336</v>
      </c>
      <c r="B560" t="s">
        <v>1337</v>
      </c>
      <c r="C560" t="s">
        <v>1338</v>
      </c>
      <c r="D560">
        <v>365.79</v>
      </c>
      <c r="E560">
        <v>0</v>
      </c>
      <c r="F560">
        <v>2.36</v>
      </c>
      <c r="G560" t="s">
        <v>1339</v>
      </c>
      <c r="H560" t="s">
        <v>1340</v>
      </c>
      <c r="I560" t="s">
        <v>52</v>
      </c>
      <c r="J560" t="s">
        <v>53</v>
      </c>
      <c r="K560">
        <v>1</v>
      </c>
      <c r="L560" t="s">
        <v>54</v>
      </c>
      <c r="M560">
        <f>DOWNLOAD_2kLRbPnDtawQopEJ_UKtt22ud9U57gk8mqebZIeugNk[[#This Row],[Standard Value]]/DOWNLOAD_2kLRbPnDtawQopEJ_UKtt22ud9U57gk8mqebZIeugNk[[#This Row],[Molecular Weight]]*1000*1000</f>
        <v>2733.809016102135</v>
      </c>
      <c r="N560">
        <f>-LOG(DOWNLOAD_2kLRbPnDtawQopEJ_UKtt22ud9U57gk8mqebZIeugNk[[#This Row],[IC50]]*POWER(10, -9), 10)</f>
        <v>5.5632318285209816</v>
      </c>
      <c r="P560" t="s">
        <v>48</v>
      </c>
      <c r="R560" t="s">
        <v>55</v>
      </c>
      <c r="W560">
        <v>0</v>
      </c>
      <c r="X560" t="s">
        <v>92</v>
      </c>
      <c r="Y560" t="s">
        <v>93</v>
      </c>
      <c r="Z560" t="s">
        <v>58</v>
      </c>
      <c r="AA560" t="s">
        <v>59</v>
      </c>
      <c r="AB560" t="s">
        <v>60</v>
      </c>
      <c r="AC560" t="s">
        <v>61</v>
      </c>
      <c r="AD560" t="s">
        <v>49</v>
      </c>
      <c r="AE560" t="s">
        <v>49</v>
      </c>
      <c r="AF560" t="s">
        <v>49</v>
      </c>
      <c r="AG560" t="s">
        <v>49</v>
      </c>
      <c r="AH560" t="s">
        <v>48</v>
      </c>
      <c r="AI560" t="s">
        <v>48</v>
      </c>
      <c r="AJ560" t="s">
        <v>48</v>
      </c>
      <c r="AK560" t="s">
        <v>62</v>
      </c>
      <c r="AL560" t="s">
        <v>63</v>
      </c>
      <c r="AM560" t="s">
        <v>61</v>
      </c>
      <c r="AN560" t="s">
        <v>64</v>
      </c>
      <c r="AO560" t="s">
        <v>94</v>
      </c>
      <c r="AP560">
        <v>1</v>
      </c>
      <c r="AQ560" t="s">
        <v>66</v>
      </c>
      <c r="AR560" t="s">
        <v>67</v>
      </c>
      <c r="AS560">
        <v>2003</v>
      </c>
      <c r="AT560" t="s">
        <v>49</v>
      </c>
      <c r="AU560" t="s">
        <v>48</v>
      </c>
      <c r="AV560" t="s">
        <v>48</v>
      </c>
      <c r="AW560" t="s">
        <v>48</v>
      </c>
    </row>
    <row r="561" spans="1:49" x14ac:dyDescent="0.3">
      <c r="A561" t="s">
        <v>1624</v>
      </c>
      <c r="B561" t="s">
        <v>48</v>
      </c>
      <c r="C561" t="s">
        <v>49</v>
      </c>
      <c r="D561">
        <v>505.79</v>
      </c>
      <c r="E561">
        <v>0</v>
      </c>
      <c r="F561">
        <v>2.5299999999999998</v>
      </c>
      <c r="G561" t="s">
        <v>271</v>
      </c>
      <c r="H561" t="s">
        <v>1625</v>
      </c>
      <c r="I561" t="s">
        <v>52</v>
      </c>
      <c r="J561" t="s">
        <v>53</v>
      </c>
      <c r="K561">
        <v>74</v>
      </c>
      <c r="L561" t="s">
        <v>126</v>
      </c>
      <c r="M561">
        <f>DOWNLOAD_2kLRbPnDtawQopEJ_UKtt22ud9U57gk8mqebZIeugNk[[#This Row],[Standard Value]]</f>
        <v>74</v>
      </c>
      <c r="N561">
        <f>-LOG(DOWNLOAD_2kLRbPnDtawQopEJ_UKtt22ud9U57gk8mqebZIeugNk[[#This Row],[IC50]]*POWER(10, -9), 10)</f>
        <v>7.1307682802690229</v>
      </c>
      <c r="O561">
        <v>7.13</v>
      </c>
      <c r="P561" t="s">
        <v>48</v>
      </c>
      <c r="R561" t="s">
        <v>127</v>
      </c>
      <c r="S561">
        <v>15.19</v>
      </c>
      <c r="T561">
        <v>0.31</v>
      </c>
      <c r="U561">
        <v>4.5999999999999996</v>
      </c>
      <c r="V561">
        <v>5.87</v>
      </c>
      <c r="W561">
        <v>0</v>
      </c>
      <c r="X561" t="s">
        <v>716</v>
      </c>
      <c r="Y561" t="s">
        <v>717</v>
      </c>
      <c r="Z561" t="s">
        <v>58</v>
      </c>
      <c r="AA561" t="s">
        <v>59</v>
      </c>
      <c r="AB561" t="s">
        <v>60</v>
      </c>
      <c r="AC561" t="s">
        <v>61</v>
      </c>
      <c r="AD561" t="s">
        <v>49</v>
      </c>
      <c r="AE561" t="s">
        <v>49</v>
      </c>
      <c r="AF561" t="s">
        <v>49</v>
      </c>
      <c r="AG561" t="s">
        <v>49</v>
      </c>
      <c r="AH561" t="s">
        <v>48</v>
      </c>
      <c r="AI561" t="s">
        <v>48</v>
      </c>
      <c r="AJ561" t="s">
        <v>48</v>
      </c>
      <c r="AK561" t="s">
        <v>62</v>
      </c>
      <c r="AL561" t="s">
        <v>63</v>
      </c>
      <c r="AM561" t="s">
        <v>61</v>
      </c>
      <c r="AN561" t="s">
        <v>64</v>
      </c>
      <c r="AO561" t="s">
        <v>718</v>
      </c>
      <c r="AP561">
        <v>1</v>
      </c>
      <c r="AQ561" t="s">
        <v>66</v>
      </c>
      <c r="AR561" t="s">
        <v>131</v>
      </c>
      <c r="AS561">
        <v>2019</v>
      </c>
      <c r="AT561" t="s">
        <v>49</v>
      </c>
      <c r="AU561" t="s">
        <v>299</v>
      </c>
      <c r="AV561" t="s">
        <v>269</v>
      </c>
      <c r="AW561" t="s">
        <v>48</v>
      </c>
    </row>
    <row r="562" spans="1:49" x14ac:dyDescent="0.3">
      <c r="A562" t="s">
        <v>1626</v>
      </c>
      <c r="B562" t="s">
        <v>48</v>
      </c>
      <c r="C562" t="s">
        <v>49</v>
      </c>
      <c r="D562">
        <v>284.27</v>
      </c>
      <c r="E562">
        <v>0</v>
      </c>
      <c r="F562">
        <v>2.88</v>
      </c>
      <c r="G562" t="s">
        <v>1627</v>
      </c>
      <c r="H562" t="s">
        <v>1628</v>
      </c>
      <c r="I562" t="s">
        <v>52</v>
      </c>
      <c r="J562" t="s">
        <v>71</v>
      </c>
      <c r="K562">
        <v>500</v>
      </c>
      <c r="L562" t="s">
        <v>54</v>
      </c>
      <c r="M562">
        <f>DOWNLOAD_2kLRbPnDtawQopEJ_UKtt22ud9U57gk8mqebZIeugNk[[#This Row],[Standard Value]]/DOWNLOAD_2kLRbPnDtawQopEJ_UKtt22ud9U57gk8mqebZIeugNk[[#This Row],[Molecular Weight]]*1000*1000</f>
        <v>1758891.194990678</v>
      </c>
      <c r="N562">
        <f>-LOG(DOWNLOAD_2kLRbPnDtawQopEJ_UKtt22ud9U57gk8mqebZIeugNk[[#This Row],[IC50]]*POWER(10, -9), 10)</f>
        <v>2.7547610251682744</v>
      </c>
      <c r="P562" t="s">
        <v>72</v>
      </c>
      <c r="R562" t="s">
        <v>55</v>
      </c>
      <c r="W562">
        <v>0</v>
      </c>
      <c r="X562" t="s">
        <v>314</v>
      </c>
      <c r="Y562" t="s">
        <v>315</v>
      </c>
      <c r="Z562" t="s">
        <v>58</v>
      </c>
      <c r="AA562" t="s">
        <v>59</v>
      </c>
      <c r="AB562" t="s">
        <v>60</v>
      </c>
      <c r="AC562" t="s">
        <v>61</v>
      </c>
      <c r="AD562" t="s">
        <v>49</v>
      </c>
      <c r="AE562" t="s">
        <v>49</v>
      </c>
      <c r="AF562" t="s">
        <v>49</v>
      </c>
      <c r="AG562" t="s">
        <v>49</v>
      </c>
      <c r="AH562" t="s">
        <v>48</v>
      </c>
      <c r="AI562" t="s">
        <v>48</v>
      </c>
      <c r="AJ562" t="s">
        <v>48</v>
      </c>
      <c r="AK562" t="s">
        <v>62</v>
      </c>
      <c r="AL562" t="s">
        <v>63</v>
      </c>
      <c r="AM562" t="s">
        <v>61</v>
      </c>
      <c r="AN562" t="s">
        <v>64</v>
      </c>
      <c r="AO562" t="s">
        <v>316</v>
      </c>
      <c r="AP562">
        <v>1</v>
      </c>
      <c r="AQ562" t="s">
        <v>66</v>
      </c>
      <c r="AR562" t="s">
        <v>76</v>
      </c>
      <c r="AS562">
        <v>1993</v>
      </c>
      <c r="AT562" t="s">
        <v>49</v>
      </c>
      <c r="AU562" t="s">
        <v>48</v>
      </c>
      <c r="AV562" t="s">
        <v>48</v>
      </c>
      <c r="AW562" t="s">
        <v>48</v>
      </c>
    </row>
    <row r="563" spans="1:49" x14ac:dyDescent="0.3">
      <c r="A563" t="s">
        <v>1629</v>
      </c>
      <c r="B563" t="s">
        <v>48</v>
      </c>
      <c r="C563" t="s">
        <v>49</v>
      </c>
      <c r="D563">
        <v>246.19</v>
      </c>
      <c r="E563">
        <v>0</v>
      </c>
      <c r="F563">
        <v>2.5</v>
      </c>
      <c r="G563" t="s">
        <v>1630</v>
      </c>
      <c r="H563" t="s">
        <v>1631</v>
      </c>
      <c r="I563" t="s">
        <v>52</v>
      </c>
      <c r="J563" t="s">
        <v>53</v>
      </c>
      <c r="K563">
        <v>370</v>
      </c>
      <c r="L563" t="s">
        <v>54</v>
      </c>
      <c r="M563">
        <f>DOWNLOAD_2kLRbPnDtawQopEJ_UKtt22ud9U57gk8mqebZIeugNk[[#This Row],[Standard Value]]/DOWNLOAD_2kLRbPnDtawQopEJ_UKtt22ud9U57gk8mqebZIeugNk[[#This Row],[Molecular Weight]]*1000*1000</f>
        <v>1502904.2609366749</v>
      </c>
      <c r="N563">
        <f>-LOG(DOWNLOAD_2kLRbPnDtawQopEJ_UKtt22ud9U57gk8mqebZIeugNk[[#This Row],[IC50]]*POWER(10, -9), 10)</f>
        <v>2.8230686842642041</v>
      </c>
      <c r="P563" t="s">
        <v>72</v>
      </c>
      <c r="R563" t="s">
        <v>55</v>
      </c>
      <c r="W563">
        <v>0</v>
      </c>
      <c r="X563" t="s">
        <v>73</v>
      </c>
      <c r="Y563" t="s">
        <v>74</v>
      </c>
      <c r="Z563" t="s">
        <v>58</v>
      </c>
      <c r="AA563" t="s">
        <v>59</v>
      </c>
      <c r="AB563" t="s">
        <v>60</v>
      </c>
      <c r="AC563" t="s">
        <v>61</v>
      </c>
      <c r="AD563" t="s">
        <v>49</v>
      </c>
      <c r="AE563" t="s">
        <v>49</v>
      </c>
      <c r="AF563" t="s">
        <v>49</v>
      </c>
      <c r="AG563" t="s">
        <v>49</v>
      </c>
      <c r="AH563" t="s">
        <v>48</v>
      </c>
      <c r="AI563" t="s">
        <v>48</v>
      </c>
      <c r="AJ563" t="s">
        <v>48</v>
      </c>
      <c r="AK563" t="s">
        <v>62</v>
      </c>
      <c r="AL563" t="s">
        <v>63</v>
      </c>
      <c r="AM563" t="s">
        <v>61</v>
      </c>
      <c r="AN563" t="s">
        <v>64</v>
      </c>
      <c r="AO563" t="s">
        <v>75</v>
      </c>
      <c r="AP563">
        <v>1</v>
      </c>
      <c r="AQ563" t="s">
        <v>66</v>
      </c>
      <c r="AR563" t="s">
        <v>76</v>
      </c>
      <c r="AS563">
        <v>1998</v>
      </c>
      <c r="AT563" t="s">
        <v>49</v>
      </c>
      <c r="AU563" t="s">
        <v>48</v>
      </c>
      <c r="AV563" t="s">
        <v>48</v>
      </c>
      <c r="AW563" t="s">
        <v>48</v>
      </c>
    </row>
    <row r="564" spans="1:49" x14ac:dyDescent="0.3">
      <c r="A564" t="s">
        <v>1632</v>
      </c>
      <c r="B564" t="s">
        <v>48</v>
      </c>
      <c r="C564" t="s">
        <v>49</v>
      </c>
      <c r="D564">
        <v>378.52</v>
      </c>
      <c r="E564">
        <v>0</v>
      </c>
      <c r="F564">
        <v>3.84</v>
      </c>
      <c r="G564" t="s">
        <v>262</v>
      </c>
      <c r="H564" t="s">
        <v>1633</v>
      </c>
      <c r="I564" t="s">
        <v>52</v>
      </c>
      <c r="J564" t="s">
        <v>53</v>
      </c>
      <c r="K564">
        <v>64</v>
      </c>
      <c r="L564" t="s">
        <v>54</v>
      </c>
      <c r="M564">
        <f>DOWNLOAD_2kLRbPnDtawQopEJ_UKtt22ud9U57gk8mqebZIeugNk[[#This Row],[Standard Value]]/DOWNLOAD_2kLRbPnDtawQopEJ_UKtt22ud9U57gk8mqebZIeugNk[[#This Row],[Molecular Weight]]*1000*1000</f>
        <v>169079.57307407801</v>
      </c>
      <c r="N564">
        <f>-LOG(DOWNLOAD_2kLRbPnDtawQopEJ_UKtt22ud9U57gk8mqebZIeugNk[[#This Row],[IC50]]*POWER(10, -9), 10)</f>
        <v>3.7719088574352009</v>
      </c>
      <c r="P564" t="s">
        <v>72</v>
      </c>
      <c r="R564" t="s">
        <v>55</v>
      </c>
      <c r="W564">
        <v>0</v>
      </c>
      <c r="X564" t="s">
        <v>121</v>
      </c>
      <c r="Y564" t="s">
        <v>87</v>
      </c>
      <c r="Z564" t="s">
        <v>58</v>
      </c>
      <c r="AA564" t="s">
        <v>59</v>
      </c>
      <c r="AB564" t="s">
        <v>60</v>
      </c>
      <c r="AC564" t="s">
        <v>61</v>
      </c>
      <c r="AD564" t="s">
        <v>49</v>
      </c>
      <c r="AE564" t="s">
        <v>49</v>
      </c>
      <c r="AF564" t="s">
        <v>49</v>
      </c>
      <c r="AG564" t="s">
        <v>49</v>
      </c>
      <c r="AH564" t="s">
        <v>48</v>
      </c>
      <c r="AI564" t="s">
        <v>48</v>
      </c>
      <c r="AJ564" t="s">
        <v>48</v>
      </c>
      <c r="AK564" t="s">
        <v>62</v>
      </c>
      <c r="AL564" t="s">
        <v>63</v>
      </c>
      <c r="AM564" t="s">
        <v>61</v>
      </c>
      <c r="AN564" t="s">
        <v>64</v>
      </c>
      <c r="AO564" t="s">
        <v>122</v>
      </c>
      <c r="AP564">
        <v>1</v>
      </c>
      <c r="AQ564" t="s">
        <v>66</v>
      </c>
      <c r="AR564" t="s">
        <v>76</v>
      </c>
      <c r="AS564">
        <v>2004</v>
      </c>
      <c r="AT564" t="s">
        <v>49</v>
      </c>
      <c r="AU564" t="s">
        <v>48</v>
      </c>
      <c r="AV564" t="s">
        <v>48</v>
      </c>
      <c r="AW564" t="s">
        <v>48</v>
      </c>
    </row>
    <row r="565" spans="1:49" x14ac:dyDescent="0.3">
      <c r="A565" t="s">
        <v>1634</v>
      </c>
      <c r="B565" t="s">
        <v>48</v>
      </c>
      <c r="C565" t="s">
        <v>49</v>
      </c>
      <c r="D565">
        <v>381.89</v>
      </c>
      <c r="E565">
        <v>0</v>
      </c>
      <c r="F565">
        <v>4.33</v>
      </c>
      <c r="G565" t="s">
        <v>405</v>
      </c>
      <c r="H565" t="s">
        <v>1635</v>
      </c>
      <c r="I565" t="s">
        <v>52</v>
      </c>
      <c r="J565" t="s">
        <v>53</v>
      </c>
      <c r="K565">
        <v>2000</v>
      </c>
      <c r="L565" t="s">
        <v>126</v>
      </c>
      <c r="M565">
        <f>DOWNLOAD_2kLRbPnDtawQopEJ_UKtt22ud9U57gk8mqebZIeugNk[[#This Row],[Standard Value]]</f>
        <v>2000</v>
      </c>
      <c r="N565">
        <f>-LOG(DOWNLOAD_2kLRbPnDtawQopEJ_UKtt22ud9U57gk8mqebZIeugNk[[#This Row],[IC50]]*POWER(10, -9), 10)</f>
        <v>5.6989700043360179</v>
      </c>
      <c r="O565">
        <v>5.7</v>
      </c>
      <c r="P565" t="s">
        <v>48</v>
      </c>
      <c r="R565" t="s">
        <v>127</v>
      </c>
      <c r="S565">
        <v>14.92</v>
      </c>
      <c r="T565">
        <v>0.3</v>
      </c>
      <c r="U565">
        <v>1.37</v>
      </c>
      <c r="V565">
        <v>9.36</v>
      </c>
      <c r="W565">
        <v>0</v>
      </c>
      <c r="X565" t="s">
        <v>563</v>
      </c>
      <c r="Y565" t="s">
        <v>564</v>
      </c>
      <c r="Z565" t="s">
        <v>58</v>
      </c>
      <c r="AA565" t="s">
        <v>59</v>
      </c>
      <c r="AB565" t="s">
        <v>60</v>
      </c>
      <c r="AC565" t="s">
        <v>61</v>
      </c>
      <c r="AD565" t="s">
        <v>49</v>
      </c>
      <c r="AE565" t="s">
        <v>49</v>
      </c>
      <c r="AF565" t="s">
        <v>49</v>
      </c>
      <c r="AG565" t="s">
        <v>49</v>
      </c>
      <c r="AH565" t="s">
        <v>48</v>
      </c>
      <c r="AI565" t="s">
        <v>48</v>
      </c>
      <c r="AJ565" t="s">
        <v>48</v>
      </c>
      <c r="AK565" t="s">
        <v>62</v>
      </c>
      <c r="AL565" t="s">
        <v>63</v>
      </c>
      <c r="AM565" t="s">
        <v>61</v>
      </c>
      <c r="AN565" t="s">
        <v>64</v>
      </c>
      <c r="AO565" t="s">
        <v>565</v>
      </c>
      <c r="AP565">
        <v>1</v>
      </c>
      <c r="AQ565" t="s">
        <v>66</v>
      </c>
      <c r="AR565" t="s">
        <v>76</v>
      </c>
      <c r="AS565">
        <v>2019</v>
      </c>
      <c r="AT565" t="s">
        <v>49</v>
      </c>
      <c r="AU565" t="s">
        <v>48</v>
      </c>
      <c r="AV565" t="s">
        <v>48</v>
      </c>
      <c r="AW565" t="s">
        <v>48</v>
      </c>
    </row>
    <row r="566" spans="1:49" x14ac:dyDescent="0.3">
      <c r="A566" t="s">
        <v>281</v>
      </c>
      <c r="B566" t="s">
        <v>282</v>
      </c>
      <c r="C566" t="s">
        <v>112</v>
      </c>
      <c r="D566">
        <v>331.35</v>
      </c>
      <c r="E566">
        <v>0</v>
      </c>
      <c r="F566">
        <v>1.58</v>
      </c>
      <c r="G566" t="s">
        <v>470</v>
      </c>
      <c r="H566" t="s">
        <v>284</v>
      </c>
      <c r="I566" t="s">
        <v>52</v>
      </c>
      <c r="J566" t="s">
        <v>53</v>
      </c>
      <c r="K566">
        <v>200</v>
      </c>
      <c r="L566" t="s">
        <v>126</v>
      </c>
      <c r="M566">
        <f>DOWNLOAD_2kLRbPnDtawQopEJ_UKtt22ud9U57gk8mqebZIeugNk[[#This Row],[Standard Value]]</f>
        <v>200</v>
      </c>
      <c r="N566">
        <f>-LOG(DOWNLOAD_2kLRbPnDtawQopEJ_UKtt22ud9U57gk8mqebZIeugNk[[#This Row],[IC50]]*POWER(10, -9), 10)</f>
        <v>6.6989700043360187</v>
      </c>
      <c r="O566">
        <v>6.7</v>
      </c>
      <c r="P566" t="s">
        <v>48</v>
      </c>
      <c r="R566" t="s">
        <v>127</v>
      </c>
      <c r="S566">
        <v>20.22</v>
      </c>
      <c r="T566">
        <v>0.38</v>
      </c>
      <c r="U566">
        <v>5.12</v>
      </c>
      <c r="V566">
        <v>8.98</v>
      </c>
      <c r="W566">
        <v>1</v>
      </c>
      <c r="X566" t="s">
        <v>926</v>
      </c>
      <c r="Y566" t="s">
        <v>927</v>
      </c>
      <c r="Z566" t="s">
        <v>58</v>
      </c>
      <c r="AA566" t="s">
        <v>59</v>
      </c>
      <c r="AB566" t="s">
        <v>60</v>
      </c>
      <c r="AC566" t="s">
        <v>61</v>
      </c>
      <c r="AD566" t="s">
        <v>49</v>
      </c>
      <c r="AE566" t="s">
        <v>49</v>
      </c>
      <c r="AF566" t="s">
        <v>49</v>
      </c>
      <c r="AG566" t="s">
        <v>49</v>
      </c>
      <c r="AH566" t="s">
        <v>48</v>
      </c>
      <c r="AI566" t="s">
        <v>48</v>
      </c>
      <c r="AJ566" t="s">
        <v>48</v>
      </c>
      <c r="AK566" t="s">
        <v>62</v>
      </c>
      <c r="AL566" t="s">
        <v>63</v>
      </c>
      <c r="AM566" t="s">
        <v>61</v>
      </c>
      <c r="AN566" t="s">
        <v>64</v>
      </c>
      <c r="AO566" t="s">
        <v>928</v>
      </c>
      <c r="AP566">
        <v>1</v>
      </c>
      <c r="AQ566" t="s">
        <v>66</v>
      </c>
      <c r="AR566" t="s">
        <v>67</v>
      </c>
      <c r="AS566">
        <v>2020</v>
      </c>
      <c r="AT566" t="s">
        <v>49</v>
      </c>
      <c r="AU566" t="s">
        <v>299</v>
      </c>
      <c r="AV566" t="s">
        <v>269</v>
      </c>
      <c r="AW566" t="s">
        <v>48</v>
      </c>
    </row>
    <row r="567" spans="1:49" x14ac:dyDescent="0.3">
      <c r="A567" t="s">
        <v>1636</v>
      </c>
      <c r="B567" t="s">
        <v>48</v>
      </c>
      <c r="C567" t="s">
        <v>49</v>
      </c>
      <c r="D567">
        <v>514.54</v>
      </c>
      <c r="E567">
        <v>1</v>
      </c>
      <c r="F567">
        <v>2.64</v>
      </c>
      <c r="G567" t="s">
        <v>306</v>
      </c>
      <c r="H567" t="s">
        <v>1637</v>
      </c>
      <c r="I567" t="s">
        <v>52</v>
      </c>
      <c r="J567" t="s">
        <v>53</v>
      </c>
      <c r="K567">
        <v>3560</v>
      </c>
      <c r="L567" t="s">
        <v>126</v>
      </c>
      <c r="M567">
        <f>DOWNLOAD_2kLRbPnDtawQopEJ_UKtt22ud9U57gk8mqebZIeugNk[[#This Row],[Standard Value]]</f>
        <v>3560</v>
      </c>
      <c r="N567">
        <f>-LOG(DOWNLOAD_2kLRbPnDtawQopEJ_UKtt22ud9U57gk8mqebZIeugNk[[#This Row],[IC50]]*POWER(10, -9), 10)</f>
        <v>5.4485500020271243</v>
      </c>
      <c r="O567">
        <v>5.45</v>
      </c>
      <c r="P567" t="s">
        <v>48</v>
      </c>
      <c r="R567" t="s">
        <v>127</v>
      </c>
      <c r="S567">
        <v>10.59</v>
      </c>
      <c r="T567">
        <v>0.21</v>
      </c>
      <c r="U567">
        <v>2.81</v>
      </c>
      <c r="V567">
        <v>3.62</v>
      </c>
      <c r="W567">
        <v>0</v>
      </c>
      <c r="X567" t="s">
        <v>1497</v>
      </c>
      <c r="Y567" t="s">
        <v>1498</v>
      </c>
      <c r="Z567" t="s">
        <v>58</v>
      </c>
      <c r="AA567" t="s">
        <v>59</v>
      </c>
      <c r="AB567" t="s">
        <v>60</v>
      </c>
      <c r="AC567" t="s">
        <v>61</v>
      </c>
      <c r="AD567" t="s">
        <v>49</v>
      </c>
      <c r="AE567" t="s">
        <v>49</v>
      </c>
      <c r="AF567" t="s">
        <v>49</v>
      </c>
      <c r="AG567" t="s">
        <v>49</v>
      </c>
      <c r="AH567" t="s">
        <v>48</v>
      </c>
      <c r="AI567" t="s">
        <v>48</v>
      </c>
      <c r="AJ567" t="s">
        <v>48</v>
      </c>
      <c r="AK567" t="s">
        <v>62</v>
      </c>
      <c r="AL567" t="s">
        <v>63</v>
      </c>
      <c r="AM567" t="s">
        <v>61</v>
      </c>
      <c r="AN567" t="s">
        <v>64</v>
      </c>
      <c r="AO567" t="s">
        <v>1499</v>
      </c>
      <c r="AP567">
        <v>1</v>
      </c>
      <c r="AQ567" t="s">
        <v>66</v>
      </c>
      <c r="AR567" t="s">
        <v>131</v>
      </c>
      <c r="AS567">
        <v>2022</v>
      </c>
      <c r="AT567" t="s">
        <v>49</v>
      </c>
      <c r="AU567" t="s">
        <v>299</v>
      </c>
      <c r="AV567" t="s">
        <v>269</v>
      </c>
      <c r="AW567" t="s">
        <v>48</v>
      </c>
    </row>
    <row r="568" spans="1:49" x14ac:dyDescent="0.3">
      <c r="A568" t="s">
        <v>1638</v>
      </c>
      <c r="B568" t="s">
        <v>48</v>
      </c>
      <c r="C568" t="s">
        <v>49</v>
      </c>
      <c r="D568">
        <v>352.36</v>
      </c>
      <c r="E568">
        <v>0</v>
      </c>
      <c r="F568">
        <v>1.45</v>
      </c>
      <c r="G568" t="s">
        <v>312</v>
      </c>
      <c r="H568" t="s">
        <v>1639</v>
      </c>
      <c r="I568" t="s">
        <v>52</v>
      </c>
      <c r="J568" t="s">
        <v>53</v>
      </c>
      <c r="K568">
        <v>150</v>
      </c>
      <c r="L568" t="s">
        <v>126</v>
      </c>
      <c r="M568">
        <f>DOWNLOAD_2kLRbPnDtawQopEJ_UKtt22ud9U57gk8mqebZIeugNk[[#This Row],[Standard Value]]</f>
        <v>150</v>
      </c>
      <c r="N568">
        <f>-LOG(DOWNLOAD_2kLRbPnDtawQopEJ_UKtt22ud9U57gk8mqebZIeugNk[[#This Row],[IC50]]*POWER(10, -9), 10)</f>
        <v>6.8239087409443178</v>
      </c>
      <c r="O568">
        <v>6.82</v>
      </c>
      <c r="P568" t="s">
        <v>48</v>
      </c>
      <c r="R568" t="s">
        <v>127</v>
      </c>
      <c r="S568">
        <v>19.37</v>
      </c>
      <c r="T568">
        <v>0.36</v>
      </c>
      <c r="U568">
        <v>5.37</v>
      </c>
      <c r="V568">
        <v>5.39</v>
      </c>
      <c r="W568">
        <v>0</v>
      </c>
      <c r="X568" t="s">
        <v>450</v>
      </c>
      <c r="Y568" t="s">
        <v>451</v>
      </c>
      <c r="Z568" t="s">
        <v>58</v>
      </c>
      <c r="AA568" t="s">
        <v>59</v>
      </c>
      <c r="AB568" t="s">
        <v>60</v>
      </c>
      <c r="AC568" t="s">
        <v>61</v>
      </c>
      <c r="AD568" t="s">
        <v>49</v>
      </c>
      <c r="AE568" t="s">
        <v>49</v>
      </c>
      <c r="AF568" t="s">
        <v>49</v>
      </c>
      <c r="AG568" t="s">
        <v>49</v>
      </c>
      <c r="AH568" t="s">
        <v>48</v>
      </c>
      <c r="AI568" t="s">
        <v>48</v>
      </c>
      <c r="AJ568" t="s">
        <v>48</v>
      </c>
      <c r="AK568" t="s">
        <v>62</v>
      </c>
      <c r="AL568" t="s">
        <v>63</v>
      </c>
      <c r="AM568" t="s">
        <v>61</v>
      </c>
      <c r="AN568" t="s">
        <v>64</v>
      </c>
      <c r="AO568" t="s">
        <v>452</v>
      </c>
      <c r="AP568">
        <v>1</v>
      </c>
      <c r="AQ568" t="s">
        <v>66</v>
      </c>
      <c r="AR568" t="s">
        <v>267</v>
      </c>
      <c r="AS568">
        <v>2019</v>
      </c>
      <c r="AT568" t="s">
        <v>49</v>
      </c>
      <c r="AU568" t="s">
        <v>48</v>
      </c>
      <c r="AV568" t="s">
        <v>48</v>
      </c>
      <c r="AW568" t="s">
        <v>48</v>
      </c>
    </row>
    <row r="569" spans="1:49" x14ac:dyDescent="0.3">
      <c r="A569" t="s">
        <v>1640</v>
      </c>
      <c r="B569" t="s">
        <v>48</v>
      </c>
      <c r="C569" t="s">
        <v>49</v>
      </c>
      <c r="D569">
        <v>445.41</v>
      </c>
      <c r="E569">
        <v>0</v>
      </c>
      <c r="F569">
        <v>0.22</v>
      </c>
      <c r="G569" t="s">
        <v>1641</v>
      </c>
      <c r="H569" t="s">
        <v>1642</v>
      </c>
      <c r="I569" t="s">
        <v>52</v>
      </c>
      <c r="J569" t="s">
        <v>53</v>
      </c>
      <c r="K569">
        <v>900</v>
      </c>
      <c r="L569" t="s">
        <v>126</v>
      </c>
      <c r="M569">
        <f>DOWNLOAD_2kLRbPnDtawQopEJ_UKtt22ud9U57gk8mqebZIeugNk[[#This Row],[Standard Value]]</f>
        <v>900</v>
      </c>
      <c r="N569">
        <f>-LOG(DOWNLOAD_2kLRbPnDtawQopEJ_UKtt22ud9U57gk8mqebZIeugNk[[#This Row],[IC50]]*POWER(10, -9), 10)</f>
        <v>6.0457574905606748</v>
      </c>
      <c r="O569">
        <v>6.05</v>
      </c>
      <c r="P569" t="s">
        <v>48</v>
      </c>
      <c r="Q569">
        <v>302913</v>
      </c>
      <c r="R569" t="s">
        <v>127</v>
      </c>
      <c r="S569">
        <v>13.57</v>
      </c>
      <c r="T569">
        <v>0.26</v>
      </c>
      <c r="U569">
        <v>5.83</v>
      </c>
      <c r="V569">
        <v>4.2300000000000004</v>
      </c>
      <c r="W569">
        <v>0</v>
      </c>
      <c r="X569" t="s">
        <v>251</v>
      </c>
      <c r="Y569" t="s">
        <v>252</v>
      </c>
      <c r="Z569" t="s">
        <v>58</v>
      </c>
      <c r="AA569" t="s">
        <v>59</v>
      </c>
      <c r="AB569" t="s">
        <v>60</v>
      </c>
      <c r="AC569" t="s">
        <v>61</v>
      </c>
      <c r="AD569" t="s">
        <v>49</v>
      </c>
      <c r="AE569" t="s">
        <v>49</v>
      </c>
      <c r="AF569" t="s">
        <v>49</v>
      </c>
      <c r="AG569" t="s">
        <v>49</v>
      </c>
      <c r="AH569" t="s">
        <v>48</v>
      </c>
      <c r="AI569" t="s">
        <v>48</v>
      </c>
      <c r="AJ569" t="s">
        <v>48</v>
      </c>
      <c r="AK569" t="s">
        <v>62</v>
      </c>
      <c r="AL569" t="s">
        <v>63</v>
      </c>
      <c r="AM569" t="s">
        <v>61</v>
      </c>
      <c r="AN569" t="s">
        <v>64</v>
      </c>
      <c r="AO569" t="s">
        <v>253</v>
      </c>
      <c r="AP569">
        <v>37</v>
      </c>
      <c r="AQ569" t="s">
        <v>254</v>
      </c>
      <c r="AR569" t="s">
        <v>48</v>
      </c>
      <c r="AS569">
        <v>2015</v>
      </c>
      <c r="AT569" t="s">
        <v>49</v>
      </c>
      <c r="AU569" t="s">
        <v>48</v>
      </c>
      <c r="AV569" t="s">
        <v>48</v>
      </c>
      <c r="AW569" t="s">
        <v>48</v>
      </c>
    </row>
    <row r="570" spans="1:49" x14ac:dyDescent="0.3">
      <c r="A570" t="s">
        <v>1643</v>
      </c>
      <c r="B570" t="s">
        <v>48</v>
      </c>
      <c r="C570" t="s">
        <v>49</v>
      </c>
      <c r="D570">
        <v>473.46</v>
      </c>
      <c r="E570">
        <v>0</v>
      </c>
      <c r="F570">
        <v>1</v>
      </c>
      <c r="G570" t="s">
        <v>1644</v>
      </c>
      <c r="H570" t="s">
        <v>1645</v>
      </c>
      <c r="I570" t="s">
        <v>52</v>
      </c>
      <c r="J570" t="s">
        <v>53</v>
      </c>
      <c r="K570">
        <v>3900</v>
      </c>
      <c r="L570" t="s">
        <v>126</v>
      </c>
      <c r="M570">
        <f>DOWNLOAD_2kLRbPnDtawQopEJ_UKtt22ud9U57gk8mqebZIeugNk[[#This Row],[Standard Value]]</f>
        <v>3900</v>
      </c>
      <c r="N570">
        <f>-LOG(DOWNLOAD_2kLRbPnDtawQopEJ_UKtt22ud9U57gk8mqebZIeugNk[[#This Row],[IC50]]*POWER(10, -9), 10)</f>
        <v>5.4089353929735005</v>
      </c>
      <c r="O570">
        <v>5.41</v>
      </c>
      <c r="P570" t="s">
        <v>48</v>
      </c>
      <c r="Q570">
        <v>302921</v>
      </c>
      <c r="R570" t="s">
        <v>127</v>
      </c>
      <c r="S570">
        <v>11.42</v>
      </c>
      <c r="T570">
        <v>0.22</v>
      </c>
      <c r="U570">
        <v>4.41</v>
      </c>
      <c r="V570">
        <v>3.79</v>
      </c>
      <c r="W570">
        <v>0</v>
      </c>
      <c r="X570" t="s">
        <v>251</v>
      </c>
      <c r="Y570" t="s">
        <v>252</v>
      </c>
      <c r="Z570" t="s">
        <v>58</v>
      </c>
      <c r="AA570" t="s">
        <v>59</v>
      </c>
      <c r="AB570" t="s">
        <v>60</v>
      </c>
      <c r="AC570" t="s">
        <v>61</v>
      </c>
      <c r="AD570" t="s">
        <v>49</v>
      </c>
      <c r="AE570" t="s">
        <v>49</v>
      </c>
      <c r="AF570" t="s">
        <v>49</v>
      </c>
      <c r="AG570" t="s">
        <v>49</v>
      </c>
      <c r="AH570" t="s">
        <v>48</v>
      </c>
      <c r="AI570" t="s">
        <v>48</v>
      </c>
      <c r="AJ570" t="s">
        <v>48</v>
      </c>
      <c r="AK570" t="s">
        <v>62</v>
      </c>
      <c r="AL570" t="s">
        <v>63</v>
      </c>
      <c r="AM570" t="s">
        <v>61</v>
      </c>
      <c r="AN570" t="s">
        <v>64</v>
      </c>
      <c r="AO570" t="s">
        <v>253</v>
      </c>
      <c r="AP570">
        <v>37</v>
      </c>
      <c r="AQ570" t="s">
        <v>254</v>
      </c>
      <c r="AR570" t="s">
        <v>48</v>
      </c>
      <c r="AS570">
        <v>2015</v>
      </c>
      <c r="AT570" t="s">
        <v>49</v>
      </c>
      <c r="AU570" t="s">
        <v>48</v>
      </c>
      <c r="AV570" t="s">
        <v>48</v>
      </c>
      <c r="AW570" t="s">
        <v>48</v>
      </c>
    </row>
    <row r="571" spans="1:49" x14ac:dyDescent="0.3">
      <c r="A571" t="s">
        <v>1646</v>
      </c>
      <c r="B571" t="s">
        <v>48</v>
      </c>
      <c r="C571" t="s">
        <v>49</v>
      </c>
      <c r="D571">
        <v>527.53</v>
      </c>
      <c r="E571">
        <v>1</v>
      </c>
      <c r="F571">
        <v>1.85</v>
      </c>
      <c r="G571" t="s">
        <v>1647</v>
      </c>
      <c r="H571" t="s">
        <v>1648</v>
      </c>
      <c r="I571" t="s">
        <v>52</v>
      </c>
      <c r="J571" t="s">
        <v>53</v>
      </c>
      <c r="K571">
        <v>1500</v>
      </c>
      <c r="L571" t="s">
        <v>126</v>
      </c>
      <c r="M571">
        <f>DOWNLOAD_2kLRbPnDtawQopEJ_UKtt22ud9U57gk8mqebZIeugNk[[#This Row],[Standard Value]]</f>
        <v>1500</v>
      </c>
      <c r="N571">
        <f>-LOG(DOWNLOAD_2kLRbPnDtawQopEJ_UKtt22ud9U57gk8mqebZIeugNk[[#This Row],[IC50]]*POWER(10, -9), 10)</f>
        <v>5.8239087409443187</v>
      </c>
      <c r="O571">
        <v>5.82</v>
      </c>
      <c r="P571" t="s">
        <v>48</v>
      </c>
      <c r="Q571">
        <v>302931</v>
      </c>
      <c r="R571" t="s">
        <v>127</v>
      </c>
      <c r="S571">
        <v>11.04</v>
      </c>
      <c r="T571">
        <v>0.21</v>
      </c>
      <c r="U571">
        <v>3.97</v>
      </c>
      <c r="V571">
        <v>4.08</v>
      </c>
      <c r="W571">
        <v>0</v>
      </c>
      <c r="X571" t="s">
        <v>251</v>
      </c>
      <c r="Y571" t="s">
        <v>252</v>
      </c>
      <c r="Z571" t="s">
        <v>58</v>
      </c>
      <c r="AA571" t="s">
        <v>59</v>
      </c>
      <c r="AB571" t="s">
        <v>60</v>
      </c>
      <c r="AC571" t="s">
        <v>61</v>
      </c>
      <c r="AD571" t="s">
        <v>49</v>
      </c>
      <c r="AE571" t="s">
        <v>49</v>
      </c>
      <c r="AF571" t="s">
        <v>49</v>
      </c>
      <c r="AG571" t="s">
        <v>49</v>
      </c>
      <c r="AH571" t="s">
        <v>48</v>
      </c>
      <c r="AI571" t="s">
        <v>48</v>
      </c>
      <c r="AJ571" t="s">
        <v>48</v>
      </c>
      <c r="AK571" t="s">
        <v>62</v>
      </c>
      <c r="AL571" t="s">
        <v>63</v>
      </c>
      <c r="AM571" t="s">
        <v>61</v>
      </c>
      <c r="AN571" t="s">
        <v>64</v>
      </c>
      <c r="AO571" t="s">
        <v>253</v>
      </c>
      <c r="AP571">
        <v>37</v>
      </c>
      <c r="AQ571" t="s">
        <v>254</v>
      </c>
      <c r="AR571" t="s">
        <v>48</v>
      </c>
      <c r="AS571">
        <v>2015</v>
      </c>
      <c r="AT571" t="s">
        <v>49</v>
      </c>
      <c r="AU571" t="s">
        <v>48</v>
      </c>
      <c r="AV571" t="s">
        <v>48</v>
      </c>
      <c r="AW571" t="s">
        <v>48</v>
      </c>
    </row>
    <row r="572" spans="1:49" x14ac:dyDescent="0.3">
      <c r="A572" t="s">
        <v>1649</v>
      </c>
      <c r="B572" t="s">
        <v>48</v>
      </c>
      <c r="C572" t="s">
        <v>49</v>
      </c>
      <c r="D572">
        <v>484.9</v>
      </c>
      <c r="E572">
        <v>0</v>
      </c>
      <c r="F572">
        <v>1.77</v>
      </c>
      <c r="G572" t="s">
        <v>1650</v>
      </c>
      <c r="H572" t="s">
        <v>1651</v>
      </c>
      <c r="I572" t="s">
        <v>52</v>
      </c>
      <c r="J572" t="s">
        <v>53</v>
      </c>
      <c r="K572">
        <v>1300</v>
      </c>
      <c r="L572" t="s">
        <v>126</v>
      </c>
      <c r="M572">
        <f>DOWNLOAD_2kLRbPnDtawQopEJ_UKtt22ud9U57gk8mqebZIeugNk[[#This Row],[Standard Value]]</f>
        <v>1300</v>
      </c>
      <c r="N572">
        <f>-LOG(DOWNLOAD_2kLRbPnDtawQopEJ_UKtt22ud9U57gk8mqebZIeugNk[[#This Row],[IC50]]*POWER(10, -9), 10)</f>
        <v>5.8860566476931622</v>
      </c>
      <c r="O572">
        <v>5.89</v>
      </c>
      <c r="P572" t="s">
        <v>48</v>
      </c>
      <c r="Q572">
        <v>302855</v>
      </c>
      <c r="R572" t="s">
        <v>127</v>
      </c>
      <c r="S572">
        <v>12.14</v>
      </c>
      <c r="T572">
        <v>0.24</v>
      </c>
      <c r="U572">
        <v>4.12</v>
      </c>
      <c r="V572">
        <v>4.47</v>
      </c>
      <c r="W572">
        <v>0</v>
      </c>
      <c r="X572" t="s">
        <v>251</v>
      </c>
      <c r="Y572" t="s">
        <v>252</v>
      </c>
      <c r="Z572" t="s">
        <v>58</v>
      </c>
      <c r="AA572" t="s">
        <v>59</v>
      </c>
      <c r="AB572" t="s">
        <v>60</v>
      </c>
      <c r="AC572" t="s">
        <v>61</v>
      </c>
      <c r="AD572" t="s">
        <v>49</v>
      </c>
      <c r="AE572" t="s">
        <v>49</v>
      </c>
      <c r="AF572" t="s">
        <v>49</v>
      </c>
      <c r="AG572" t="s">
        <v>49</v>
      </c>
      <c r="AH572" t="s">
        <v>48</v>
      </c>
      <c r="AI572" t="s">
        <v>48</v>
      </c>
      <c r="AJ572" t="s">
        <v>48</v>
      </c>
      <c r="AK572" t="s">
        <v>62</v>
      </c>
      <c r="AL572" t="s">
        <v>63</v>
      </c>
      <c r="AM572" t="s">
        <v>61</v>
      </c>
      <c r="AN572" t="s">
        <v>64</v>
      </c>
      <c r="AO572" t="s">
        <v>253</v>
      </c>
      <c r="AP572">
        <v>37</v>
      </c>
      <c r="AQ572" t="s">
        <v>254</v>
      </c>
      <c r="AR572" t="s">
        <v>48</v>
      </c>
      <c r="AS572">
        <v>2015</v>
      </c>
      <c r="AT572" t="s">
        <v>49</v>
      </c>
      <c r="AU572" t="s">
        <v>48</v>
      </c>
      <c r="AV572" t="s">
        <v>48</v>
      </c>
      <c r="AW572" t="s">
        <v>48</v>
      </c>
    </row>
    <row r="573" spans="1:49" x14ac:dyDescent="0.3">
      <c r="A573" t="s">
        <v>1652</v>
      </c>
      <c r="B573" t="s">
        <v>48</v>
      </c>
      <c r="C573" t="s">
        <v>49</v>
      </c>
      <c r="D573">
        <v>462.47</v>
      </c>
      <c r="E573">
        <v>0</v>
      </c>
      <c r="F573">
        <v>1.48</v>
      </c>
      <c r="G573" t="s">
        <v>1653</v>
      </c>
      <c r="H573" t="s">
        <v>1654</v>
      </c>
      <c r="I573" t="s">
        <v>52</v>
      </c>
      <c r="J573" t="s">
        <v>53</v>
      </c>
      <c r="K573">
        <v>1400</v>
      </c>
      <c r="L573" t="s">
        <v>126</v>
      </c>
      <c r="M573">
        <f>DOWNLOAD_2kLRbPnDtawQopEJ_UKtt22ud9U57gk8mqebZIeugNk[[#This Row],[Standard Value]]</f>
        <v>1400</v>
      </c>
      <c r="N573">
        <f>-LOG(DOWNLOAD_2kLRbPnDtawQopEJ_UKtt22ud9U57gk8mqebZIeugNk[[#This Row],[IC50]]*POWER(10, -9), 10)</f>
        <v>5.8538719643217618</v>
      </c>
      <c r="O573">
        <v>5.85</v>
      </c>
      <c r="P573" t="s">
        <v>48</v>
      </c>
      <c r="Q573">
        <v>302873</v>
      </c>
      <c r="R573" t="s">
        <v>127</v>
      </c>
      <c r="S573">
        <v>12.66</v>
      </c>
      <c r="T573">
        <v>0.24</v>
      </c>
      <c r="U573">
        <v>4.37</v>
      </c>
      <c r="V573">
        <v>4.1900000000000004</v>
      </c>
      <c r="W573">
        <v>0</v>
      </c>
      <c r="X573" t="s">
        <v>251</v>
      </c>
      <c r="Y573" t="s">
        <v>252</v>
      </c>
      <c r="Z573" t="s">
        <v>58</v>
      </c>
      <c r="AA573" t="s">
        <v>59</v>
      </c>
      <c r="AB573" t="s">
        <v>60</v>
      </c>
      <c r="AC573" t="s">
        <v>61</v>
      </c>
      <c r="AD573" t="s">
        <v>49</v>
      </c>
      <c r="AE573" t="s">
        <v>49</v>
      </c>
      <c r="AF573" t="s">
        <v>49</v>
      </c>
      <c r="AG573" t="s">
        <v>49</v>
      </c>
      <c r="AH573" t="s">
        <v>48</v>
      </c>
      <c r="AI573" t="s">
        <v>48</v>
      </c>
      <c r="AJ573" t="s">
        <v>48</v>
      </c>
      <c r="AK573" t="s">
        <v>62</v>
      </c>
      <c r="AL573" t="s">
        <v>63</v>
      </c>
      <c r="AM573" t="s">
        <v>61</v>
      </c>
      <c r="AN573" t="s">
        <v>64</v>
      </c>
      <c r="AO573" t="s">
        <v>253</v>
      </c>
      <c r="AP573">
        <v>37</v>
      </c>
      <c r="AQ573" t="s">
        <v>254</v>
      </c>
      <c r="AR573" t="s">
        <v>48</v>
      </c>
      <c r="AS573">
        <v>2015</v>
      </c>
      <c r="AT573" t="s">
        <v>49</v>
      </c>
      <c r="AU573" t="s">
        <v>48</v>
      </c>
      <c r="AV573" t="s">
        <v>48</v>
      </c>
      <c r="AW573" t="s">
        <v>48</v>
      </c>
    </row>
    <row r="574" spans="1:49" x14ac:dyDescent="0.3">
      <c r="A574" t="s">
        <v>1655</v>
      </c>
      <c r="B574" t="s">
        <v>48</v>
      </c>
      <c r="C574" t="s">
        <v>49</v>
      </c>
      <c r="D574">
        <v>494.48</v>
      </c>
      <c r="E574">
        <v>0</v>
      </c>
      <c r="F574">
        <v>1.86</v>
      </c>
      <c r="G574" t="s">
        <v>1656</v>
      </c>
      <c r="H574" t="s">
        <v>1657</v>
      </c>
      <c r="I574" t="s">
        <v>52</v>
      </c>
      <c r="J574" t="s">
        <v>53</v>
      </c>
      <c r="K574">
        <v>1000</v>
      </c>
      <c r="L574" t="s">
        <v>126</v>
      </c>
      <c r="M574">
        <f>DOWNLOAD_2kLRbPnDtawQopEJ_UKtt22ud9U57gk8mqebZIeugNk[[#This Row],[Standard Value]]</f>
        <v>1000</v>
      </c>
      <c r="N574">
        <f>-LOG(DOWNLOAD_2kLRbPnDtawQopEJ_UKtt22ud9U57gk8mqebZIeugNk[[#This Row],[IC50]]*POWER(10, -9), 10)</f>
        <v>5.9999999999999991</v>
      </c>
      <c r="O574">
        <v>6</v>
      </c>
      <c r="P574" t="s">
        <v>48</v>
      </c>
      <c r="Q574">
        <v>302782</v>
      </c>
      <c r="R574" t="s">
        <v>127</v>
      </c>
      <c r="S574">
        <v>12.13</v>
      </c>
      <c r="T574">
        <v>0.23</v>
      </c>
      <c r="U574">
        <v>4.1399999999999997</v>
      </c>
      <c r="V574">
        <v>4.33</v>
      </c>
      <c r="W574">
        <v>0</v>
      </c>
      <c r="X574" t="s">
        <v>251</v>
      </c>
      <c r="Y574" t="s">
        <v>252</v>
      </c>
      <c r="Z574" t="s">
        <v>58</v>
      </c>
      <c r="AA574" t="s">
        <v>59</v>
      </c>
      <c r="AB574" t="s">
        <v>60</v>
      </c>
      <c r="AC574" t="s">
        <v>61</v>
      </c>
      <c r="AD574" t="s">
        <v>49</v>
      </c>
      <c r="AE574" t="s">
        <v>49</v>
      </c>
      <c r="AF574" t="s">
        <v>49</v>
      </c>
      <c r="AG574" t="s">
        <v>49</v>
      </c>
      <c r="AH574" t="s">
        <v>48</v>
      </c>
      <c r="AI574" t="s">
        <v>48</v>
      </c>
      <c r="AJ574" t="s">
        <v>48</v>
      </c>
      <c r="AK574" t="s">
        <v>62</v>
      </c>
      <c r="AL574" t="s">
        <v>63</v>
      </c>
      <c r="AM574" t="s">
        <v>61</v>
      </c>
      <c r="AN574" t="s">
        <v>64</v>
      </c>
      <c r="AO574" t="s">
        <v>253</v>
      </c>
      <c r="AP574">
        <v>37</v>
      </c>
      <c r="AQ574" t="s">
        <v>254</v>
      </c>
      <c r="AR574" t="s">
        <v>48</v>
      </c>
      <c r="AS574">
        <v>2015</v>
      </c>
      <c r="AT574" t="s">
        <v>49</v>
      </c>
      <c r="AU574" t="s">
        <v>48</v>
      </c>
      <c r="AV574" t="s">
        <v>48</v>
      </c>
      <c r="AW574" t="s">
        <v>48</v>
      </c>
    </row>
    <row r="575" spans="1:49" x14ac:dyDescent="0.3">
      <c r="A575" t="s">
        <v>1137</v>
      </c>
      <c r="B575" t="s">
        <v>48</v>
      </c>
      <c r="C575" t="s">
        <v>49</v>
      </c>
      <c r="D575">
        <v>466.43</v>
      </c>
      <c r="E575">
        <v>0</v>
      </c>
      <c r="F575">
        <v>1.31</v>
      </c>
      <c r="G575" t="s">
        <v>1138</v>
      </c>
      <c r="H575" t="s">
        <v>1139</v>
      </c>
      <c r="I575" t="s">
        <v>52</v>
      </c>
      <c r="J575" t="s">
        <v>53</v>
      </c>
      <c r="K575">
        <v>400</v>
      </c>
      <c r="L575" t="s">
        <v>126</v>
      </c>
      <c r="M575">
        <f>DOWNLOAD_2kLRbPnDtawQopEJ_UKtt22ud9U57gk8mqebZIeugNk[[#This Row],[Standard Value]]</f>
        <v>400</v>
      </c>
      <c r="N575">
        <f>-LOG(DOWNLOAD_2kLRbPnDtawQopEJ_UKtt22ud9U57gk8mqebZIeugNk[[#This Row],[IC50]]*POWER(10, -9), 10)</f>
        <v>6.3979400086720375</v>
      </c>
      <c r="O575">
        <v>6.4</v>
      </c>
      <c r="P575" t="s">
        <v>48</v>
      </c>
      <c r="Q575">
        <v>302925</v>
      </c>
      <c r="R575" t="s">
        <v>127</v>
      </c>
      <c r="S575">
        <v>13.72</v>
      </c>
      <c r="T575">
        <v>0.26</v>
      </c>
      <c r="U575">
        <v>5.09</v>
      </c>
      <c r="V575">
        <v>4.58</v>
      </c>
      <c r="W575">
        <v>0</v>
      </c>
      <c r="X575" t="s">
        <v>251</v>
      </c>
      <c r="Y575" t="s">
        <v>252</v>
      </c>
      <c r="Z575" t="s">
        <v>58</v>
      </c>
      <c r="AA575" t="s">
        <v>59</v>
      </c>
      <c r="AB575" t="s">
        <v>60</v>
      </c>
      <c r="AC575" t="s">
        <v>61</v>
      </c>
      <c r="AD575" t="s">
        <v>49</v>
      </c>
      <c r="AE575" t="s">
        <v>49</v>
      </c>
      <c r="AF575" t="s">
        <v>49</v>
      </c>
      <c r="AG575" t="s">
        <v>49</v>
      </c>
      <c r="AH575" t="s">
        <v>48</v>
      </c>
      <c r="AI575" t="s">
        <v>48</v>
      </c>
      <c r="AJ575" t="s">
        <v>48</v>
      </c>
      <c r="AK575" t="s">
        <v>62</v>
      </c>
      <c r="AL575" t="s">
        <v>63</v>
      </c>
      <c r="AM575" t="s">
        <v>61</v>
      </c>
      <c r="AN575" t="s">
        <v>64</v>
      </c>
      <c r="AO575" t="s">
        <v>253</v>
      </c>
      <c r="AP575">
        <v>37</v>
      </c>
      <c r="AQ575" t="s">
        <v>254</v>
      </c>
      <c r="AR575" t="s">
        <v>48</v>
      </c>
      <c r="AS575">
        <v>2015</v>
      </c>
      <c r="AT575" t="s">
        <v>49</v>
      </c>
      <c r="AU575" t="s">
        <v>48</v>
      </c>
      <c r="AV575" t="s">
        <v>48</v>
      </c>
      <c r="AW575" t="s">
        <v>48</v>
      </c>
    </row>
    <row r="576" spans="1:49" x14ac:dyDescent="0.3">
      <c r="A576" t="s">
        <v>1658</v>
      </c>
      <c r="B576" t="s">
        <v>48</v>
      </c>
      <c r="C576" t="s">
        <v>49</v>
      </c>
      <c r="D576">
        <v>528.5</v>
      </c>
      <c r="E576">
        <v>1</v>
      </c>
      <c r="F576">
        <v>-0.18</v>
      </c>
      <c r="G576" t="s">
        <v>1659</v>
      </c>
      <c r="H576" t="s">
        <v>1660</v>
      </c>
      <c r="I576" t="s">
        <v>52</v>
      </c>
      <c r="J576" t="s">
        <v>53</v>
      </c>
      <c r="K576">
        <v>1000</v>
      </c>
      <c r="L576" t="s">
        <v>126</v>
      </c>
      <c r="M576">
        <f>DOWNLOAD_2kLRbPnDtawQopEJ_UKtt22ud9U57gk8mqebZIeugNk[[#This Row],[Standard Value]]</f>
        <v>1000</v>
      </c>
      <c r="N576">
        <f>-LOG(DOWNLOAD_2kLRbPnDtawQopEJ_UKtt22ud9U57gk8mqebZIeugNk[[#This Row],[IC50]]*POWER(10, -9), 10)</f>
        <v>5.9999999999999991</v>
      </c>
      <c r="O576">
        <v>6</v>
      </c>
      <c r="P576" t="s">
        <v>48</v>
      </c>
      <c r="Q576">
        <v>302937</v>
      </c>
      <c r="R576" t="s">
        <v>127</v>
      </c>
      <c r="S576">
        <v>11.35</v>
      </c>
      <c r="T576">
        <v>0.22</v>
      </c>
      <c r="U576">
        <v>6.18</v>
      </c>
      <c r="V576">
        <v>3.68</v>
      </c>
      <c r="W576">
        <v>0</v>
      </c>
      <c r="X576" t="s">
        <v>251</v>
      </c>
      <c r="Y576" t="s">
        <v>252</v>
      </c>
      <c r="Z576" t="s">
        <v>58</v>
      </c>
      <c r="AA576" t="s">
        <v>59</v>
      </c>
      <c r="AB576" t="s">
        <v>60</v>
      </c>
      <c r="AC576" t="s">
        <v>61</v>
      </c>
      <c r="AD576" t="s">
        <v>49</v>
      </c>
      <c r="AE576" t="s">
        <v>49</v>
      </c>
      <c r="AF576" t="s">
        <v>49</v>
      </c>
      <c r="AG576" t="s">
        <v>49</v>
      </c>
      <c r="AH576" t="s">
        <v>48</v>
      </c>
      <c r="AI576" t="s">
        <v>48</v>
      </c>
      <c r="AJ576" t="s">
        <v>48</v>
      </c>
      <c r="AK576" t="s">
        <v>62</v>
      </c>
      <c r="AL576" t="s">
        <v>63</v>
      </c>
      <c r="AM576" t="s">
        <v>61</v>
      </c>
      <c r="AN576" t="s">
        <v>64</v>
      </c>
      <c r="AO576" t="s">
        <v>253</v>
      </c>
      <c r="AP576">
        <v>37</v>
      </c>
      <c r="AQ576" t="s">
        <v>254</v>
      </c>
      <c r="AR576" t="s">
        <v>48</v>
      </c>
      <c r="AS576">
        <v>2015</v>
      </c>
      <c r="AT576" t="s">
        <v>49</v>
      </c>
      <c r="AU576" t="s">
        <v>48</v>
      </c>
      <c r="AV576" t="s">
        <v>48</v>
      </c>
      <c r="AW576" t="s">
        <v>48</v>
      </c>
    </row>
    <row r="577" spans="1:49" x14ac:dyDescent="0.3">
      <c r="A577" t="s">
        <v>1661</v>
      </c>
      <c r="B577" t="s">
        <v>48</v>
      </c>
      <c r="C577" t="s">
        <v>49</v>
      </c>
      <c r="D577">
        <v>644.32000000000005</v>
      </c>
      <c r="E577">
        <v>1</v>
      </c>
      <c r="F577">
        <v>4.38</v>
      </c>
      <c r="G577" t="s">
        <v>1347</v>
      </c>
      <c r="H577" t="s">
        <v>1662</v>
      </c>
      <c r="I577" t="s">
        <v>52</v>
      </c>
      <c r="J577" t="s">
        <v>53</v>
      </c>
      <c r="K577">
        <v>630</v>
      </c>
      <c r="L577" t="s">
        <v>126</v>
      </c>
      <c r="M577">
        <f>DOWNLOAD_2kLRbPnDtawQopEJ_UKtt22ud9U57gk8mqebZIeugNk[[#This Row],[Standard Value]]</f>
        <v>630</v>
      </c>
      <c r="N577">
        <f>-LOG(DOWNLOAD_2kLRbPnDtawQopEJ_UKtt22ud9U57gk8mqebZIeugNk[[#This Row],[IC50]]*POWER(10, -9), 10)</f>
        <v>6.200659450546417</v>
      </c>
      <c r="O577">
        <v>6.2</v>
      </c>
      <c r="P577" t="s">
        <v>48</v>
      </c>
      <c r="R577" t="s">
        <v>127</v>
      </c>
      <c r="S577">
        <v>9.6199999999999992</v>
      </c>
      <c r="T577">
        <v>0.23</v>
      </c>
      <c r="U577">
        <v>1.82</v>
      </c>
      <c r="V577">
        <v>4.13</v>
      </c>
      <c r="W577">
        <v>0</v>
      </c>
      <c r="X577" t="s">
        <v>716</v>
      </c>
      <c r="Y577" t="s">
        <v>717</v>
      </c>
      <c r="Z577" t="s">
        <v>58</v>
      </c>
      <c r="AA577" t="s">
        <v>59</v>
      </c>
      <c r="AB577" t="s">
        <v>60</v>
      </c>
      <c r="AC577" t="s">
        <v>61</v>
      </c>
      <c r="AD577" t="s">
        <v>49</v>
      </c>
      <c r="AE577" t="s">
        <v>49</v>
      </c>
      <c r="AF577" t="s">
        <v>49</v>
      </c>
      <c r="AG577" t="s">
        <v>49</v>
      </c>
      <c r="AH577" t="s">
        <v>48</v>
      </c>
      <c r="AI577" t="s">
        <v>48</v>
      </c>
      <c r="AJ577" t="s">
        <v>48</v>
      </c>
      <c r="AK577" t="s">
        <v>62</v>
      </c>
      <c r="AL577" t="s">
        <v>63</v>
      </c>
      <c r="AM577" t="s">
        <v>61</v>
      </c>
      <c r="AN577" t="s">
        <v>64</v>
      </c>
      <c r="AO577" t="s">
        <v>718</v>
      </c>
      <c r="AP577">
        <v>1</v>
      </c>
      <c r="AQ577" t="s">
        <v>66</v>
      </c>
      <c r="AR577" t="s">
        <v>131</v>
      </c>
      <c r="AS577">
        <v>2019</v>
      </c>
      <c r="AT577" t="s">
        <v>49</v>
      </c>
      <c r="AU577" t="s">
        <v>299</v>
      </c>
      <c r="AV577" t="s">
        <v>269</v>
      </c>
      <c r="AW577" t="s">
        <v>48</v>
      </c>
    </row>
    <row r="578" spans="1:49" x14ac:dyDescent="0.3">
      <c r="A578" t="s">
        <v>1663</v>
      </c>
      <c r="B578" t="s">
        <v>48</v>
      </c>
      <c r="C578" t="s">
        <v>49</v>
      </c>
      <c r="D578">
        <v>519.80999999999995</v>
      </c>
      <c r="E578">
        <v>0</v>
      </c>
      <c r="F578">
        <v>3.22</v>
      </c>
      <c r="G578" t="s">
        <v>1664</v>
      </c>
      <c r="H578" t="s">
        <v>1665</v>
      </c>
      <c r="I578" t="s">
        <v>52</v>
      </c>
      <c r="J578" t="s">
        <v>53</v>
      </c>
      <c r="K578">
        <v>6.9</v>
      </c>
      <c r="L578" t="s">
        <v>126</v>
      </c>
      <c r="M578">
        <f>DOWNLOAD_2kLRbPnDtawQopEJ_UKtt22ud9U57gk8mqebZIeugNk[[#This Row],[Standard Value]]</f>
        <v>6.9</v>
      </c>
      <c r="N578">
        <f>-LOG(DOWNLOAD_2kLRbPnDtawQopEJ_UKtt22ud9U57gk8mqebZIeugNk[[#This Row],[IC50]]*POWER(10, -9), 10)</f>
        <v>8.1611509092627443</v>
      </c>
      <c r="O578">
        <v>8.16</v>
      </c>
      <c r="P578" t="s">
        <v>48</v>
      </c>
      <c r="R578" t="s">
        <v>127</v>
      </c>
      <c r="S578">
        <v>16.88</v>
      </c>
      <c r="T578">
        <v>0.35</v>
      </c>
      <c r="U578">
        <v>4.9400000000000004</v>
      </c>
      <c r="V578">
        <v>6.16</v>
      </c>
      <c r="W578">
        <v>0</v>
      </c>
      <c r="X578" t="s">
        <v>716</v>
      </c>
      <c r="Y578" t="s">
        <v>717</v>
      </c>
      <c r="Z578" t="s">
        <v>58</v>
      </c>
      <c r="AA578" t="s">
        <v>59</v>
      </c>
      <c r="AB578" t="s">
        <v>60</v>
      </c>
      <c r="AC578" t="s">
        <v>61</v>
      </c>
      <c r="AD578" t="s">
        <v>49</v>
      </c>
      <c r="AE578" t="s">
        <v>49</v>
      </c>
      <c r="AF578" t="s">
        <v>49</v>
      </c>
      <c r="AG578" t="s">
        <v>49</v>
      </c>
      <c r="AH578" t="s">
        <v>48</v>
      </c>
      <c r="AI578" t="s">
        <v>48</v>
      </c>
      <c r="AJ578" t="s">
        <v>48</v>
      </c>
      <c r="AK578" t="s">
        <v>62</v>
      </c>
      <c r="AL578" t="s">
        <v>63</v>
      </c>
      <c r="AM578" t="s">
        <v>61</v>
      </c>
      <c r="AN578" t="s">
        <v>64</v>
      </c>
      <c r="AO578" t="s">
        <v>718</v>
      </c>
      <c r="AP578">
        <v>1</v>
      </c>
      <c r="AQ578" t="s">
        <v>66</v>
      </c>
      <c r="AR578" t="s">
        <v>131</v>
      </c>
      <c r="AS578">
        <v>2019</v>
      </c>
      <c r="AT578" t="s">
        <v>49</v>
      </c>
      <c r="AU578" t="s">
        <v>299</v>
      </c>
      <c r="AV578" t="s">
        <v>269</v>
      </c>
      <c r="AW578" t="s">
        <v>48</v>
      </c>
    </row>
    <row r="579" spans="1:49" x14ac:dyDescent="0.3">
      <c r="A579" t="s">
        <v>1066</v>
      </c>
      <c r="B579" t="s">
        <v>48</v>
      </c>
      <c r="C579" t="s">
        <v>49</v>
      </c>
      <c r="D579">
        <v>364.35</v>
      </c>
      <c r="E579">
        <v>0</v>
      </c>
      <c r="F579">
        <v>1.3</v>
      </c>
      <c r="G579" t="s">
        <v>306</v>
      </c>
      <c r="H579" t="s">
        <v>1067</v>
      </c>
      <c r="I579" t="s">
        <v>52</v>
      </c>
      <c r="J579" t="s">
        <v>53</v>
      </c>
      <c r="K579">
        <v>2.8</v>
      </c>
      <c r="L579" t="s">
        <v>54</v>
      </c>
      <c r="M579">
        <f>DOWNLOAD_2kLRbPnDtawQopEJ_UKtt22ud9U57gk8mqebZIeugNk[[#This Row],[Standard Value]]/DOWNLOAD_2kLRbPnDtawQopEJ_UKtt22ud9U57gk8mqebZIeugNk[[#This Row],[Molecular Weight]]*1000*1000</f>
        <v>7684.918347742554</v>
      </c>
      <c r="N579">
        <f>-LOG(DOWNLOAD_2kLRbPnDtawQopEJ_UKtt22ud9U57gk8mqebZIeugNk[[#This Row],[IC50]]*POWER(10, -9), 10)</f>
        <v>5.114360742518592</v>
      </c>
      <c r="P579" t="s">
        <v>48</v>
      </c>
      <c r="R579" t="s">
        <v>55</v>
      </c>
      <c r="W579">
        <v>0</v>
      </c>
      <c r="X579" t="s">
        <v>56</v>
      </c>
      <c r="Y579" t="s">
        <v>57</v>
      </c>
      <c r="Z579" t="s">
        <v>58</v>
      </c>
      <c r="AA579" t="s">
        <v>59</v>
      </c>
      <c r="AB579" t="s">
        <v>60</v>
      </c>
      <c r="AC579" t="s">
        <v>61</v>
      </c>
      <c r="AD579" t="s">
        <v>49</v>
      </c>
      <c r="AE579" t="s">
        <v>49</v>
      </c>
      <c r="AF579" t="s">
        <v>49</v>
      </c>
      <c r="AG579" t="s">
        <v>49</v>
      </c>
      <c r="AH579" t="s">
        <v>48</v>
      </c>
      <c r="AI579" t="s">
        <v>48</v>
      </c>
      <c r="AJ579" t="s">
        <v>48</v>
      </c>
      <c r="AK579" t="s">
        <v>62</v>
      </c>
      <c r="AL579" t="s">
        <v>63</v>
      </c>
      <c r="AM579" t="s">
        <v>61</v>
      </c>
      <c r="AN579" t="s">
        <v>64</v>
      </c>
      <c r="AO579" t="s">
        <v>65</v>
      </c>
      <c r="AP579">
        <v>1</v>
      </c>
      <c r="AQ579" t="s">
        <v>66</v>
      </c>
      <c r="AR579" t="s">
        <v>67</v>
      </c>
      <c r="AS579">
        <v>1988</v>
      </c>
      <c r="AT579" t="s">
        <v>49</v>
      </c>
      <c r="AU579" t="s">
        <v>48</v>
      </c>
      <c r="AV579" t="s">
        <v>48</v>
      </c>
      <c r="AW579" t="s">
        <v>48</v>
      </c>
    </row>
    <row r="580" spans="1:49" x14ac:dyDescent="0.3">
      <c r="A580" t="s">
        <v>1666</v>
      </c>
      <c r="B580" t="s">
        <v>48</v>
      </c>
      <c r="C580" t="s">
        <v>49</v>
      </c>
      <c r="D580">
        <v>433.87</v>
      </c>
      <c r="E580">
        <v>0</v>
      </c>
      <c r="F580">
        <v>1.65</v>
      </c>
      <c r="G580" t="s">
        <v>312</v>
      </c>
      <c r="H580" t="s">
        <v>1667</v>
      </c>
      <c r="I580" t="s">
        <v>52</v>
      </c>
      <c r="J580" t="s">
        <v>53</v>
      </c>
      <c r="K580">
        <v>9.4</v>
      </c>
      <c r="L580" t="s">
        <v>126</v>
      </c>
      <c r="M580">
        <f>DOWNLOAD_2kLRbPnDtawQopEJ_UKtt22ud9U57gk8mqebZIeugNk[[#This Row],[Standard Value]]</f>
        <v>9.4</v>
      </c>
      <c r="N580">
        <f>-LOG(DOWNLOAD_2kLRbPnDtawQopEJ_UKtt22ud9U57gk8mqebZIeugNk[[#This Row],[IC50]]*POWER(10, -9), 10)</f>
        <v>8.0268721464003008</v>
      </c>
      <c r="O580">
        <v>8.0299999999999994</v>
      </c>
      <c r="P580" t="s">
        <v>48</v>
      </c>
      <c r="R580" t="s">
        <v>127</v>
      </c>
      <c r="S580">
        <v>20.2</v>
      </c>
      <c r="T580">
        <v>0.38</v>
      </c>
      <c r="U580">
        <v>6.38</v>
      </c>
      <c r="V580">
        <v>6.22</v>
      </c>
      <c r="W580">
        <v>0</v>
      </c>
      <c r="X580" t="s">
        <v>264</v>
      </c>
      <c r="Y580" t="s">
        <v>265</v>
      </c>
      <c r="Z580" t="s">
        <v>58</v>
      </c>
      <c r="AA580" t="s">
        <v>59</v>
      </c>
      <c r="AB580" t="s">
        <v>60</v>
      </c>
      <c r="AC580" t="s">
        <v>61</v>
      </c>
      <c r="AD580" t="s">
        <v>49</v>
      </c>
      <c r="AE580" t="s">
        <v>49</v>
      </c>
      <c r="AF580" t="s">
        <v>49</v>
      </c>
      <c r="AG580" t="s">
        <v>49</v>
      </c>
      <c r="AH580" t="s">
        <v>48</v>
      </c>
      <c r="AI580" t="s">
        <v>48</v>
      </c>
      <c r="AJ580" t="s">
        <v>48</v>
      </c>
      <c r="AK580" t="s">
        <v>62</v>
      </c>
      <c r="AL580" t="s">
        <v>63</v>
      </c>
      <c r="AM580" t="s">
        <v>61</v>
      </c>
      <c r="AN580" t="s">
        <v>64</v>
      </c>
      <c r="AO580" t="s">
        <v>266</v>
      </c>
      <c r="AP580">
        <v>1</v>
      </c>
      <c r="AQ580" t="s">
        <v>66</v>
      </c>
      <c r="AR580" t="s">
        <v>267</v>
      </c>
      <c r="AS580">
        <v>2020</v>
      </c>
      <c r="AT580" t="s">
        <v>49</v>
      </c>
      <c r="AU580" t="s">
        <v>268</v>
      </c>
      <c r="AV580" t="s">
        <v>269</v>
      </c>
      <c r="AW580" t="s">
        <v>48</v>
      </c>
    </row>
    <row r="581" spans="1:49" x14ac:dyDescent="0.3">
      <c r="A581" t="s">
        <v>1668</v>
      </c>
      <c r="B581" t="s">
        <v>48</v>
      </c>
      <c r="C581" t="s">
        <v>49</v>
      </c>
      <c r="D581">
        <v>438.46</v>
      </c>
      <c r="E581">
        <v>0</v>
      </c>
      <c r="F581">
        <v>3.25</v>
      </c>
      <c r="G581" t="s">
        <v>847</v>
      </c>
      <c r="H581" t="s">
        <v>1669</v>
      </c>
      <c r="I581" t="s">
        <v>52</v>
      </c>
      <c r="J581" t="s">
        <v>53</v>
      </c>
      <c r="K581">
        <v>0.6</v>
      </c>
      <c r="L581" t="s">
        <v>126</v>
      </c>
      <c r="M581">
        <f>DOWNLOAD_2kLRbPnDtawQopEJ_UKtt22ud9U57gk8mqebZIeugNk[[#This Row],[Standard Value]]</f>
        <v>0.6</v>
      </c>
      <c r="N581">
        <f>-LOG(DOWNLOAD_2kLRbPnDtawQopEJ_UKtt22ud9U57gk8mqebZIeugNk[[#This Row],[IC50]]*POWER(10, -9), 10)</f>
        <v>9.2218487496163561</v>
      </c>
      <c r="O581">
        <v>9.2200000000000006</v>
      </c>
      <c r="P581" t="s">
        <v>48</v>
      </c>
      <c r="R581" t="s">
        <v>127</v>
      </c>
      <c r="S581">
        <v>21.03</v>
      </c>
      <c r="T581">
        <v>0.39</v>
      </c>
      <c r="U581">
        <v>5.97</v>
      </c>
      <c r="V581">
        <v>8.0500000000000007</v>
      </c>
      <c r="W581">
        <v>0</v>
      </c>
      <c r="X581" t="s">
        <v>264</v>
      </c>
      <c r="Y581" t="s">
        <v>265</v>
      </c>
      <c r="Z581" t="s">
        <v>58</v>
      </c>
      <c r="AA581" t="s">
        <v>59</v>
      </c>
      <c r="AB581" t="s">
        <v>60</v>
      </c>
      <c r="AC581" t="s">
        <v>61</v>
      </c>
      <c r="AD581" t="s">
        <v>49</v>
      </c>
      <c r="AE581" t="s">
        <v>49</v>
      </c>
      <c r="AF581" t="s">
        <v>49</v>
      </c>
      <c r="AG581" t="s">
        <v>49</v>
      </c>
      <c r="AH581" t="s">
        <v>48</v>
      </c>
      <c r="AI581" t="s">
        <v>48</v>
      </c>
      <c r="AJ581" t="s">
        <v>48</v>
      </c>
      <c r="AK581" t="s">
        <v>62</v>
      </c>
      <c r="AL581" t="s">
        <v>63</v>
      </c>
      <c r="AM581" t="s">
        <v>61</v>
      </c>
      <c r="AN581" t="s">
        <v>64</v>
      </c>
      <c r="AO581" t="s">
        <v>266</v>
      </c>
      <c r="AP581">
        <v>1</v>
      </c>
      <c r="AQ581" t="s">
        <v>66</v>
      </c>
      <c r="AR581" t="s">
        <v>267</v>
      </c>
      <c r="AS581">
        <v>2020</v>
      </c>
      <c r="AT581" t="s">
        <v>49</v>
      </c>
      <c r="AU581" t="s">
        <v>268</v>
      </c>
      <c r="AV581" t="s">
        <v>269</v>
      </c>
      <c r="AW581" t="s">
        <v>48</v>
      </c>
    </row>
    <row r="582" spans="1:49" x14ac:dyDescent="0.3">
      <c r="A582" t="s">
        <v>1670</v>
      </c>
      <c r="B582" t="s">
        <v>48</v>
      </c>
      <c r="C582" t="s">
        <v>49</v>
      </c>
      <c r="D582">
        <v>524.64</v>
      </c>
      <c r="E582">
        <v>2</v>
      </c>
      <c r="F582">
        <v>5.84</v>
      </c>
      <c r="G582" t="s">
        <v>672</v>
      </c>
      <c r="H582" t="s">
        <v>1671</v>
      </c>
      <c r="I582" t="s">
        <v>52</v>
      </c>
      <c r="J582" t="s">
        <v>53</v>
      </c>
      <c r="K582">
        <v>0.8</v>
      </c>
      <c r="L582" t="s">
        <v>126</v>
      </c>
      <c r="M582">
        <f>DOWNLOAD_2kLRbPnDtawQopEJ_UKtt22ud9U57gk8mqebZIeugNk[[#This Row],[Standard Value]]</f>
        <v>0.8</v>
      </c>
      <c r="N582">
        <f>-LOG(DOWNLOAD_2kLRbPnDtawQopEJ_UKtt22ud9U57gk8mqebZIeugNk[[#This Row],[IC50]]*POWER(10, -9), 10)</f>
        <v>9.0969100130080545</v>
      </c>
      <c r="O582">
        <v>9.1</v>
      </c>
      <c r="P582" t="s">
        <v>48</v>
      </c>
      <c r="R582" t="s">
        <v>127</v>
      </c>
      <c r="S582">
        <v>17.34</v>
      </c>
      <c r="T582">
        <v>0.33</v>
      </c>
      <c r="U582">
        <v>3.26</v>
      </c>
      <c r="V582">
        <v>7.94</v>
      </c>
      <c r="W582">
        <v>0</v>
      </c>
      <c r="X582" t="s">
        <v>264</v>
      </c>
      <c r="Y582" t="s">
        <v>265</v>
      </c>
      <c r="Z582" t="s">
        <v>58</v>
      </c>
      <c r="AA582" t="s">
        <v>59</v>
      </c>
      <c r="AB582" t="s">
        <v>60</v>
      </c>
      <c r="AC582" t="s">
        <v>61</v>
      </c>
      <c r="AD582" t="s">
        <v>49</v>
      </c>
      <c r="AE582" t="s">
        <v>49</v>
      </c>
      <c r="AF582" t="s">
        <v>49</v>
      </c>
      <c r="AG582" t="s">
        <v>49</v>
      </c>
      <c r="AH582" t="s">
        <v>48</v>
      </c>
      <c r="AI582" t="s">
        <v>48</v>
      </c>
      <c r="AJ582" t="s">
        <v>48</v>
      </c>
      <c r="AK582" t="s">
        <v>62</v>
      </c>
      <c r="AL582" t="s">
        <v>63</v>
      </c>
      <c r="AM582" t="s">
        <v>61</v>
      </c>
      <c r="AN582" t="s">
        <v>64</v>
      </c>
      <c r="AO582" t="s">
        <v>266</v>
      </c>
      <c r="AP582">
        <v>1</v>
      </c>
      <c r="AQ582" t="s">
        <v>66</v>
      </c>
      <c r="AR582" t="s">
        <v>267</v>
      </c>
      <c r="AS582">
        <v>2020</v>
      </c>
      <c r="AT582" t="s">
        <v>49</v>
      </c>
      <c r="AU582" t="s">
        <v>268</v>
      </c>
      <c r="AV582" t="s">
        <v>269</v>
      </c>
      <c r="AW582" t="s">
        <v>48</v>
      </c>
    </row>
    <row r="583" spans="1:49" x14ac:dyDescent="0.3">
      <c r="A583" t="s">
        <v>1672</v>
      </c>
      <c r="B583" t="s">
        <v>48</v>
      </c>
      <c r="C583" t="s">
        <v>49</v>
      </c>
      <c r="D583">
        <v>468.53</v>
      </c>
      <c r="E583">
        <v>0</v>
      </c>
      <c r="F583">
        <v>4.28</v>
      </c>
      <c r="G583" t="s">
        <v>561</v>
      </c>
      <c r="H583" t="s">
        <v>1673</v>
      </c>
      <c r="I583" t="s">
        <v>52</v>
      </c>
      <c r="J583" t="s">
        <v>53</v>
      </c>
      <c r="K583">
        <v>0.21</v>
      </c>
      <c r="L583" t="s">
        <v>126</v>
      </c>
      <c r="M583">
        <f>DOWNLOAD_2kLRbPnDtawQopEJ_UKtt22ud9U57gk8mqebZIeugNk[[#This Row],[Standard Value]]</f>
        <v>0.21</v>
      </c>
      <c r="N583">
        <f>-LOG(DOWNLOAD_2kLRbPnDtawQopEJ_UKtt22ud9U57gk8mqebZIeugNk[[#This Row],[IC50]]*POWER(10, -9), 10)</f>
        <v>9.6777807052660787</v>
      </c>
      <c r="O583">
        <v>9.68</v>
      </c>
      <c r="P583" t="s">
        <v>48</v>
      </c>
      <c r="R583" t="s">
        <v>127</v>
      </c>
      <c r="S583">
        <v>20.66</v>
      </c>
      <c r="T583">
        <v>0.39</v>
      </c>
      <c r="U583">
        <v>5.4</v>
      </c>
      <c r="V583">
        <v>8.4499999999999993</v>
      </c>
      <c r="W583">
        <v>0</v>
      </c>
      <c r="X583" t="s">
        <v>264</v>
      </c>
      <c r="Y583" t="s">
        <v>265</v>
      </c>
      <c r="Z583" t="s">
        <v>58</v>
      </c>
      <c r="AA583" t="s">
        <v>59</v>
      </c>
      <c r="AB583" t="s">
        <v>60</v>
      </c>
      <c r="AC583" t="s">
        <v>61</v>
      </c>
      <c r="AD583" t="s">
        <v>49</v>
      </c>
      <c r="AE583" t="s">
        <v>49</v>
      </c>
      <c r="AF583" t="s">
        <v>49</v>
      </c>
      <c r="AG583" t="s">
        <v>49</v>
      </c>
      <c r="AH583" t="s">
        <v>48</v>
      </c>
      <c r="AI583" t="s">
        <v>48</v>
      </c>
      <c r="AJ583" t="s">
        <v>48</v>
      </c>
      <c r="AK583" t="s">
        <v>62</v>
      </c>
      <c r="AL583" t="s">
        <v>63</v>
      </c>
      <c r="AM583" t="s">
        <v>61</v>
      </c>
      <c r="AN583" t="s">
        <v>64</v>
      </c>
      <c r="AO583" t="s">
        <v>266</v>
      </c>
      <c r="AP583">
        <v>1</v>
      </c>
      <c r="AQ583" t="s">
        <v>66</v>
      </c>
      <c r="AR583" t="s">
        <v>267</v>
      </c>
      <c r="AS583">
        <v>2020</v>
      </c>
      <c r="AT583" t="s">
        <v>49</v>
      </c>
      <c r="AU583" t="s">
        <v>268</v>
      </c>
      <c r="AV583" t="s">
        <v>269</v>
      </c>
      <c r="AW583" t="s">
        <v>48</v>
      </c>
    </row>
    <row r="584" spans="1:49" x14ac:dyDescent="0.3">
      <c r="A584" t="s">
        <v>1674</v>
      </c>
      <c r="B584" t="s">
        <v>48</v>
      </c>
      <c r="C584" t="s">
        <v>49</v>
      </c>
      <c r="D584">
        <v>495.92</v>
      </c>
      <c r="E584">
        <v>0</v>
      </c>
      <c r="F584">
        <v>2.74</v>
      </c>
      <c r="G584" t="s">
        <v>1675</v>
      </c>
      <c r="H584" t="s">
        <v>1676</v>
      </c>
      <c r="I584" t="s">
        <v>52</v>
      </c>
      <c r="J584" t="s">
        <v>53</v>
      </c>
      <c r="K584">
        <v>1600</v>
      </c>
      <c r="L584" t="s">
        <v>126</v>
      </c>
      <c r="M584">
        <f>DOWNLOAD_2kLRbPnDtawQopEJ_UKtt22ud9U57gk8mqebZIeugNk[[#This Row],[Standard Value]]</f>
        <v>1600</v>
      </c>
      <c r="N584">
        <f>-LOG(DOWNLOAD_2kLRbPnDtawQopEJ_UKtt22ud9U57gk8mqebZIeugNk[[#This Row],[IC50]]*POWER(10, -9), 10)</f>
        <v>5.795880017344075</v>
      </c>
      <c r="O584">
        <v>5.8</v>
      </c>
      <c r="P584" t="s">
        <v>48</v>
      </c>
      <c r="Q584">
        <v>302806</v>
      </c>
      <c r="R584" t="s">
        <v>127</v>
      </c>
      <c r="S584">
        <v>11.69</v>
      </c>
      <c r="T584">
        <v>0.23</v>
      </c>
      <c r="U584">
        <v>3.06</v>
      </c>
      <c r="V584">
        <v>4.58</v>
      </c>
      <c r="W584">
        <v>0</v>
      </c>
      <c r="X584" t="s">
        <v>251</v>
      </c>
      <c r="Y584" t="s">
        <v>252</v>
      </c>
      <c r="Z584" t="s">
        <v>58</v>
      </c>
      <c r="AA584" t="s">
        <v>59</v>
      </c>
      <c r="AB584" t="s">
        <v>60</v>
      </c>
      <c r="AC584" t="s">
        <v>61</v>
      </c>
      <c r="AD584" t="s">
        <v>49</v>
      </c>
      <c r="AE584" t="s">
        <v>49</v>
      </c>
      <c r="AF584" t="s">
        <v>49</v>
      </c>
      <c r="AG584" t="s">
        <v>49</v>
      </c>
      <c r="AH584" t="s">
        <v>48</v>
      </c>
      <c r="AI584" t="s">
        <v>48</v>
      </c>
      <c r="AJ584" t="s">
        <v>48</v>
      </c>
      <c r="AK584" t="s">
        <v>62</v>
      </c>
      <c r="AL584" t="s">
        <v>63</v>
      </c>
      <c r="AM584" t="s">
        <v>61</v>
      </c>
      <c r="AN584" t="s">
        <v>64</v>
      </c>
      <c r="AO584" t="s">
        <v>253</v>
      </c>
      <c r="AP584">
        <v>37</v>
      </c>
      <c r="AQ584" t="s">
        <v>254</v>
      </c>
      <c r="AR584" t="s">
        <v>48</v>
      </c>
      <c r="AS584">
        <v>2015</v>
      </c>
      <c r="AT584" t="s">
        <v>49</v>
      </c>
      <c r="AU584" t="s">
        <v>48</v>
      </c>
      <c r="AV584" t="s">
        <v>48</v>
      </c>
      <c r="AW584" t="s">
        <v>48</v>
      </c>
    </row>
    <row r="585" spans="1:49" x14ac:dyDescent="0.3">
      <c r="A585" t="s">
        <v>1677</v>
      </c>
      <c r="B585" t="s">
        <v>48</v>
      </c>
      <c r="C585" t="s">
        <v>49</v>
      </c>
      <c r="D585">
        <v>396.92</v>
      </c>
      <c r="E585">
        <v>0</v>
      </c>
      <c r="F585">
        <v>4.18</v>
      </c>
      <c r="G585" t="s">
        <v>643</v>
      </c>
      <c r="H585" t="s">
        <v>1678</v>
      </c>
      <c r="I585" t="s">
        <v>52</v>
      </c>
      <c r="J585" t="s">
        <v>53</v>
      </c>
      <c r="K585">
        <v>20000</v>
      </c>
      <c r="L585" t="s">
        <v>126</v>
      </c>
      <c r="M585">
        <f>DOWNLOAD_2kLRbPnDtawQopEJ_UKtt22ud9U57gk8mqebZIeugNk[[#This Row],[Standard Value]]</f>
        <v>20000</v>
      </c>
      <c r="N585">
        <f>-LOG(DOWNLOAD_2kLRbPnDtawQopEJ_UKtt22ud9U57gk8mqebZIeugNk[[#This Row],[IC50]]*POWER(10, -9), 10)</f>
        <v>4.6989700043360187</v>
      </c>
      <c r="O585">
        <v>4.7</v>
      </c>
      <c r="P585" t="s">
        <v>48</v>
      </c>
      <c r="R585" t="s">
        <v>127</v>
      </c>
      <c r="S585">
        <v>13.04</v>
      </c>
      <c r="T585">
        <v>0.24</v>
      </c>
      <c r="U585">
        <v>0.52</v>
      </c>
      <c r="V585">
        <v>7.3</v>
      </c>
      <c r="W585">
        <v>0</v>
      </c>
      <c r="X585" t="s">
        <v>1546</v>
      </c>
      <c r="Y585" t="s">
        <v>1547</v>
      </c>
      <c r="Z585" t="s">
        <v>58</v>
      </c>
      <c r="AA585" t="s">
        <v>59</v>
      </c>
      <c r="AB585" t="s">
        <v>60</v>
      </c>
      <c r="AC585" t="s">
        <v>61</v>
      </c>
      <c r="AD585" t="s">
        <v>49</v>
      </c>
      <c r="AE585" t="s">
        <v>49</v>
      </c>
      <c r="AF585" t="s">
        <v>49</v>
      </c>
      <c r="AG585" t="s">
        <v>49</v>
      </c>
      <c r="AH585" t="s">
        <v>48</v>
      </c>
      <c r="AI585" t="s">
        <v>48</v>
      </c>
      <c r="AJ585" t="s">
        <v>48</v>
      </c>
      <c r="AK585" t="s">
        <v>62</v>
      </c>
      <c r="AL585" t="s">
        <v>63</v>
      </c>
      <c r="AM585" t="s">
        <v>61</v>
      </c>
      <c r="AN585" t="s">
        <v>64</v>
      </c>
      <c r="AO585" t="s">
        <v>1548</v>
      </c>
      <c r="AP585">
        <v>1</v>
      </c>
      <c r="AQ585" t="s">
        <v>66</v>
      </c>
      <c r="AR585" t="s">
        <v>1549</v>
      </c>
      <c r="AS585">
        <v>2022</v>
      </c>
      <c r="AT585" t="s">
        <v>49</v>
      </c>
      <c r="AU585" t="s">
        <v>299</v>
      </c>
      <c r="AV585" t="s">
        <v>269</v>
      </c>
      <c r="AW585" t="s">
        <v>48</v>
      </c>
    </row>
    <row r="586" spans="1:49" x14ac:dyDescent="0.3">
      <c r="A586" t="s">
        <v>1679</v>
      </c>
      <c r="B586" t="s">
        <v>48</v>
      </c>
      <c r="C586" t="s">
        <v>49</v>
      </c>
      <c r="D586">
        <v>504.93</v>
      </c>
      <c r="E586">
        <v>1</v>
      </c>
      <c r="F586">
        <v>1.3</v>
      </c>
      <c r="G586" t="s">
        <v>1680</v>
      </c>
      <c r="H586" t="s">
        <v>1681</v>
      </c>
      <c r="I586" t="s">
        <v>52</v>
      </c>
      <c r="J586" t="s">
        <v>53</v>
      </c>
      <c r="K586">
        <v>19000</v>
      </c>
      <c r="L586" t="s">
        <v>126</v>
      </c>
      <c r="M586">
        <f>DOWNLOAD_2kLRbPnDtawQopEJ_UKtt22ud9U57gk8mqebZIeugNk[[#This Row],[Standard Value]]</f>
        <v>19000</v>
      </c>
      <c r="N586">
        <f>-LOG(DOWNLOAD_2kLRbPnDtawQopEJ_UKtt22ud9U57gk8mqebZIeugNk[[#This Row],[IC50]]*POWER(10, -9), 10)</f>
        <v>4.7212463990471703</v>
      </c>
      <c r="O586">
        <v>4.72</v>
      </c>
      <c r="P586" t="s">
        <v>48</v>
      </c>
      <c r="Q586">
        <v>302900</v>
      </c>
      <c r="R586" t="s">
        <v>127</v>
      </c>
      <c r="S586">
        <v>9.35</v>
      </c>
      <c r="T586">
        <v>0.18</v>
      </c>
      <c r="U586">
        <v>3.42</v>
      </c>
      <c r="V586">
        <v>3.03</v>
      </c>
      <c r="W586">
        <v>0</v>
      </c>
      <c r="X586" t="s">
        <v>251</v>
      </c>
      <c r="Y586" t="s">
        <v>252</v>
      </c>
      <c r="Z586" t="s">
        <v>58</v>
      </c>
      <c r="AA586" t="s">
        <v>59</v>
      </c>
      <c r="AB586" t="s">
        <v>60</v>
      </c>
      <c r="AC586" t="s">
        <v>61</v>
      </c>
      <c r="AD586" t="s">
        <v>49</v>
      </c>
      <c r="AE586" t="s">
        <v>49</v>
      </c>
      <c r="AF586" t="s">
        <v>49</v>
      </c>
      <c r="AG586" t="s">
        <v>49</v>
      </c>
      <c r="AH586" t="s">
        <v>48</v>
      </c>
      <c r="AI586" t="s">
        <v>48</v>
      </c>
      <c r="AJ586" t="s">
        <v>48</v>
      </c>
      <c r="AK586" t="s">
        <v>62</v>
      </c>
      <c r="AL586" t="s">
        <v>63</v>
      </c>
      <c r="AM586" t="s">
        <v>61</v>
      </c>
      <c r="AN586" t="s">
        <v>64</v>
      </c>
      <c r="AO586" t="s">
        <v>253</v>
      </c>
      <c r="AP586">
        <v>37</v>
      </c>
      <c r="AQ586" t="s">
        <v>254</v>
      </c>
      <c r="AR586" t="s">
        <v>48</v>
      </c>
      <c r="AS586">
        <v>2015</v>
      </c>
      <c r="AT586" t="s">
        <v>49</v>
      </c>
      <c r="AU586" t="s">
        <v>48</v>
      </c>
      <c r="AV586" t="s">
        <v>48</v>
      </c>
      <c r="AW586" t="s">
        <v>48</v>
      </c>
    </row>
    <row r="587" spans="1:49" x14ac:dyDescent="0.3">
      <c r="A587" t="s">
        <v>1682</v>
      </c>
      <c r="B587" t="s">
        <v>48</v>
      </c>
      <c r="C587" t="s">
        <v>49</v>
      </c>
      <c r="D587">
        <v>466.58</v>
      </c>
      <c r="E587">
        <v>1</v>
      </c>
      <c r="F587">
        <v>6.64</v>
      </c>
      <c r="G587" t="s">
        <v>227</v>
      </c>
      <c r="H587" t="s">
        <v>1683</v>
      </c>
      <c r="I587" t="s">
        <v>52</v>
      </c>
      <c r="J587" t="s">
        <v>53</v>
      </c>
      <c r="K587">
        <v>0.25</v>
      </c>
      <c r="L587" t="s">
        <v>54</v>
      </c>
      <c r="M587">
        <f>DOWNLOAD_2kLRbPnDtawQopEJ_UKtt22ud9U57gk8mqebZIeugNk[[#This Row],[Standard Value]]/DOWNLOAD_2kLRbPnDtawQopEJ_UKtt22ud9U57gk8mqebZIeugNk[[#This Row],[Molecular Weight]]*1000*1000</f>
        <v>535.81379399031243</v>
      </c>
      <c r="N587">
        <f>-LOG(DOWNLOAD_2kLRbPnDtawQopEJ_UKtt22ud9U57gk8mqebZIeugNk[[#This Row],[IC50]]*POWER(10, -9), 10)</f>
        <v>6.2709861101067492</v>
      </c>
      <c r="P587" t="s">
        <v>48</v>
      </c>
      <c r="R587" t="s">
        <v>55</v>
      </c>
      <c r="W587">
        <v>0</v>
      </c>
      <c r="X587" t="s">
        <v>121</v>
      </c>
      <c r="Y587" t="s">
        <v>87</v>
      </c>
      <c r="Z587" t="s">
        <v>58</v>
      </c>
      <c r="AA587" t="s">
        <v>59</v>
      </c>
      <c r="AB587" t="s">
        <v>60</v>
      </c>
      <c r="AC587" t="s">
        <v>61</v>
      </c>
      <c r="AD587" t="s">
        <v>49</v>
      </c>
      <c r="AE587" t="s">
        <v>49</v>
      </c>
      <c r="AF587" t="s">
        <v>49</v>
      </c>
      <c r="AG587" t="s">
        <v>49</v>
      </c>
      <c r="AH587" t="s">
        <v>48</v>
      </c>
      <c r="AI587" t="s">
        <v>48</v>
      </c>
      <c r="AJ587" t="s">
        <v>48</v>
      </c>
      <c r="AK587" t="s">
        <v>62</v>
      </c>
      <c r="AL587" t="s">
        <v>63</v>
      </c>
      <c r="AM587" t="s">
        <v>61</v>
      </c>
      <c r="AN587" t="s">
        <v>64</v>
      </c>
      <c r="AO587" t="s">
        <v>122</v>
      </c>
      <c r="AP587">
        <v>1</v>
      </c>
      <c r="AQ587" t="s">
        <v>66</v>
      </c>
      <c r="AR587" t="s">
        <v>76</v>
      </c>
      <c r="AS587">
        <v>2004</v>
      </c>
      <c r="AT587" t="s">
        <v>49</v>
      </c>
      <c r="AU587" t="s">
        <v>48</v>
      </c>
      <c r="AV587" t="s">
        <v>48</v>
      </c>
      <c r="AW587" t="s">
        <v>48</v>
      </c>
    </row>
    <row r="588" spans="1:49" x14ac:dyDescent="0.3">
      <c r="A588" t="s">
        <v>1684</v>
      </c>
      <c r="B588" t="s">
        <v>48</v>
      </c>
      <c r="C588" t="s">
        <v>49</v>
      </c>
      <c r="D588">
        <v>430.44</v>
      </c>
      <c r="E588">
        <v>0</v>
      </c>
      <c r="F588">
        <v>1.95</v>
      </c>
      <c r="G588" t="s">
        <v>1685</v>
      </c>
      <c r="H588" t="s">
        <v>1686</v>
      </c>
      <c r="I588" t="s">
        <v>52</v>
      </c>
      <c r="J588" t="s">
        <v>53</v>
      </c>
      <c r="K588">
        <v>200</v>
      </c>
      <c r="L588" t="s">
        <v>126</v>
      </c>
      <c r="M588">
        <f>DOWNLOAD_2kLRbPnDtawQopEJ_UKtt22ud9U57gk8mqebZIeugNk[[#This Row],[Standard Value]]</f>
        <v>200</v>
      </c>
      <c r="N588">
        <f>-LOG(DOWNLOAD_2kLRbPnDtawQopEJ_UKtt22ud9U57gk8mqebZIeugNk[[#This Row],[IC50]]*POWER(10, -9), 10)</f>
        <v>6.6989700043360187</v>
      </c>
      <c r="O588">
        <v>6.7</v>
      </c>
      <c r="P588" t="s">
        <v>48</v>
      </c>
      <c r="Q588">
        <v>302876</v>
      </c>
      <c r="R588" t="s">
        <v>127</v>
      </c>
      <c r="S588">
        <v>15.56</v>
      </c>
      <c r="T588">
        <v>0.3</v>
      </c>
      <c r="U588">
        <v>4.75</v>
      </c>
      <c r="V588">
        <v>5.89</v>
      </c>
      <c r="W588">
        <v>0</v>
      </c>
      <c r="X588" t="s">
        <v>251</v>
      </c>
      <c r="Y588" t="s">
        <v>252</v>
      </c>
      <c r="Z588" t="s">
        <v>58</v>
      </c>
      <c r="AA588" t="s">
        <v>59</v>
      </c>
      <c r="AB588" t="s">
        <v>60</v>
      </c>
      <c r="AC588" t="s">
        <v>61</v>
      </c>
      <c r="AD588" t="s">
        <v>49</v>
      </c>
      <c r="AE588" t="s">
        <v>49</v>
      </c>
      <c r="AF588" t="s">
        <v>49</v>
      </c>
      <c r="AG588" t="s">
        <v>49</v>
      </c>
      <c r="AH588" t="s">
        <v>48</v>
      </c>
      <c r="AI588" t="s">
        <v>48</v>
      </c>
      <c r="AJ588" t="s">
        <v>48</v>
      </c>
      <c r="AK588" t="s">
        <v>62</v>
      </c>
      <c r="AL588" t="s">
        <v>63</v>
      </c>
      <c r="AM588" t="s">
        <v>61</v>
      </c>
      <c r="AN588" t="s">
        <v>64</v>
      </c>
      <c r="AO588" t="s">
        <v>253</v>
      </c>
      <c r="AP588">
        <v>37</v>
      </c>
      <c r="AQ588" t="s">
        <v>254</v>
      </c>
      <c r="AR588" t="s">
        <v>48</v>
      </c>
      <c r="AS588">
        <v>2015</v>
      </c>
      <c r="AT588" t="s">
        <v>49</v>
      </c>
      <c r="AU588" t="s">
        <v>48</v>
      </c>
      <c r="AV588" t="s">
        <v>48</v>
      </c>
      <c r="AW588" t="s">
        <v>48</v>
      </c>
    </row>
    <row r="589" spans="1:49" x14ac:dyDescent="0.3">
      <c r="A589" t="s">
        <v>89</v>
      </c>
      <c r="B589" t="s">
        <v>48</v>
      </c>
      <c r="C589" t="s">
        <v>49</v>
      </c>
      <c r="D589">
        <v>375.4</v>
      </c>
      <c r="E589">
        <v>0</v>
      </c>
      <c r="F589">
        <v>2.11</v>
      </c>
      <c r="G589" t="s">
        <v>90</v>
      </c>
      <c r="H589" t="s">
        <v>91</v>
      </c>
      <c r="I589" t="s">
        <v>52</v>
      </c>
      <c r="J589" t="s">
        <v>53</v>
      </c>
      <c r="K589">
        <v>1.6</v>
      </c>
      <c r="L589" t="s">
        <v>54</v>
      </c>
      <c r="M589">
        <f>DOWNLOAD_2kLRbPnDtawQopEJ_UKtt22ud9U57gk8mqebZIeugNk[[#This Row],[Standard Value]]/DOWNLOAD_2kLRbPnDtawQopEJ_UKtt22ud9U57gk8mqebZIeugNk[[#This Row],[Molecular Weight]]*1000*1000</f>
        <v>4262.1204049014386</v>
      </c>
      <c r="N589">
        <f>-LOG(DOWNLOAD_2kLRbPnDtawQopEJ_UKtt22ud9U57gk8mqebZIeugNk[[#This Row],[IC50]]*POWER(10, -9), 10)</f>
        <v>5.3703742856294019</v>
      </c>
      <c r="P589" t="s">
        <v>48</v>
      </c>
      <c r="R589" t="s">
        <v>55</v>
      </c>
      <c r="W589">
        <v>0</v>
      </c>
      <c r="X589" t="s">
        <v>372</v>
      </c>
      <c r="Y589" t="s">
        <v>373</v>
      </c>
      <c r="Z589" t="s">
        <v>58</v>
      </c>
      <c r="AA589" t="s">
        <v>59</v>
      </c>
      <c r="AB589" t="s">
        <v>60</v>
      </c>
      <c r="AC589" t="s">
        <v>61</v>
      </c>
      <c r="AD589" t="s">
        <v>49</v>
      </c>
      <c r="AE589" t="s">
        <v>49</v>
      </c>
      <c r="AF589" t="s">
        <v>49</v>
      </c>
      <c r="AG589" t="s">
        <v>49</v>
      </c>
      <c r="AH589" t="s">
        <v>48</v>
      </c>
      <c r="AI589" t="s">
        <v>48</v>
      </c>
      <c r="AJ589" t="s">
        <v>48</v>
      </c>
      <c r="AK589" t="s">
        <v>62</v>
      </c>
      <c r="AL589" t="s">
        <v>63</v>
      </c>
      <c r="AM589" t="s">
        <v>61</v>
      </c>
      <c r="AN589" t="s">
        <v>64</v>
      </c>
      <c r="AO589" t="s">
        <v>94</v>
      </c>
      <c r="AP589">
        <v>1</v>
      </c>
      <c r="AQ589" t="s">
        <v>66</v>
      </c>
      <c r="AR589" t="s">
        <v>67</v>
      </c>
      <c r="AS589">
        <v>2003</v>
      </c>
      <c r="AT589" t="s">
        <v>49</v>
      </c>
      <c r="AU589" t="s">
        <v>48</v>
      </c>
      <c r="AV589" t="s">
        <v>48</v>
      </c>
      <c r="AW589" t="s">
        <v>48</v>
      </c>
    </row>
    <row r="590" spans="1:49" x14ac:dyDescent="0.3">
      <c r="A590" t="s">
        <v>1687</v>
      </c>
      <c r="B590" t="s">
        <v>48</v>
      </c>
      <c r="C590" t="s">
        <v>49</v>
      </c>
      <c r="D590">
        <v>328.34</v>
      </c>
      <c r="E590">
        <v>0</v>
      </c>
      <c r="F590">
        <v>2.5499999999999998</v>
      </c>
      <c r="G590" t="s">
        <v>405</v>
      </c>
      <c r="H590" t="s">
        <v>1688</v>
      </c>
      <c r="I590" t="s">
        <v>52</v>
      </c>
      <c r="J590" t="s">
        <v>53</v>
      </c>
      <c r="K590">
        <v>0.9</v>
      </c>
      <c r="L590" t="s">
        <v>54</v>
      </c>
      <c r="M590">
        <f>DOWNLOAD_2kLRbPnDtawQopEJ_UKtt22ud9U57gk8mqebZIeugNk[[#This Row],[Standard Value]]/DOWNLOAD_2kLRbPnDtawQopEJ_UKtt22ud9U57gk8mqebZIeugNk[[#This Row],[Molecular Weight]]*1000*1000</f>
        <v>2741.0610952061888</v>
      </c>
      <c r="N590">
        <f>-LOG(DOWNLOAD_2kLRbPnDtawQopEJ_UKtt22ud9U57gk8mqebZIeugNk[[#This Row],[IC50]]*POWER(10, -9), 10)</f>
        <v>5.5620812844111702</v>
      </c>
      <c r="P590" t="s">
        <v>48</v>
      </c>
      <c r="R590" t="s">
        <v>55</v>
      </c>
      <c r="W590">
        <v>0</v>
      </c>
      <c r="X590" t="s">
        <v>359</v>
      </c>
      <c r="Y590" t="s">
        <v>360</v>
      </c>
      <c r="Z590" t="s">
        <v>168</v>
      </c>
      <c r="AA590" t="s">
        <v>169</v>
      </c>
      <c r="AB590" t="s">
        <v>170</v>
      </c>
      <c r="AC590" t="s">
        <v>61</v>
      </c>
      <c r="AD590" t="s">
        <v>49</v>
      </c>
      <c r="AE590" t="s">
        <v>49</v>
      </c>
      <c r="AF590" t="s">
        <v>49</v>
      </c>
      <c r="AG590" t="s">
        <v>49</v>
      </c>
      <c r="AH590" t="s">
        <v>48</v>
      </c>
      <c r="AI590" t="s">
        <v>48</v>
      </c>
      <c r="AJ590" t="s">
        <v>48</v>
      </c>
      <c r="AK590" t="s">
        <v>62</v>
      </c>
      <c r="AL590" t="s">
        <v>63</v>
      </c>
      <c r="AM590" t="s">
        <v>61</v>
      </c>
      <c r="AN590" t="s">
        <v>64</v>
      </c>
      <c r="AO590" t="s">
        <v>361</v>
      </c>
      <c r="AP590">
        <v>1</v>
      </c>
      <c r="AQ590" t="s">
        <v>66</v>
      </c>
      <c r="AR590" t="s">
        <v>67</v>
      </c>
      <c r="AS590">
        <v>1993</v>
      </c>
      <c r="AT590" t="s">
        <v>49</v>
      </c>
      <c r="AU590" t="s">
        <v>48</v>
      </c>
      <c r="AV590" t="s">
        <v>48</v>
      </c>
      <c r="AW590" t="s">
        <v>48</v>
      </c>
    </row>
    <row r="591" spans="1:49" x14ac:dyDescent="0.3">
      <c r="A591" t="s">
        <v>1689</v>
      </c>
      <c r="B591" t="s">
        <v>48</v>
      </c>
      <c r="C591" t="s">
        <v>49</v>
      </c>
      <c r="D591">
        <v>365.82</v>
      </c>
      <c r="E591">
        <v>0</v>
      </c>
      <c r="F591">
        <v>4.62</v>
      </c>
      <c r="G591" t="s">
        <v>102</v>
      </c>
      <c r="H591" t="s">
        <v>1690</v>
      </c>
      <c r="I591" t="s">
        <v>52</v>
      </c>
      <c r="J591" t="s">
        <v>53</v>
      </c>
      <c r="K591">
        <v>1600</v>
      </c>
      <c r="L591" t="s">
        <v>126</v>
      </c>
      <c r="M591">
        <f>DOWNLOAD_2kLRbPnDtawQopEJ_UKtt22ud9U57gk8mqebZIeugNk[[#This Row],[Standard Value]]</f>
        <v>1600</v>
      </c>
      <c r="N591">
        <f>-LOG(DOWNLOAD_2kLRbPnDtawQopEJ_UKtt22ud9U57gk8mqebZIeugNk[[#This Row],[IC50]]*POWER(10, -9), 10)</f>
        <v>5.795880017344075</v>
      </c>
      <c r="O591">
        <v>5.8</v>
      </c>
      <c r="P591" t="s">
        <v>48</v>
      </c>
      <c r="R591" t="s">
        <v>127</v>
      </c>
      <c r="S591">
        <v>15.84</v>
      </c>
      <c r="T591">
        <v>0.3</v>
      </c>
      <c r="U591">
        <v>1.18</v>
      </c>
      <c r="V591">
        <v>7.81</v>
      </c>
      <c r="W591">
        <v>0</v>
      </c>
      <c r="X591" t="s">
        <v>563</v>
      </c>
      <c r="Y591" t="s">
        <v>564</v>
      </c>
      <c r="Z591" t="s">
        <v>58</v>
      </c>
      <c r="AA591" t="s">
        <v>59</v>
      </c>
      <c r="AB591" t="s">
        <v>60</v>
      </c>
      <c r="AC591" t="s">
        <v>61</v>
      </c>
      <c r="AD591" t="s">
        <v>49</v>
      </c>
      <c r="AE591" t="s">
        <v>49</v>
      </c>
      <c r="AF591" t="s">
        <v>49</v>
      </c>
      <c r="AG591" t="s">
        <v>49</v>
      </c>
      <c r="AH591" t="s">
        <v>48</v>
      </c>
      <c r="AI591" t="s">
        <v>48</v>
      </c>
      <c r="AJ591" t="s">
        <v>48</v>
      </c>
      <c r="AK591" t="s">
        <v>62</v>
      </c>
      <c r="AL591" t="s">
        <v>63</v>
      </c>
      <c r="AM591" t="s">
        <v>61</v>
      </c>
      <c r="AN591" t="s">
        <v>64</v>
      </c>
      <c r="AO591" t="s">
        <v>565</v>
      </c>
      <c r="AP591">
        <v>1</v>
      </c>
      <c r="AQ591" t="s">
        <v>66</v>
      </c>
      <c r="AR591" t="s">
        <v>76</v>
      </c>
      <c r="AS591">
        <v>2019</v>
      </c>
      <c r="AT591" t="s">
        <v>49</v>
      </c>
      <c r="AU591" t="s">
        <v>48</v>
      </c>
      <c r="AV591" t="s">
        <v>48</v>
      </c>
      <c r="AW591" t="s">
        <v>48</v>
      </c>
    </row>
    <row r="592" spans="1:49" x14ac:dyDescent="0.3">
      <c r="A592" t="s">
        <v>1691</v>
      </c>
      <c r="B592" t="s">
        <v>1692</v>
      </c>
      <c r="C592" t="s">
        <v>112</v>
      </c>
      <c r="D592">
        <v>262.22000000000003</v>
      </c>
      <c r="E592">
        <v>0</v>
      </c>
      <c r="F592">
        <v>0.84</v>
      </c>
      <c r="G592" t="s">
        <v>760</v>
      </c>
      <c r="H592" t="s">
        <v>1693</v>
      </c>
      <c r="I592" t="s">
        <v>52</v>
      </c>
      <c r="J592" t="s">
        <v>71</v>
      </c>
      <c r="K592">
        <v>100</v>
      </c>
      <c r="L592" t="s">
        <v>54</v>
      </c>
      <c r="M592">
        <f>DOWNLOAD_2kLRbPnDtawQopEJ_UKtt22ud9U57gk8mqebZIeugNk[[#This Row],[Standard Value]]/DOWNLOAD_2kLRbPnDtawQopEJ_UKtt22ud9U57gk8mqebZIeugNk[[#This Row],[Molecular Weight]]*1000*1000</f>
        <v>381359.16406071238</v>
      </c>
      <c r="N592">
        <f>-LOG(DOWNLOAD_2kLRbPnDtawQopEJ_UKtt22ud9U57gk8mqebZIeugNk[[#This Row],[IC50]]*POWER(10, -9), 10)</f>
        <v>3.4186658130534751</v>
      </c>
      <c r="P592" t="s">
        <v>72</v>
      </c>
      <c r="R592" t="s">
        <v>55</v>
      </c>
      <c r="W592">
        <v>0</v>
      </c>
      <c r="X592" t="s">
        <v>115</v>
      </c>
      <c r="Y592" t="s">
        <v>116</v>
      </c>
      <c r="Z592" t="s">
        <v>58</v>
      </c>
      <c r="AA592" t="s">
        <v>59</v>
      </c>
      <c r="AB592" t="s">
        <v>60</v>
      </c>
      <c r="AC592" t="s">
        <v>61</v>
      </c>
      <c r="AD592" t="s">
        <v>49</v>
      </c>
      <c r="AE592" t="s">
        <v>49</v>
      </c>
      <c r="AF592" t="s">
        <v>49</v>
      </c>
      <c r="AG592" t="s">
        <v>49</v>
      </c>
      <c r="AH592" t="s">
        <v>48</v>
      </c>
      <c r="AI592" t="s">
        <v>48</v>
      </c>
      <c r="AJ592" t="s">
        <v>48</v>
      </c>
      <c r="AK592" t="s">
        <v>62</v>
      </c>
      <c r="AL592" t="s">
        <v>63</v>
      </c>
      <c r="AM592" t="s">
        <v>61</v>
      </c>
      <c r="AN592" t="s">
        <v>64</v>
      </c>
      <c r="AO592" t="s">
        <v>117</v>
      </c>
      <c r="AP592">
        <v>1</v>
      </c>
      <c r="AQ592" t="s">
        <v>66</v>
      </c>
      <c r="AR592" t="s">
        <v>67</v>
      </c>
      <c r="AS592">
        <v>1986</v>
      </c>
      <c r="AT592" t="s">
        <v>49</v>
      </c>
      <c r="AU592" t="s">
        <v>48</v>
      </c>
      <c r="AV592" t="s">
        <v>48</v>
      </c>
      <c r="AW592" t="s">
        <v>48</v>
      </c>
    </row>
    <row r="593" spans="1:49" x14ac:dyDescent="0.3">
      <c r="A593" t="s">
        <v>1694</v>
      </c>
      <c r="B593" t="s">
        <v>48</v>
      </c>
      <c r="C593" t="s">
        <v>49</v>
      </c>
      <c r="D593">
        <v>408.24</v>
      </c>
      <c r="E593">
        <v>0</v>
      </c>
      <c r="F593">
        <v>3.92</v>
      </c>
      <c r="G593" t="s">
        <v>1695</v>
      </c>
      <c r="H593" t="s">
        <v>1696</v>
      </c>
      <c r="I593" t="s">
        <v>52</v>
      </c>
      <c r="J593" t="s">
        <v>53</v>
      </c>
      <c r="K593">
        <v>1000</v>
      </c>
      <c r="L593" t="s">
        <v>126</v>
      </c>
      <c r="M593">
        <f>DOWNLOAD_2kLRbPnDtawQopEJ_UKtt22ud9U57gk8mqebZIeugNk[[#This Row],[Standard Value]]</f>
        <v>1000</v>
      </c>
      <c r="N593">
        <f>-LOG(DOWNLOAD_2kLRbPnDtawQopEJ_UKtt22ud9U57gk8mqebZIeugNk[[#This Row],[IC50]]*POWER(10, -9), 10)</f>
        <v>5.9999999999999991</v>
      </c>
      <c r="O593">
        <v>6</v>
      </c>
      <c r="P593" t="s">
        <v>48</v>
      </c>
      <c r="R593" t="s">
        <v>127</v>
      </c>
      <c r="S593">
        <v>14.7</v>
      </c>
      <c r="T593">
        <v>0.3</v>
      </c>
      <c r="U593">
        <v>2.08</v>
      </c>
      <c r="V593">
        <v>5.76</v>
      </c>
      <c r="W593">
        <v>0</v>
      </c>
      <c r="X593" t="s">
        <v>1697</v>
      </c>
      <c r="Y593" t="s">
        <v>1698</v>
      </c>
      <c r="Z593" t="s">
        <v>58</v>
      </c>
      <c r="AA593" t="s">
        <v>59</v>
      </c>
      <c r="AB593" t="s">
        <v>60</v>
      </c>
      <c r="AC593" t="s">
        <v>61</v>
      </c>
      <c r="AD593" t="s">
        <v>49</v>
      </c>
      <c r="AE593" t="s">
        <v>49</v>
      </c>
      <c r="AF593" t="s">
        <v>49</v>
      </c>
      <c r="AG593" t="s">
        <v>49</v>
      </c>
      <c r="AH593" t="s">
        <v>48</v>
      </c>
      <c r="AI593" t="s">
        <v>48</v>
      </c>
      <c r="AJ593" t="s">
        <v>48</v>
      </c>
      <c r="AK593" t="s">
        <v>62</v>
      </c>
      <c r="AL593" t="s">
        <v>63</v>
      </c>
      <c r="AM593" t="s">
        <v>61</v>
      </c>
      <c r="AN593" t="s">
        <v>64</v>
      </c>
      <c r="AO593" t="s">
        <v>718</v>
      </c>
      <c r="AP593">
        <v>1</v>
      </c>
      <c r="AQ593" t="s">
        <v>66</v>
      </c>
      <c r="AR593" t="s">
        <v>131</v>
      </c>
      <c r="AS593">
        <v>2019</v>
      </c>
      <c r="AT593" t="s">
        <v>49</v>
      </c>
      <c r="AU593" t="s">
        <v>48</v>
      </c>
      <c r="AV593" t="s">
        <v>269</v>
      </c>
      <c r="AW593" t="s">
        <v>48</v>
      </c>
    </row>
    <row r="594" spans="1:49" x14ac:dyDescent="0.3">
      <c r="A594" t="s">
        <v>1699</v>
      </c>
      <c r="B594" t="s">
        <v>48</v>
      </c>
      <c r="C594" t="s">
        <v>49</v>
      </c>
      <c r="D594">
        <v>498.39</v>
      </c>
      <c r="E594">
        <v>1</v>
      </c>
      <c r="F594">
        <v>5.21</v>
      </c>
      <c r="G594" t="s">
        <v>479</v>
      </c>
      <c r="H594" t="s">
        <v>1700</v>
      </c>
      <c r="I594" t="s">
        <v>52</v>
      </c>
      <c r="J594" t="s">
        <v>53</v>
      </c>
      <c r="K594">
        <v>190</v>
      </c>
      <c r="L594" t="s">
        <v>126</v>
      </c>
      <c r="M594">
        <f>DOWNLOAD_2kLRbPnDtawQopEJ_UKtt22ud9U57gk8mqebZIeugNk[[#This Row],[Standard Value]]</f>
        <v>190</v>
      </c>
      <c r="N594">
        <f>-LOG(DOWNLOAD_2kLRbPnDtawQopEJ_UKtt22ud9U57gk8mqebZIeugNk[[#This Row],[IC50]]*POWER(10, -9), 10)</f>
        <v>6.7212463990471703</v>
      </c>
      <c r="O594">
        <v>6.72</v>
      </c>
      <c r="P594" t="s">
        <v>48</v>
      </c>
      <c r="R594" t="s">
        <v>127</v>
      </c>
      <c r="S594">
        <v>13.49</v>
      </c>
      <c r="T594">
        <v>0.28999999999999998</v>
      </c>
      <c r="U594">
        <v>1.51</v>
      </c>
      <c r="V594">
        <v>5.38</v>
      </c>
      <c r="W594">
        <v>0</v>
      </c>
      <c r="X594" t="s">
        <v>716</v>
      </c>
      <c r="Y594" t="s">
        <v>717</v>
      </c>
      <c r="Z594" t="s">
        <v>58</v>
      </c>
      <c r="AA594" t="s">
        <v>59</v>
      </c>
      <c r="AB594" t="s">
        <v>60</v>
      </c>
      <c r="AC594" t="s">
        <v>61</v>
      </c>
      <c r="AD594" t="s">
        <v>49</v>
      </c>
      <c r="AE594" t="s">
        <v>49</v>
      </c>
      <c r="AF594" t="s">
        <v>49</v>
      </c>
      <c r="AG594" t="s">
        <v>49</v>
      </c>
      <c r="AH594" t="s">
        <v>48</v>
      </c>
      <c r="AI594" t="s">
        <v>48</v>
      </c>
      <c r="AJ594" t="s">
        <v>48</v>
      </c>
      <c r="AK594" t="s">
        <v>62</v>
      </c>
      <c r="AL594" t="s">
        <v>63</v>
      </c>
      <c r="AM594" t="s">
        <v>61</v>
      </c>
      <c r="AN594" t="s">
        <v>64</v>
      </c>
      <c r="AO594" t="s">
        <v>718</v>
      </c>
      <c r="AP594">
        <v>1</v>
      </c>
      <c r="AQ594" t="s">
        <v>66</v>
      </c>
      <c r="AR594" t="s">
        <v>131</v>
      </c>
      <c r="AS594">
        <v>2019</v>
      </c>
      <c r="AT594" t="s">
        <v>49</v>
      </c>
      <c r="AU594" t="s">
        <v>299</v>
      </c>
      <c r="AV594" t="s">
        <v>269</v>
      </c>
      <c r="AW594" t="s">
        <v>48</v>
      </c>
    </row>
    <row r="595" spans="1:49" x14ac:dyDescent="0.3">
      <c r="A595" t="s">
        <v>1701</v>
      </c>
      <c r="B595" t="s">
        <v>48</v>
      </c>
      <c r="C595" t="s">
        <v>49</v>
      </c>
      <c r="D595">
        <v>351.19</v>
      </c>
      <c r="E595">
        <v>0</v>
      </c>
      <c r="F595">
        <v>3.14</v>
      </c>
      <c r="G595" t="s">
        <v>1702</v>
      </c>
      <c r="H595" t="s">
        <v>1703</v>
      </c>
      <c r="I595" t="s">
        <v>52</v>
      </c>
      <c r="J595" t="s">
        <v>53</v>
      </c>
      <c r="K595">
        <v>410</v>
      </c>
      <c r="L595" t="s">
        <v>126</v>
      </c>
      <c r="M595">
        <f>DOWNLOAD_2kLRbPnDtawQopEJ_UKtt22ud9U57gk8mqebZIeugNk[[#This Row],[Standard Value]]</f>
        <v>410</v>
      </c>
      <c r="N595">
        <f>-LOG(DOWNLOAD_2kLRbPnDtawQopEJ_UKtt22ud9U57gk8mqebZIeugNk[[#This Row],[IC50]]*POWER(10, -9), 10)</f>
        <v>6.3872161432802645</v>
      </c>
      <c r="O595">
        <v>6.39</v>
      </c>
      <c r="P595" t="s">
        <v>48</v>
      </c>
      <c r="R595" t="s">
        <v>127</v>
      </c>
      <c r="S595">
        <v>18.190000000000001</v>
      </c>
      <c r="T595">
        <v>0.38</v>
      </c>
      <c r="U595">
        <v>3.25</v>
      </c>
      <c r="V595">
        <v>6.53</v>
      </c>
      <c r="W595">
        <v>0</v>
      </c>
      <c r="X595" t="s">
        <v>716</v>
      </c>
      <c r="Y595" t="s">
        <v>717</v>
      </c>
      <c r="Z595" t="s">
        <v>58</v>
      </c>
      <c r="AA595" t="s">
        <v>59</v>
      </c>
      <c r="AB595" t="s">
        <v>60</v>
      </c>
      <c r="AC595" t="s">
        <v>61</v>
      </c>
      <c r="AD595" t="s">
        <v>49</v>
      </c>
      <c r="AE595" t="s">
        <v>49</v>
      </c>
      <c r="AF595" t="s">
        <v>49</v>
      </c>
      <c r="AG595" t="s">
        <v>49</v>
      </c>
      <c r="AH595" t="s">
        <v>48</v>
      </c>
      <c r="AI595" t="s">
        <v>48</v>
      </c>
      <c r="AJ595" t="s">
        <v>48</v>
      </c>
      <c r="AK595" t="s">
        <v>62</v>
      </c>
      <c r="AL595" t="s">
        <v>63</v>
      </c>
      <c r="AM595" t="s">
        <v>61</v>
      </c>
      <c r="AN595" t="s">
        <v>64</v>
      </c>
      <c r="AO595" t="s">
        <v>718</v>
      </c>
      <c r="AP595">
        <v>1</v>
      </c>
      <c r="AQ595" t="s">
        <v>66</v>
      </c>
      <c r="AR595" t="s">
        <v>131</v>
      </c>
      <c r="AS595">
        <v>2019</v>
      </c>
      <c r="AT595" t="s">
        <v>49</v>
      </c>
      <c r="AU595" t="s">
        <v>299</v>
      </c>
      <c r="AV595" t="s">
        <v>269</v>
      </c>
      <c r="AW595" t="s">
        <v>48</v>
      </c>
    </row>
    <row r="596" spans="1:49" x14ac:dyDescent="0.3">
      <c r="A596" t="s">
        <v>1704</v>
      </c>
      <c r="B596" t="s">
        <v>48</v>
      </c>
      <c r="C596" t="s">
        <v>49</v>
      </c>
      <c r="D596">
        <v>436.3</v>
      </c>
      <c r="E596">
        <v>0</v>
      </c>
      <c r="F596">
        <v>4.3899999999999997</v>
      </c>
      <c r="G596" t="s">
        <v>1705</v>
      </c>
      <c r="H596" t="s">
        <v>1706</v>
      </c>
      <c r="I596" t="s">
        <v>52</v>
      </c>
      <c r="J596" t="s">
        <v>53</v>
      </c>
      <c r="K596">
        <v>53</v>
      </c>
      <c r="L596" t="s">
        <v>126</v>
      </c>
      <c r="M596">
        <f>DOWNLOAD_2kLRbPnDtawQopEJ_UKtt22ud9U57gk8mqebZIeugNk[[#This Row],[Standard Value]]</f>
        <v>53</v>
      </c>
      <c r="N596">
        <f>-LOG(DOWNLOAD_2kLRbPnDtawQopEJ_UKtt22ud9U57gk8mqebZIeugNk[[#This Row],[IC50]]*POWER(10, -9), 10)</f>
        <v>7.2757241303992108</v>
      </c>
      <c r="O596">
        <v>7.28</v>
      </c>
      <c r="P596" t="s">
        <v>48</v>
      </c>
      <c r="R596" t="s">
        <v>127</v>
      </c>
      <c r="S596">
        <v>16.68</v>
      </c>
      <c r="T596">
        <v>0.34</v>
      </c>
      <c r="U596">
        <v>2.89</v>
      </c>
      <c r="V596">
        <v>7.81</v>
      </c>
      <c r="W596">
        <v>0</v>
      </c>
      <c r="X596" t="s">
        <v>716</v>
      </c>
      <c r="Y596" t="s">
        <v>717</v>
      </c>
      <c r="Z596" t="s">
        <v>58</v>
      </c>
      <c r="AA596" t="s">
        <v>59</v>
      </c>
      <c r="AB596" t="s">
        <v>60</v>
      </c>
      <c r="AC596" t="s">
        <v>61</v>
      </c>
      <c r="AD596" t="s">
        <v>49</v>
      </c>
      <c r="AE596" t="s">
        <v>49</v>
      </c>
      <c r="AF596" t="s">
        <v>49</v>
      </c>
      <c r="AG596" t="s">
        <v>49</v>
      </c>
      <c r="AH596" t="s">
        <v>48</v>
      </c>
      <c r="AI596" t="s">
        <v>48</v>
      </c>
      <c r="AJ596" t="s">
        <v>48</v>
      </c>
      <c r="AK596" t="s">
        <v>62</v>
      </c>
      <c r="AL596" t="s">
        <v>63</v>
      </c>
      <c r="AM596" t="s">
        <v>61</v>
      </c>
      <c r="AN596" t="s">
        <v>64</v>
      </c>
      <c r="AO596" t="s">
        <v>718</v>
      </c>
      <c r="AP596">
        <v>1</v>
      </c>
      <c r="AQ596" t="s">
        <v>66</v>
      </c>
      <c r="AR596" t="s">
        <v>131</v>
      </c>
      <c r="AS596">
        <v>2019</v>
      </c>
      <c r="AT596" t="s">
        <v>49</v>
      </c>
      <c r="AU596" t="s">
        <v>299</v>
      </c>
      <c r="AV596" t="s">
        <v>269</v>
      </c>
      <c r="AW596" t="s">
        <v>48</v>
      </c>
    </row>
    <row r="597" spans="1:49" x14ac:dyDescent="0.3">
      <c r="A597" t="s">
        <v>1694</v>
      </c>
      <c r="B597" t="s">
        <v>48</v>
      </c>
      <c r="C597" t="s">
        <v>49</v>
      </c>
      <c r="D597">
        <v>408.24</v>
      </c>
      <c r="E597">
        <v>0</v>
      </c>
      <c r="F597">
        <v>3.92</v>
      </c>
      <c r="G597" t="s">
        <v>1695</v>
      </c>
      <c r="H597" t="s">
        <v>1696</v>
      </c>
      <c r="I597" t="s">
        <v>52</v>
      </c>
      <c r="J597" t="s">
        <v>53</v>
      </c>
      <c r="K597">
        <v>1400</v>
      </c>
      <c r="L597" t="s">
        <v>126</v>
      </c>
      <c r="M597">
        <f>DOWNLOAD_2kLRbPnDtawQopEJ_UKtt22ud9U57gk8mqebZIeugNk[[#This Row],[Standard Value]]</f>
        <v>1400</v>
      </c>
      <c r="N597">
        <f>-LOG(DOWNLOAD_2kLRbPnDtawQopEJ_UKtt22ud9U57gk8mqebZIeugNk[[#This Row],[IC50]]*POWER(10, -9), 10)</f>
        <v>5.8538719643217618</v>
      </c>
      <c r="O597">
        <v>5.85</v>
      </c>
      <c r="P597" t="s">
        <v>48</v>
      </c>
      <c r="R597" t="s">
        <v>127</v>
      </c>
      <c r="S597">
        <v>14.34</v>
      </c>
      <c r="T597">
        <v>0.3</v>
      </c>
      <c r="U597">
        <v>1.93</v>
      </c>
      <c r="V597">
        <v>5.62</v>
      </c>
      <c r="W597">
        <v>0</v>
      </c>
      <c r="X597" t="s">
        <v>716</v>
      </c>
      <c r="Y597" t="s">
        <v>717</v>
      </c>
      <c r="Z597" t="s">
        <v>58</v>
      </c>
      <c r="AA597" t="s">
        <v>59</v>
      </c>
      <c r="AB597" t="s">
        <v>60</v>
      </c>
      <c r="AC597" t="s">
        <v>61</v>
      </c>
      <c r="AD597" t="s">
        <v>49</v>
      </c>
      <c r="AE597" t="s">
        <v>49</v>
      </c>
      <c r="AF597" t="s">
        <v>49</v>
      </c>
      <c r="AG597" t="s">
        <v>49</v>
      </c>
      <c r="AH597" t="s">
        <v>48</v>
      </c>
      <c r="AI597" t="s">
        <v>48</v>
      </c>
      <c r="AJ597" t="s">
        <v>48</v>
      </c>
      <c r="AK597" t="s">
        <v>62</v>
      </c>
      <c r="AL597" t="s">
        <v>63</v>
      </c>
      <c r="AM597" t="s">
        <v>61</v>
      </c>
      <c r="AN597" t="s">
        <v>64</v>
      </c>
      <c r="AO597" t="s">
        <v>718</v>
      </c>
      <c r="AP597">
        <v>1</v>
      </c>
      <c r="AQ597" t="s">
        <v>66</v>
      </c>
      <c r="AR597" t="s">
        <v>131</v>
      </c>
      <c r="AS597">
        <v>2019</v>
      </c>
      <c r="AT597" t="s">
        <v>49</v>
      </c>
      <c r="AU597" t="s">
        <v>299</v>
      </c>
      <c r="AV597" t="s">
        <v>269</v>
      </c>
      <c r="AW597" t="s">
        <v>48</v>
      </c>
    </row>
    <row r="598" spans="1:49" x14ac:dyDescent="0.3">
      <c r="A598" t="s">
        <v>1707</v>
      </c>
      <c r="B598" t="s">
        <v>48</v>
      </c>
      <c r="C598" t="s">
        <v>49</v>
      </c>
      <c r="D598">
        <v>464.88</v>
      </c>
      <c r="E598">
        <v>1</v>
      </c>
      <c r="F598">
        <v>1.74</v>
      </c>
      <c r="G598" t="s">
        <v>1217</v>
      </c>
      <c r="H598" t="s">
        <v>1708</v>
      </c>
      <c r="I598" t="s">
        <v>52</v>
      </c>
      <c r="J598" t="s">
        <v>53</v>
      </c>
      <c r="K598">
        <v>129.25</v>
      </c>
      <c r="L598" t="s">
        <v>126</v>
      </c>
      <c r="M598">
        <f>DOWNLOAD_2kLRbPnDtawQopEJ_UKtt22ud9U57gk8mqebZIeugNk[[#This Row],[Standard Value]]</f>
        <v>129.25</v>
      </c>
      <c r="N598">
        <f>-LOG(DOWNLOAD_2kLRbPnDtawQopEJ_UKtt22ud9U57gk8mqebZIeugNk[[#This Row],[IC50]]*POWER(10, -9), 10)</f>
        <v>6.8885694482340192</v>
      </c>
      <c r="O598">
        <v>6.89</v>
      </c>
      <c r="P598" t="s">
        <v>48</v>
      </c>
      <c r="R598" t="s">
        <v>127</v>
      </c>
      <c r="S598">
        <v>16.079999999999998</v>
      </c>
      <c r="T598">
        <v>0.3</v>
      </c>
      <c r="U598">
        <v>5.15</v>
      </c>
      <c r="V598">
        <v>4.8</v>
      </c>
      <c r="W598">
        <v>0</v>
      </c>
      <c r="X598" t="s">
        <v>264</v>
      </c>
      <c r="Y598" t="s">
        <v>265</v>
      </c>
      <c r="Z598" t="s">
        <v>58</v>
      </c>
      <c r="AA598" t="s">
        <v>59</v>
      </c>
      <c r="AB598" t="s">
        <v>60</v>
      </c>
      <c r="AC598" t="s">
        <v>61</v>
      </c>
      <c r="AD598" t="s">
        <v>49</v>
      </c>
      <c r="AE598" t="s">
        <v>49</v>
      </c>
      <c r="AF598" t="s">
        <v>49</v>
      </c>
      <c r="AG598" t="s">
        <v>49</v>
      </c>
      <c r="AH598" t="s">
        <v>48</v>
      </c>
      <c r="AI598" t="s">
        <v>48</v>
      </c>
      <c r="AJ598" t="s">
        <v>48</v>
      </c>
      <c r="AK598" t="s">
        <v>62</v>
      </c>
      <c r="AL598" t="s">
        <v>63</v>
      </c>
      <c r="AM598" t="s">
        <v>61</v>
      </c>
      <c r="AN598" t="s">
        <v>64</v>
      </c>
      <c r="AO598" t="s">
        <v>266</v>
      </c>
      <c r="AP598">
        <v>1</v>
      </c>
      <c r="AQ598" t="s">
        <v>66</v>
      </c>
      <c r="AR598" t="s">
        <v>267</v>
      </c>
      <c r="AS598">
        <v>2020</v>
      </c>
      <c r="AT598" t="s">
        <v>49</v>
      </c>
      <c r="AU598" t="s">
        <v>268</v>
      </c>
      <c r="AV598" t="s">
        <v>269</v>
      </c>
      <c r="AW598" t="s">
        <v>48</v>
      </c>
    </row>
    <row r="599" spans="1:49" x14ac:dyDescent="0.3">
      <c r="A599" t="s">
        <v>1709</v>
      </c>
      <c r="B599" t="s">
        <v>48</v>
      </c>
      <c r="C599" t="s">
        <v>49</v>
      </c>
      <c r="D599">
        <v>574.63</v>
      </c>
      <c r="E599">
        <v>1</v>
      </c>
      <c r="F599">
        <v>2.19</v>
      </c>
      <c r="G599" t="s">
        <v>173</v>
      </c>
      <c r="H599" t="s">
        <v>1710</v>
      </c>
      <c r="I599" t="s">
        <v>52</v>
      </c>
      <c r="J599" t="s">
        <v>53</v>
      </c>
      <c r="K599">
        <v>4.4400000000000004</v>
      </c>
      <c r="L599" t="s">
        <v>126</v>
      </c>
      <c r="M599">
        <f>DOWNLOAD_2kLRbPnDtawQopEJ_UKtt22ud9U57gk8mqebZIeugNk[[#This Row],[Standard Value]]</f>
        <v>4.4400000000000004</v>
      </c>
      <c r="N599">
        <f>-LOG(DOWNLOAD_2kLRbPnDtawQopEJ_UKtt22ud9U57gk8mqebZIeugNk[[#This Row],[IC50]]*POWER(10, -9), 10)</f>
        <v>8.3526170298853781</v>
      </c>
      <c r="O599">
        <v>8.35</v>
      </c>
      <c r="P599" t="s">
        <v>48</v>
      </c>
      <c r="R599" t="s">
        <v>127</v>
      </c>
      <c r="S599">
        <v>14.54</v>
      </c>
      <c r="T599">
        <v>0.28999999999999998</v>
      </c>
      <c r="U599">
        <v>6.16</v>
      </c>
      <c r="V599">
        <v>5.09</v>
      </c>
      <c r="W599">
        <v>0</v>
      </c>
      <c r="X599" t="s">
        <v>264</v>
      </c>
      <c r="Y599" t="s">
        <v>265</v>
      </c>
      <c r="Z599" t="s">
        <v>58</v>
      </c>
      <c r="AA599" t="s">
        <v>59</v>
      </c>
      <c r="AB599" t="s">
        <v>60</v>
      </c>
      <c r="AC599" t="s">
        <v>61</v>
      </c>
      <c r="AD599" t="s">
        <v>49</v>
      </c>
      <c r="AE599" t="s">
        <v>49</v>
      </c>
      <c r="AF599" t="s">
        <v>49</v>
      </c>
      <c r="AG599" t="s">
        <v>49</v>
      </c>
      <c r="AH599" t="s">
        <v>48</v>
      </c>
      <c r="AI599" t="s">
        <v>48</v>
      </c>
      <c r="AJ599" t="s">
        <v>48</v>
      </c>
      <c r="AK599" t="s">
        <v>62</v>
      </c>
      <c r="AL599" t="s">
        <v>63</v>
      </c>
      <c r="AM599" t="s">
        <v>61</v>
      </c>
      <c r="AN599" t="s">
        <v>64</v>
      </c>
      <c r="AO599" t="s">
        <v>266</v>
      </c>
      <c r="AP599">
        <v>1</v>
      </c>
      <c r="AQ599" t="s">
        <v>66</v>
      </c>
      <c r="AR599" t="s">
        <v>267</v>
      </c>
      <c r="AS599">
        <v>2020</v>
      </c>
      <c r="AT599" t="s">
        <v>49</v>
      </c>
      <c r="AU599" t="s">
        <v>268</v>
      </c>
      <c r="AV599" t="s">
        <v>269</v>
      </c>
      <c r="AW599" t="s">
        <v>48</v>
      </c>
    </row>
    <row r="600" spans="1:49" x14ac:dyDescent="0.3">
      <c r="A600" t="s">
        <v>1711</v>
      </c>
      <c r="B600" t="s">
        <v>48</v>
      </c>
      <c r="C600" t="s">
        <v>49</v>
      </c>
      <c r="D600">
        <v>428.42</v>
      </c>
      <c r="E600">
        <v>0</v>
      </c>
      <c r="F600">
        <v>1.73</v>
      </c>
      <c r="G600" t="s">
        <v>1712</v>
      </c>
      <c r="H600" t="s">
        <v>1713</v>
      </c>
      <c r="I600" t="s">
        <v>52</v>
      </c>
      <c r="J600" t="s">
        <v>53</v>
      </c>
      <c r="K600">
        <v>300</v>
      </c>
      <c r="L600" t="s">
        <v>126</v>
      </c>
      <c r="M600">
        <f>DOWNLOAD_2kLRbPnDtawQopEJ_UKtt22ud9U57gk8mqebZIeugNk[[#This Row],[Standard Value]]</f>
        <v>300</v>
      </c>
      <c r="N600">
        <f>-LOG(DOWNLOAD_2kLRbPnDtawQopEJ_UKtt22ud9U57gk8mqebZIeugNk[[#This Row],[IC50]]*POWER(10, -9), 10)</f>
        <v>6.5228787452803365</v>
      </c>
      <c r="O600">
        <v>6.52</v>
      </c>
      <c r="P600" t="s">
        <v>48</v>
      </c>
      <c r="Q600">
        <v>302771</v>
      </c>
      <c r="R600" t="s">
        <v>127</v>
      </c>
      <c r="S600">
        <v>15.23</v>
      </c>
      <c r="T600">
        <v>0.28999999999999998</v>
      </c>
      <c r="U600">
        <v>4.79</v>
      </c>
      <c r="V600">
        <v>5.73</v>
      </c>
      <c r="W600">
        <v>0</v>
      </c>
      <c r="X600" t="s">
        <v>251</v>
      </c>
      <c r="Y600" t="s">
        <v>252</v>
      </c>
      <c r="Z600" t="s">
        <v>58</v>
      </c>
      <c r="AA600" t="s">
        <v>59</v>
      </c>
      <c r="AB600" t="s">
        <v>60</v>
      </c>
      <c r="AC600" t="s">
        <v>61</v>
      </c>
      <c r="AD600" t="s">
        <v>49</v>
      </c>
      <c r="AE600" t="s">
        <v>49</v>
      </c>
      <c r="AF600" t="s">
        <v>49</v>
      </c>
      <c r="AG600" t="s">
        <v>49</v>
      </c>
      <c r="AH600" t="s">
        <v>48</v>
      </c>
      <c r="AI600" t="s">
        <v>48</v>
      </c>
      <c r="AJ600" t="s">
        <v>48</v>
      </c>
      <c r="AK600" t="s">
        <v>62</v>
      </c>
      <c r="AL600" t="s">
        <v>63</v>
      </c>
      <c r="AM600" t="s">
        <v>61</v>
      </c>
      <c r="AN600" t="s">
        <v>64</v>
      </c>
      <c r="AO600" t="s">
        <v>253</v>
      </c>
      <c r="AP600">
        <v>37</v>
      </c>
      <c r="AQ600" t="s">
        <v>254</v>
      </c>
      <c r="AR600" t="s">
        <v>48</v>
      </c>
      <c r="AS600">
        <v>2015</v>
      </c>
      <c r="AT600" t="s">
        <v>49</v>
      </c>
      <c r="AU600" t="s">
        <v>48</v>
      </c>
      <c r="AV600" t="s">
        <v>48</v>
      </c>
      <c r="AW600" t="s">
        <v>48</v>
      </c>
    </row>
    <row r="601" spans="1:49" x14ac:dyDescent="0.3">
      <c r="A601" t="s">
        <v>1714</v>
      </c>
      <c r="B601" t="s">
        <v>48</v>
      </c>
      <c r="C601" t="s">
        <v>49</v>
      </c>
      <c r="D601">
        <v>358.47</v>
      </c>
      <c r="E601">
        <v>0</v>
      </c>
      <c r="F601">
        <v>1.91</v>
      </c>
      <c r="G601" t="s">
        <v>1347</v>
      </c>
      <c r="H601" t="s">
        <v>1715</v>
      </c>
      <c r="I601" t="s">
        <v>52</v>
      </c>
      <c r="J601" t="s">
        <v>53</v>
      </c>
      <c r="K601">
        <v>24000</v>
      </c>
      <c r="L601" t="s">
        <v>126</v>
      </c>
      <c r="M601">
        <f>DOWNLOAD_2kLRbPnDtawQopEJ_UKtt22ud9U57gk8mqebZIeugNk[[#This Row],[Standard Value]]</f>
        <v>24000</v>
      </c>
      <c r="N601">
        <f>-LOG(DOWNLOAD_2kLRbPnDtawQopEJ_UKtt22ud9U57gk8mqebZIeugNk[[#This Row],[IC50]]*POWER(10, -9), 10)</f>
        <v>4.6197887582883936</v>
      </c>
      <c r="O601">
        <v>4.62</v>
      </c>
      <c r="P601" t="s">
        <v>48</v>
      </c>
      <c r="R601" t="s">
        <v>127</v>
      </c>
      <c r="S601">
        <v>12.89</v>
      </c>
      <c r="T601">
        <v>0.25</v>
      </c>
      <c r="U601">
        <v>2.71</v>
      </c>
      <c r="V601">
        <v>7.6</v>
      </c>
      <c r="W601">
        <v>0</v>
      </c>
      <c r="X601" t="s">
        <v>805</v>
      </c>
      <c r="Y601" t="s">
        <v>806</v>
      </c>
      <c r="Z601" t="s">
        <v>58</v>
      </c>
      <c r="AA601" t="s">
        <v>59</v>
      </c>
      <c r="AB601" t="s">
        <v>60</v>
      </c>
      <c r="AC601" t="s">
        <v>61</v>
      </c>
      <c r="AD601" t="s">
        <v>49</v>
      </c>
      <c r="AE601" t="s">
        <v>49</v>
      </c>
      <c r="AF601" t="s">
        <v>49</v>
      </c>
      <c r="AG601" t="s">
        <v>49</v>
      </c>
      <c r="AH601" t="s">
        <v>48</v>
      </c>
      <c r="AI601" t="s">
        <v>48</v>
      </c>
      <c r="AJ601" t="s">
        <v>48</v>
      </c>
      <c r="AK601" t="s">
        <v>62</v>
      </c>
      <c r="AL601" t="s">
        <v>63</v>
      </c>
      <c r="AM601" t="s">
        <v>61</v>
      </c>
      <c r="AN601" t="s">
        <v>64</v>
      </c>
      <c r="AO601" t="s">
        <v>807</v>
      </c>
      <c r="AP601">
        <v>1</v>
      </c>
      <c r="AQ601" t="s">
        <v>66</v>
      </c>
      <c r="AR601" t="s">
        <v>67</v>
      </c>
      <c r="AS601">
        <v>2006</v>
      </c>
      <c r="AT601" t="s">
        <v>49</v>
      </c>
      <c r="AU601" t="s">
        <v>48</v>
      </c>
      <c r="AV601" t="s">
        <v>48</v>
      </c>
      <c r="AW601" t="s">
        <v>48</v>
      </c>
    </row>
    <row r="602" spans="1:49" x14ac:dyDescent="0.3">
      <c r="A602" t="s">
        <v>281</v>
      </c>
      <c r="B602" t="s">
        <v>282</v>
      </c>
      <c r="C602" t="s">
        <v>112</v>
      </c>
      <c r="D602">
        <v>331.35</v>
      </c>
      <c r="E602">
        <v>0</v>
      </c>
      <c r="F602">
        <v>1.58</v>
      </c>
      <c r="G602" t="s">
        <v>1329</v>
      </c>
      <c r="H602" t="s">
        <v>284</v>
      </c>
      <c r="I602" t="s">
        <v>52</v>
      </c>
      <c r="J602" t="s">
        <v>53</v>
      </c>
      <c r="K602">
        <v>490</v>
      </c>
      <c r="L602" t="s">
        <v>126</v>
      </c>
      <c r="M602">
        <f>DOWNLOAD_2kLRbPnDtawQopEJ_UKtt22ud9U57gk8mqebZIeugNk[[#This Row],[Standard Value]]</f>
        <v>490</v>
      </c>
      <c r="N602">
        <f>-LOG(DOWNLOAD_2kLRbPnDtawQopEJ_UKtt22ud9U57gk8mqebZIeugNk[[#This Row],[IC50]]*POWER(10, -9), 10)</f>
        <v>6.3098039199714853</v>
      </c>
      <c r="O602">
        <v>6.31</v>
      </c>
      <c r="P602" t="s">
        <v>48</v>
      </c>
      <c r="R602" t="s">
        <v>127</v>
      </c>
      <c r="S602">
        <v>19.04</v>
      </c>
      <c r="T602">
        <v>0.36</v>
      </c>
      <c r="U602">
        <v>4.7300000000000004</v>
      </c>
      <c r="V602">
        <v>8.4600000000000009</v>
      </c>
      <c r="W602">
        <v>0</v>
      </c>
      <c r="X602" t="s">
        <v>700</v>
      </c>
      <c r="Y602" t="s">
        <v>701</v>
      </c>
      <c r="Z602" t="s">
        <v>58</v>
      </c>
      <c r="AA602" t="s">
        <v>59</v>
      </c>
      <c r="AB602" t="s">
        <v>60</v>
      </c>
      <c r="AC602" t="s">
        <v>61</v>
      </c>
      <c r="AD602" t="s">
        <v>49</v>
      </c>
      <c r="AE602" t="s">
        <v>49</v>
      </c>
      <c r="AF602" t="s">
        <v>49</v>
      </c>
      <c r="AG602" t="s">
        <v>49</v>
      </c>
      <c r="AH602" t="s">
        <v>48</v>
      </c>
      <c r="AI602" t="s">
        <v>48</v>
      </c>
      <c r="AJ602" t="s">
        <v>48</v>
      </c>
      <c r="AK602" t="s">
        <v>62</v>
      </c>
      <c r="AL602" t="s">
        <v>63</v>
      </c>
      <c r="AM602" t="s">
        <v>61</v>
      </c>
      <c r="AN602" t="s">
        <v>64</v>
      </c>
      <c r="AO602" t="s">
        <v>702</v>
      </c>
      <c r="AP602">
        <v>1</v>
      </c>
      <c r="AQ602" t="s">
        <v>66</v>
      </c>
      <c r="AR602" t="s">
        <v>67</v>
      </c>
      <c r="AS602">
        <v>2020</v>
      </c>
      <c r="AT602" t="s">
        <v>49</v>
      </c>
      <c r="AU602" t="s">
        <v>48</v>
      </c>
      <c r="AV602" t="s">
        <v>48</v>
      </c>
      <c r="AW602" t="s">
        <v>48</v>
      </c>
    </row>
    <row r="603" spans="1:49" x14ac:dyDescent="0.3">
      <c r="A603" t="s">
        <v>1716</v>
      </c>
      <c r="B603" t="s">
        <v>48</v>
      </c>
      <c r="C603" t="s">
        <v>49</v>
      </c>
      <c r="D603">
        <v>329.42</v>
      </c>
      <c r="E603">
        <v>0</v>
      </c>
      <c r="F603">
        <v>2.96</v>
      </c>
      <c r="G603" t="s">
        <v>760</v>
      </c>
      <c r="H603" t="s">
        <v>1717</v>
      </c>
      <c r="I603" t="s">
        <v>52</v>
      </c>
      <c r="J603" t="s">
        <v>53</v>
      </c>
      <c r="K603">
        <v>430</v>
      </c>
      <c r="L603" t="s">
        <v>126</v>
      </c>
      <c r="M603">
        <f>DOWNLOAD_2kLRbPnDtawQopEJ_UKtt22ud9U57gk8mqebZIeugNk[[#This Row],[Standard Value]]</f>
        <v>430</v>
      </c>
      <c r="N603">
        <f>-LOG(DOWNLOAD_2kLRbPnDtawQopEJ_UKtt22ud9U57gk8mqebZIeugNk[[#This Row],[IC50]]*POWER(10, -9), 10)</f>
        <v>6.3665315444204129</v>
      </c>
      <c r="O603">
        <v>6.37</v>
      </c>
      <c r="P603" t="s">
        <v>48</v>
      </c>
      <c r="R603" t="s">
        <v>127</v>
      </c>
      <c r="S603">
        <v>19.329999999999998</v>
      </c>
      <c r="T603">
        <v>0.36</v>
      </c>
      <c r="U603">
        <v>3.41</v>
      </c>
      <c r="V603">
        <v>12.42</v>
      </c>
      <c r="W603">
        <v>0</v>
      </c>
      <c r="X603" t="s">
        <v>700</v>
      </c>
      <c r="Y603" t="s">
        <v>701</v>
      </c>
      <c r="Z603" t="s">
        <v>58</v>
      </c>
      <c r="AA603" t="s">
        <v>59</v>
      </c>
      <c r="AB603" t="s">
        <v>60</v>
      </c>
      <c r="AC603" t="s">
        <v>61</v>
      </c>
      <c r="AD603" t="s">
        <v>49</v>
      </c>
      <c r="AE603" t="s">
        <v>49</v>
      </c>
      <c r="AF603" t="s">
        <v>49</v>
      </c>
      <c r="AG603" t="s">
        <v>49</v>
      </c>
      <c r="AH603" t="s">
        <v>48</v>
      </c>
      <c r="AI603" t="s">
        <v>48</v>
      </c>
      <c r="AJ603" t="s">
        <v>48</v>
      </c>
      <c r="AK603" t="s">
        <v>62</v>
      </c>
      <c r="AL603" t="s">
        <v>63</v>
      </c>
      <c r="AM603" t="s">
        <v>61</v>
      </c>
      <c r="AN603" t="s">
        <v>64</v>
      </c>
      <c r="AO603" t="s">
        <v>702</v>
      </c>
      <c r="AP603">
        <v>1</v>
      </c>
      <c r="AQ603" t="s">
        <v>66</v>
      </c>
      <c r="AR603" t="s">
        <v>67</v>
      </c>
      <c r="AS603">
        <v>2020</v>
      </c>
      <c r="AT603" t="s">
        <v>49</v>
      </c>
      <c r="AU603" t="s">
        <v>48</v>
      </c>
      <c r="AV603" t="s">
        <v>48</v>
      </c>
      <c r="AW603" t="s">
        <v>48</v>
      </c>
    </row>
    <row r="604" spans="1:49" x14ac:dyDescent="0.3">
      <c r="A604" t="s">
        <v>1718</v>
      </c>
      <c r="B604" t="s">
        <v>48</v>
      </c>
      <c r="C604" t="s">
        <v>49</v>
      </c>
      <c r="D604">
        <v>429.12</v>
      </c>
      <c r="E604">
        <v>0</v>
      </c>
      <c r="F604">
        <v>2.4500000000000002</v>
      </c>
      <c r="G604" t="s">
        <v>227</v>
      </c>
      <c r="H604" t="s">
        <v>1719</v>
      </c>
      <c r="I604" t="s">
        <v>52</v>
      </c>
      <c r="J604" t="s">
        <v>53</v>
      </c>
      <c r="K604">
        <v>170000</v>
      </c>
      <c r="L604" t="s">
        <v>126</v>
      </c>
      <c r="M604">
        <f>DOWNLOAD_2kLRbPnDtawQopEJ_UKtt22ud9U57gk8mqebZIeugNk[[#This Row],[Standard Value]]</f>
        <v>170000</v>
      </c>
      <c r="N604">
        <f>-LOG(DOWNLOAD_2kLRbPnDtawQopEJ_UKtt22ud9U57gk8mqebZIeugNk[[#This Row],[IC50]]*POWER(10, -9), 10)</f>
        <v>3.7695510786217254</v>
      </c>
      <c r="P604" t="s">
        <v>72</v>
      </c>
      <c r="R604" t="s">
        <v>127</v>
      </c>
      <c r="W604">
        <v>0</v>
      </c>
      <c r="X604" t="s">
        <v>144</v>
      </c>
      <c r="Y604" t="s">
        <v>145</v>
      </c>
      <c r="Z604" t="s">
        <v>58</v>
      </c>
      <c r="AA604" t="s">
        <v>59</v>
      </c>
      <c r="AB604" t="s">
        <v>60</v>
      </c>
      <c r="AC604" t="s">
        <v>61</v>
      </c>
      <c r="AD604" t="s">
        <v>49</v>
      </c>
      <c r="AE604" t="s">
        <v>49</v>
      </c>
      <c r="AF604" t="s">
        <v>49</v>
      </c>
      <c r="AG604" t="s">
        <v>49</v>
      </c>
      <c r="AH604" t="s">
        <v>48</v>
      </c>
      <c r="AI604" t="s">
        <v>48</v>
      </c>
      <c r="AJ604" t="s">
        <v>48</v>
      </c>
      <c r="AK604" t="s">
        <v>62</v>
      </c>
      <c r="AL604" t="s">
        <v>63</v>
      </c>
      <c r="AM604" t="s">
        <v>61</v>
      </c>
      <c r="AN604" t="s">
        <v>64</v>
      </c>
      <c r="AO604" t="s">
        <v>146</v>
      </c>
      <c r="AP604">
        <v>1</v>
      </c>
      <c r="AQ604" t="s">
        <v>66</v>
      </c>
      <c r="AR604" t="s">
        <v>67</v>
      </c>
      <c r="AS604">
        <v>2015</v>
      </c>
      <c r="AT604" t="s">
        <v>49</v>
      </c>
      <c r="AU604" t="s">
        <v>48</v>
      </c>
      <c r="AV604" t="s">
        <v>48</v>
      </c>
      <c r="AW604" t="s">
        <v>48</v>
      </c>
    </row>
    <row r="605" spans="1:49" x14ac:dyDescent="0.3">
      <c r="A605" t="s">
        <v>1720</v>
      </c>
      <c r="B605" t="s">
        <v>48</v>
      </c>
      <c r="C605" t="s">
        <v>49</v>
      </c>
      <c r="D605">
        <v>354.41</v>
      </c>
      <c r="E605">
        <v>0</v>
      </c>
      <c r="F605">
        <v>2.4700000000000002</v>
      </c>
      <c r="G605" t="s">
        <v>847</v>
      </c>
      <c r="H605" t="s">
        <v>1721</v>
      </c>
      <c r="I605" t="s">
        <v>52</v>
      </c>
      <c r="J605" t="s">
        <v>53</v>
      </c>
      <c r="K605">
        <v>120</v>
      </c>
      <c r="L605" t="s">
        <v>126</v>
      </c>
      <c r="M605">
        <f>DOWNLOAD_2kLRbPnDtawQopEJ_UKtt22ud9U57gk8mqebZIeugNk[[#This Row],[Standard Value]]</f>
        <v>120</v>
      </c>
      <c r="N605">
        <f>-LOG(DOWNLOAD_2kLRbPnDtawQopEJ_UKtt22ud9U57gk8mqebZIeugNk[[#This Row],[IC50]]*POWER(10, -9), 10)</f>
        <v>6.9208187539523749</v>
      </c>
      <c r="O605">
        <v>6.92</v>
      </c>
      <c r="P605" t="s">
        <v>48</v>
      </c>
      <c r="R605" t="s">
        <v>127</v>
      </c>
      <c r="S605">
        <v>19.53</v>
      </c>
      <c r="T605">
        <v>0.36</v>
      </c>
      <c r="U605">
        <v>4.45</v>
      </c>
      <c r="V605">
        <v>6.97</v>
      </c>
      <c r="W605">
        <v>0</v>
      </c>
      <c r="X605" t="s">
        <v>450</v>
      </c>
      <c r="Y605" t="s">
        <v>451</v>
      </c>
      <c r="Z605" t="s">
        <v>58</v>
      </c>
      <c r="AA605" t="s">
        <v>59</v>
      </c>
      <c r="AB605" t="s">
        <v>60</v>
      </c>
      <c r="AC605" t="s">
        <v>61</v>
      </c>
      <c r="AD605" t="s">
        <v>49</v>
      </c>
      <c r="AE605" t="s">
        <v>49</v>
      </c>
      <c r="AF605" t="s">
        <v>49</v>
      </c>
      <c r="AG605" t="s">
        <v>49</v>
      </c>
      <c r="AH605" t="s">
        <v>48</v>
      </c>
      <c r="AI605" t="s">
        <v>48</v>
      </c>
      <c r="AJ605" t="s">
        <v>48</v>
      </c>
      <c r="AK605" t="s">
        <v>62</v>
      </c>
      <c r="AL605" t="s">
        <v>63</v>
      </c>
      <c r="AM605" t="s">
        <v>61</v>
      </c>
      <c r="AN605" t="s">
        <v>64</v>
      </c>
      <c r="AO605" t="s">
        <v>452</v>
      </c>
      <c r="AP605">
        <v>1</v>
      </c>
      <c r="AQ605" t="s">
        <v>66</v>
      </c>
      <c r="AR605" t="s">
        <v>267</v>
      </c>
      <c r="AS605">
        <v>2019</v>
      </c>
      <c r="AT605" t="s">
        <v>49</v>
      </c>
      <c r="AU605" t="s">
        <v>48</v>
      </c>
      <c r="AV605" t="s">
        <v>48</v>
      </c>
      <c r="AW605" t="s">
        <v>48</v>
      </c>
    </row>
    <row r="606" spans="1:49" x14ac:dyDescent="0.3">
      <c r="A606" t="s">
        <v>743</v>
      </c>
      <c r="B606" t="s">
        <v>48</v>
      </c>
      <c r="C606" t="s">
        <v>49</v>
      </c>
      <c r="D606">
        <v>402.38</v>
      </c>
      <c r="E606">
        <v>0</v>
      </c>
      <c r="F606">
        <v>1.17</v>
      </c>
      <c r="G606" t="s">
        <v>1722</v>
      </c>
      <c r="H606" t="s">
        <v>745</v>
      </c>
      <c r="I606" t="s">
        <v>52</v>
      </c>
      <c r="J606" t="s">
        <v>53</v>
      </c>
      <c r="K606">
        <v>0.28999999999999998</v>
      </c>
      <c r="L606" t="s">
        <v>126</v>
      </c>
      <c r="M606">
        <f>DOWNLOAD_2kLRbPnDtawQopEJ_UKtt22ud9U57gk8mqebZIeugNk[[#This Row],[Standard Value]]</f>
        <v>0.28999999999999998</v>
      </c>
      <c r="N606">
        <f>-LOG(DOWNLOAD_2kLRbPnDtawQopEJ_UKtt22ud9U57gk8mqebZIeugNk[[#This Row],[IC50]]*POWER(10, -9), 10)</f>
        <v>9.5376020021010426</v>
      </c>
      <c r="O606">
        <v>9.5399999999999991</v>
      </c>
      <c r="P606" t="s">
        <v>48</v>
      </c>
      <c r="R606" t="s">
        <v>127</v>
      </c>
      <c r="S606">
        <v>23.7</v>
      </c>
      <c r="T606">
        <v>0.45</v>
      </c>
      <c r="U606">
        <v>8.3699999999999992</v>
      </c>
      <c r="V606">
        <v>8.3800000000000008</v>
      </c>
      <c r="W606">
        <v>0</v>
      </c>
      <c r="X606" t="s">
        <v>519</v>
      </c>
      <c r="Y606" t="s">
        <v>520</v>
      </c>
      <c r="Z606" t="s">
        <v>58</v>
      </c>
      <c r="AA606" t="s">
        <v>59</v>
      </c>
      <c r="AB606" t="s">
        <v>60</v>
      </c>
      <c r="AC606" t="s">
        <v>61</v>
      </c>
      <c r="AD606" t="s">
        <v>49</v>
      </c>
      <c r="AE606" t="s">
        <v>49</v>
      </c>
      <c r="AF606" t="s">
        <v>49</v>
      </c>
      <c r="AG606" t="s">
        <v>49</v>
      </c>
      <c r="AH606" t="s">
        <v>48</v>
      </c>
      <c r="AI606" t="s">
        <v>48</v>
      </c>
      <c r="AJ606" t="s">
        <v>48</v>
      </c>
      <c r="AK606" t="s">
        <v>62</v>
      </c>
      <c r="AL606" t="s">
        <v>63</v>
      </c>
      <c r="AM606" t="s">
        <v>61</v>
      </c>
      <c r="AN606" t="s">
        <v>64</v>
      </c>
      <c r="AO606" t="s">
        <v>521</v>
      </c>
      <c r="AP606">
        <v>1</v>
      </c>
      <c r="AQ606" t="s">
        <v>66</v>
      </c>
      <c r="AR606" t="s">
        <v>67</v>
      </c>
      <c r="AS606">
        <v>2014</v>
      </c>
      <c r="AT606" t="s">
        <v>49</v>
      </c>
      <c r="AU606" t="s">
        <v>48</v>
      </c>
      <c r="AV606" t="s">
        <v>48</v>
      </c>
      <c r="AW606" t="s">
        <v>48</v>
      </c>
    </row>
    <row r="607" spans="1:49" x14ac:dyDescent="0.3">
      <c r="A607" t="s">
        <v>430</v>
      </c>
      <c r="B607" t="s">
        <v>48</v>
      </c>
      <c r="C607" t="s">
        <v>49</v>
      </c>
      <c r="D607">
        <v>456.35</v>
      </c>
      <c r="E607">
        <v>0</v>
      </c>
      <c r="F607">
        <v>1.88</v>
      </c>
      <c r="G607" t="s">
        <v>1723</v>
      </c>
      <c r="H607" t="s">
        <v>432</v>
      </c>
      <c r="I607" t="s">
        <v>52</v>
      </c>
      <c r="J607" t="s">
        <v>53</v>
      </c>
      <c r="K607">
        <v>610</v>
      </c>
      <c r="L607" t="s">
        <v>126</v>
      </c>
      <c r="M607">
        <f>DOWNLOAD_2kLRbPnDtawQopEJ_UKtt22ud9U57gk8mqebZIeugNk[[#This Row],[Standard Value]]</f>
        <v>610</v>
      </c>
      <c r="N607">
        <f>-LOG(DOWNLOAD_2kLRbPnDtawQopEJ_UKtt22ud9U57gk8mqebZIeugNk[[#This Row],[IC50]]*POWER(10, -9), 10)</f>
        <v>6.214670164989232</v>
      </c>
      <c r="O607">
        <v>6.21</v>
      </c>
      <c r="P607" t="s">
        <v>48</v>
      </c>
      <c r="R607" t="s">
        <v>127</v>
      </c>
      <c r="S607">
        <v>13.62</v>
      </c>
      <c r="T607">
        <v>0.27</v>
      </c>
      <c r="U607">
        <v>4.33</v>
      </c>
      <c r="V607">
        <v>5.46</v>
      </c>
      <c r="W607">
        <v>0</v>
      </c>
      <c r="X607" t="s">
        <v>519</v>
      </c>
      <c r="Y607" t="s">
        <v>520</v>
      </c>
      <c r="Z607" t="s">
        <v>58</v>
      </c>
      <c r="AA607" t="s">
        <v>59</v>
      </c>
      <c r="AB607" t="s">
        <v>60</v>
      </c>
      <c r="AC607" t="s">
        <v>61</v>
      </c>
      <c r="AD607" t="s">
        <v>49</v>
      </c>
      <c r="AE607" t="s">
        <v>49</v>
      </c>
      <c r="AF607" t="s">
        <v>49</v>
      </c>
      <c r="AG607" t="s">
        <v>49</v>
      </c>
      <c r="AH607" t="s">
        <v>48</v>
      </c>
      <c r="AI607" t="s">
        <v>48</v>
      </c>
      <c r="AJ607" t="s">
        <v>48</v>
      </c>
      <c r="AK607" t="s">
        <v>62</v>
      </c>
      <c r="AL607" t="s">
        <v>63</v>
      </c>
      <c r="AM607" t="s">
        <v>61</v>
      </c>
      <c r="AN607" t="s">
        <v>64</v>
      </c>
      <c r="AO607" t="s">
        <v>521</v>
      </c>
      <c r="AP607">
        <v>1</v>
      </c>
      <c r="AQ607" t="s">
        <v>66</v>
      </c>
      <c r="AR607" t="s">
        <v>67</v>
      </c>
      <c r="AS607">
        <v>2014</v>
      </c>
      <c r="AT607" t="s">
        <v>49</v>
      </c>
      <c r="AU607" t="s">
        <v>48</v>
      </c>
      <c r="AV607" t="s">
        <v>48</v>
      </c>
      <c r="AW607" t="s">
        <v>48</v>
      </c>
    </row>
    <row r="608" spans="1:49" x14ac:dyDescent="0.3">
      <c r="A608" t="s">
        <v>1724</v>
      </c>
      <c r="B608" t="s">
        <v>48</v>
      </c>
      <c r="C608" t="s">
        <v>49</v>
      </c>
      <c r="D608">
        <v>469.35</v>
      </c>
      <c r="E608">
        <v>0</v>
      </c>
      <c r="F608">
        <v>3.64</v>
      </c>
      <c r="G608" t="s">
        <v>727</v>
      </c>
      <c r="H608" t="s">
        <v>1725</v>
      </c>
      <c r="I608" t="s">
        <v>52</v>
      </c>
      <c r="J608" t="s">
        <v>53</v>
      </c>
      <c r="K608">
        <v>2100</v>
      </c>
      <c r="L608" t="s">
        <v>126</v>
      </c>
      <c r="M608">
        <f>DOWNLOAD_2kLRbPnDtawQopEJ_UKtt22ud9U57gk8mqebZIeugNk[[#This Row],[Standard Value]]</f>
        <v>2100</v>
      </c>
      <c r="N608">
        <f>-LOG(DOWNLOAD_2kLRbPnDtawQopEJ_UKtt22ud9U57gk8mqebZIeugNk[[#This Row],[IC50]]*POWER(10, -9), 10)</f>
        <v>5.6777807052660796</v>
      </c>
      <c r="O608">
        <v>5.68</v>
      </c>
      <c r="P608" t="s">
        <v>48</v>
      </c>
      <c r="R608" t="s">
        <v>127</v>
      </c>
      <c r="S608">
        <v>12.1</v>
      </c>
      <c r="T608">
        <v>0.26</v>
      </c>
      <c r="U608">
        <v>2.04</v>
      </c>
      <c r="V608">
        <v>4.72</v>
      </c>
      <c r="W608">
        <v>0</v>
      </c>
      <c r="X608" t="s">
        <v>1726</v>
      </c>
      <c r="Y608" t="s">
        <v>878</v>
      </c>
      <c r="Z608" t="s">
        <v>58</v>
      </c>
      <c r="AA608" t="s">
        <v>59</v>
      </c>
      <c r="AB608" t="s">
        <v>60</v>
      </c>
      <c r="AC608" t="s">
        <v>61</v>
      </c>
      <c r="AD608" t="s">
        <v>49</v>
      </c>
      <c r="AE608" t="s">
        <v>49</v>
      </c>
      <c r="AF608" t="s">
        <v>49</v>
      </c>
      <c r="AG608" t="s">
        <v>49</v>
      </c>
      <c r="AH608" t="s">
        <v>48</v>
      </c>
      <c r="AI608" t="s">
        <v>48</v>
      </c>
      <c r="AJ608" t="s">
        <v>48</v>
      </c>
      <c r="AK608" t="s">
        <v>62</v>
      </c>
      <c r="AL608" t="s">
        <v>63</v>
      </c>
      <c r="AM608" t="s">
        <v>61</v>
      </c>
      <c r="AN608" t="s">
        <v>64</v>
      </c>
      <c r="AO608" t="s">
        <v>1727</v>
      </c>
      <c r="AP608">
        <v>1</v>
      </c>
      <c r="AQ608" t="s">
        <v>66</v>
      </c>
      <c r="AR608" t="s">
        <v>131</v>
      </c>
      <c r="AS608">
        <v>2021</v>
      </c>
      <c r="AT608" t="s">
        <v>49</v>
      </c>
      <c r="AU608" t="s">
        <v>48</v>
      </c>
      <c r="AV608" t="s">
        <v>269</v>
      </c>
      <c r="AW608" t="s">
        <v>48</v>
      </c>
    </row>
    <row r="609" spans="1:49" x14ac:dyDescent="0.3">
      <c r="A609" t="s">
        <v>1728</v>
      </c>
      <c r="B609" t="s">
        <v>48</v>
      </c>
      <c r="C609" t="s">
        <v>49</v>
      </c>
      <c r="D609">
        <v>324.37</v>
      </c>
      <c r="E609">
        <v>0</v>
      </c>
      <c r="F609">
        <v>3.09</v>
      </c>
      <c r="G609" t="s">
        <v>1452</v>
      </c>
      <c r="H609" t="s">
        <v>1729</v>
      </c>
      <c r="I609" t="s">
        <v>52</v>
      </c>
      <c r="J609" t="s">
        <v>53</v>
      </c>
      <c r="K609">
        <v>6</v>
      </c>
      <c r="L609" t="s">
        <v>54</v>
      </c>
      <c r="M609">
        <f>DOWNLOAD_2kLRbPnDtawQopEJ_UKtt22ud9U57gk8mqebZIeugNk[[#This Row],[Standard Value]]/DOWNLOAD_2kLRbPnDtawQopEJ_UKtt22ud9U57gk8mqebZIeugNk[[#This Row],[Molecular Weight]]*1000*1000</f>
        <v>18497.394950211175</v>
      </c>
      <c r="N609">
        <f>-LOG(DOWNLOAD_2kLRbPnDtawQopEJ_UKtt22ud9U57gk8mqebZIeugNk[[#This Row],[IC50]]*POWER(10, -9), 10)</f>
        <v>4.7328894304300206</v>
      </c>
      <c r="P609" t="s">
        <v>48</v>
      </c>
      <c r="R609" t="s">
        <v>55</v>
      </c>
      <c r="W609">
        <v>0</v>
      </c>
      <c r="X609" t="s">
        <v>1730</v>
      </c>
      <c r="Y609" t="s">
        <v>1731</v>
      </c>
      <c r="Z609" t="s">
        <v>58</v>
      </c>
      <c r="AA609" t="s">
        <v>59</v>
      </c>
      <c r="AB609" t="s">
        <v>60</v>
      </c>
      <c r="AC609" t="s">
        <v>61</v>
      </c>
      <c r="AD609" t="s">
        <v>49</v>
      </c>
      <c r="AE609" t="s">
        <v>49</v>
      </c>
      <c r="AF609" t="s">
        <v>49</v>
      </c>
      <c r="AG609" t="s">
        <v>49</v>
      </c>
      <c r="AH609" t="s">
        <v>48</v>
      </c>
      <c r="AI609" t="s">
        <v>48</v>
      </c>
      <c r="AJ609" t="s">
        <v>48</v>
      </c>
      <c r="AK609" t="s">
        <v>62</v>
      </c>
      <c r="AL609" t="s">
        <v>63</v>
      </c>
      <c r="AM609" t="s">
        <v>61</v>
      </c>
      <c r="AN609" t="s">
        <v>64</v>
      </c>
      <c r="AO609" t="s">
        <v>1732</v>
      </c>
      <c r="AP609">
        <v>1</v>
      </c>
      <c r="AQ609" t="s">
        <v>66</v>
      </c>
      <c r="AR609" t="s">
        <v>131</v>
      </c>
      <c r="AS609">
        <v>2021</v>
      </c>
      <c r="AT609" t="s">
        <v>49</v>
      </c>
      <c r="AU609" t="s">
        <v>1733</v>
      </c>
      <c r="AV609" t="s">
        <v>269</v>
      </c>
      <c r="AW609" t="s">
        <v>48</v>
      </c>
    </row>
    <row r="610" spans="1:49" x14ac:dyDescent="0.3">
      <c r="A610" t="s">
        <v>1734</v>
      </c>
      <c r="B610" t="s">
        <v>48</v>
      </c>
      <c r="C610" t="s">
        <v>49</v>
      </c>
      <c r="D610">
        <v>388.3</v>
      </c>
      <c r="E610">
        <v>0</v>
      </c>
      <c r="F610">
        <v>3.83</v>
      </c>
      <c r="G610" t="s">
        <v>396</v>
      </c>
      <c r="H610" t="s">
        <v>1735</v>
      </c>
      <c r="I610" t="s">
        <v>52</v>
      </c>
      <c r="J610" t="s">
        <v>53</v>
      </c>
      <c r="K610">
        <v>35000</v>
      </c>
      <c r="L610" t="s">
        <v>126</v>
      </c>
      <c r="M610">
        <f>DOWNLOAD_2kLRbPnDtawQopEJ_UKtt22ud9U57gk8mqebZIeugNk[[#This Row],[Standard Value]]</f>
        <v>35000</v>
      </c>
      <c r="N610">
        <f>-LOG(DOWNLOAD_2kLRbPnDtawQopEJ_UKtt22ud9U57gk8mqebZIeugNk[[#This Row],[IC50]]*POWER(10, -9), 10)</f>
        <v>4.4559319556497243</v>
      </c>
      <c r="O610">
        <v>4.46</v>
      </c>
      <c r="P610" t="s">
        <v>48</v>
      </c>
      <c r="R610" t="s">
        <v>127</v>
      </c>
      <c r="S610">
        <v>12.66</v>
      </c>
      <c r="T610">
        <v>0.24</v>
      </c>
      <c r="U610">
        <v>0.63</v>
      </c>
      <c r="V610">
        <v>6.55</v>
      </c>
      <c r="W610">
        <v>0</v>
      </c>
      <c r="X610" t="s">
        <v>1546</v>
      </c>
      <c r="Y610" t="s">
        <v>1547</v>
      </c>
      <c r="Z610" t="s">
        <v>58</v>
      </c>
      <c r="AA610" t="s">
        <v>59</v>
      </c>
      <c r="AB610" t="s">
        <v>60</v>
      </c>
      <c r="AC610" t="s">
        <v>61</v>
      </c>
      <c r="AD610" t="s">
        <v>49</v>
      </c>
      <c r="AE610" t="s">
        <v>49</v>
      </c>
      <c r="AF610" t="s">
        <v>49</v>
      </c>
      <c r="AG610" t="s">
        <v>49</v>
      </c>
      <c r="AH610" t="s">
        <v>48</v>
      </c>
      <c r="AI610" t="s">
        <v>48</v>
      </c>
      <c r="AJ610" t="s">
        <v>48</v>
      </c>
      <c r="AK610" t="s">
        <v>62</v>
      </c>
      <c r="AL610" t="s">
        <v>63</v>
      </c>
      <c r="AM610" t="s">
        <v>61</v>
      </c>
      <c r="AN610" t="s">
        <v>64</v>
      </c>
      <c r="AO610" t="s">
        <v>1548</v>
      </c>
      <c r="AP610">
        <v>1</v>
      </c>
      <c r="AQ610" t="s">
        <v>66</v>
      </c>
      <c r="AR610" t="s">
        <v>1549</v>
      </c>
      <c r="AS610">
        <v>2022</v>
      </c>
      <c r="AT610" t="s">
        <v>49</v>
      </c>
      <c r="AU610" t="s">
        <v>299</v>
      </c>
      <c r="AV610" t="s">
        <v>269</v>
      </c>
      <c r="AW610" t="s">
        <v>48</v>
      </c>
    </row>
    <row r="611" spans="1:49" x14ac:dyDescent="0.3">
      <c r="A611" t="s">
        <v>1736</v>
      </c>
      <c r="B611" t="s">
        <v>48</v>
      </c>
      <c r="C611" t="s">
        <v>49</v>
      </c>
      <c r="D611">
        <v>533.84</v>
      </c>
      <c r="E611">
        <v>0</v>
      </c>
      <c r="F611">
        <v>3.3</v>
      </c>
      <c r="G611" t="s">
        <v>290</v>
      </c>
      <c r="H611" t="s">
        <v>1737</v>
      </c>
      <c r="I611" t="s">
        <v>52</v>
      </c>
      <c r="J611" t="s">
        <v>53</v>
      </c>
      <c r="K611">
        <v>40</v>
      </c>
      <c r="L611" t="s">
        <v>126</v>
      </c>
      <c r="M611">
        <f>DOWNLOAD_2kLRbPnDtawQopEJ_UKtt22ud9U57gk8mqebZIeugNk[[#This Row],[Standard Value]]</f>
        <v>40</v>
      </c>
      <c r="N611">
        <f>-LOG(DOWNLOAD_2kLRbPnDtawQopEJ_UKtt22ud9U57gk8mqebZIeugNk[[#This Row],[IC50]]*POWER(10, -9), 10)</f>
        <v>7.3979400086720375</v>
      </c>
      <c r="O611">
        <v>7.4</v>
      </c>
      <c r="P611" t="s">
        <v>48</v>
      </c>
      <c r="R611" t="s">
        <v>127</v>
      </c>
      <c r="S611">
        <v>14.87</v>
      </c>
      <c r="T611">
        <v>0.31</v>
      </c>
      <c r="U611">
        <v>4.0999999999999996</v>
      </c>
      <c r="V611">
        <v>6.09</v>
      </c>
      <c r="W611">
        <v>0</v>
      </c>
      <c r="X611" t="s">
        <v>716</v>
      </c>
      <c r="Y611" t="s">
        <v>717</v>
      </c>
      <c r="Z611" t="s">
        <v>58</v>
      </c>
      <c r="AA611" t="s">
        <v>59</v>
      </c>
      <c r="AB611" t="s">
        <v>60</v>
      </c>
      <c r="AC611" t="s">
        <v>61</v>
      </c>
      <c r="AD611" t="s">
        <v>49</v>
      </c>
      <c r="AE611" t="s">
        <v>49</v>
      </c>
      <c r="AF611" t="s">
        <v>49</v>
      </c>
      <c r="AG611" t="s">
        <v>49</v>
      </c>
      <c r="AH611" t="s">
        <v>48</v>
      </c>
      <c r="AI611" t="s">
        <v>48</v>
      </c>
      <c r="AJ611" t="s">
        <v>48</v>
      </c>
      <c r="AK611" t="s">
        <v>62</v>
      </c>
      <c r="AL611" t="s">
        <v>63</v>
      </c>
      <c r="AM611" t="s">
        <v>61</v>
      </c>
      <c r="AN611" t="s">
        <v>64</v>
      </c>
      <c r="AO611" t="s">
        <v>718</v>
      </c>
      <c r="AP611">
        <v>1</v>
      </c>
      <c r="AQ611" t="s">
        <v>66</v>
      </c>
      <c r="AR611" t="s">
        <v>131</v>
      </c>
      <c r="AS611">
        <v>2019</v>
      </c>
      <c r="AT611" t="s">
        <v>49</v>
      </c>
      <c r="AU611" t="s">
        <v>299</v>
      </c>
      <c r="AV611" t="s">
        <v>269</v>
      </c>
      <c r="AW611" t="s">
        <v>48</v>
      </c>
    </row>
    <row r="612" spans="1:49" x14ac:dyDescent="0.3">
      <c r="A612" t="s">
        <v>1738</v>
      </c>
      <c r="B612" t="s">
        <v>48</v>
      </c>
      <c r="C612" t="s">
        <v>49</v>
      </c>
      <c r="D612">
        <v>569.44000000000005</v>
      </c>
      <c r="E612">
        <v>1</v>
      </c>
      <c r="F612">
        <v>4.47</v>
      </c>
      <c r="G612" t="s">
        <v>1104</v>
      </c>
      <c r="H612" t="s">
        <v>1739</v>
      </c>
      <c r="I612" t="s">
        <v>52</v>
      </c>
      <c r="J612" t="s">
        <v>53</v>
      </c>
      <c r="K612">
        <v>86</v>
      </c>
      <c r="L612" t="s">
        <v>126</v>
      </c>
      <c r="M612">
        <f>DOWNLOAD_2kLRbPnDtawQopEJ_UKtt22ud9U57gk8mqebZIeugNk[[#This Row],[Standard Value]]</f>
        <v>86</v>
      </c>
      <c r="N612">
        <f>-LOG(DOWNLOAD_2kLRbPnDtawQopEJ_UKtt22ud9U57gk8mqebZIeugNk[[#This Row],[IC50]]*POWER(10, -9), 10)</f>
        <v>7.0655015487564325</v>
      </c>
      <c r="O612">
        <v>7.07</v>
      </c>
      <c r="P612" t="s">
        <v>48</v>
      </c>
      <c r="R612" t="s">
        <v>127</v>
      </c>
      <c r="S612">
        <v>12.41</v>
      </c>
      <c r="T612">
        <v>0.25</v>
      </c>
      <c r="U612">
        <v>2.6</v>
      </c>
      <c r="V612">
        <v>4.71</v>
      </c>
      <c r="W612">
        <v>0</v>
      </c>
      <c r="X612" t="s">
        <v>716</v>
      </c>
      <c r="Y612" t="s">
        <v>717</v>
      </c>
      <c r="Z612" t="s">
        <v>58</v>
      </c>
      <c r="AA612" t="s">
        <v>59</v>
      </c>
      <c r="AB612" t="s">
        <v>60</v>
      </c>
      <c r="AC612" t="s">
        <v>61</v>
      </c>
      <c r="AD612" t="s">
        <v>49</v>
      </c>
      <c r="AE612" t="s">
        <v>49</v>
      </c>
      <c r="AF612" t="s">
        <v>49</v>
      </c>
      <c r="AG612" t="s">
        <v>49</v>
      </c>
      <c r="AH612" t="s">
        <v>48</v>
      </c>
      <c r="AI612" t="s">
        <v>48</v>
      </c>
      <c r="AJ612" t="s">
        <v>48</v>
      </c>
      <c r="AK612" t="s">
        <v>62</v>
      </c>
      <c r="AL612" t="s">
        <v>63</v>
      </c>
      <c r="AM612" t="s">
        <v>61</v>
      </c>
      <c r="AN612" t="s">
        <v>64</v>
      </c>
      <c r="AO612" t="s">
        <v>718</v>
      </c>
      <c r="AP612">
        <v>1</v>
      </c>
      <c r="AQ612" t="s">
        <v>66</v>
      </c>
      <c r="AR612" t="s">
        <v>131</v>
      </c>
      <c r="AS612">
        <v>2019</v>
      </c>
      <c r="AT612" t="s">
        <v>49</v>
      </c>
      <c r="AU612" t="s">
        <v>299</v>
      </c>
      <c r="AV612" t="s">
        <v>269</v>
      </c>
      <c r="AW612" t="s">
        <v>48</v>
      </c>
    </row>
    <row r="613" spans="1:49" x14ac:dyDescent="0.3">
      <c r="A613" t="s">
        <v>1740</v>
      </c>
      <c r="B613" t="s">
        <v>48</v>
      </c>
      <c r="C613" t="s">
        <v>49</v>
      </c>
      <c r="D613">
        <v>446.32</v>
      </c>
      <c r="E613">
        <v>1</v>
      </c>
      <c r="F613">
        <v>5.14</v>
      </c>
      <c r="G613" t="s">
        <v>1741</v>
      </c>
      <c r="H613" t="s">
        <v>1742</v>
      </c>
      <c r="I613" t="s">
        <v>52</v>
      </c>
      <c r="J613" t="s">
        <v>53</v>
      </c>
      <c r="K613">
        <v>2500</v>
      </c>
      <c r="L613" t="s">
        <v>126</v>
      </c>
      <c r="M613">
        <f>DOWNLOAD_2kLRbPnDtawQopEJ_UKtt22ud9U57gk8mqebZIeugNk[[#This Row],[Standard Value]]</f>
        <v>2500</v>
      </c>
      <c r="N613">
        <f>-LOG(DOWNLOAD_2kLRbPnDtawQopEJ_UKtt22ud9U57gk8mqebZIeugNk[[#This Row],[IC50]]*POWER(10, -9), 10)</f>
        <v>5.6020599913279616</v>
      </c>
      <c r="O613">
        <v>5.6</v>
      </c>
      <c r="P613" t="s">
        <v>48</v>
      </c>
      <c r="R613" t="s">
        <v>127</v>
      </c>
      <c r="S613">
        <v>12.55</v>
      </c>
      <c r="T613">
        <v>0.26</v>
      </c>
      <c r="U613">
        <v>0.46</v>
      </c>
      <c r="V613">
        <v>5.61</v>
      </c>
      <c r="W613">
        <v>0</v>
      </c>
      <c r="X613" t="s">
        <v>684</v>
      </c>
      <c r="Y613" t="s">
        <v>327</v>
      </c>
      <c r="Z613" t="s">
        <v>58</v>
      </c>
      <c r="AA613" t="s">
        <v>59</v>
      </c>
      <c r="AB613" t="s">
        <v>60</v>
      </c>
      <c r="AC613" t="s">
        <v>61</v>
      </c>
      <c r="AD613" t="s">
        <v>49</v>
      </c>
      <c r="AE613" t="s">
        <v>49</v>
      </c>
      <c r="AF613" t="s">
        <v>49</v>
      </c>
      <c r="AG613" t="s">
        <v>49</v>
      </c>
      <c r="AH613" t="s">
        <v>48</v>
      </c>
      <c r="AI613" t="s">
        <v>48</v>
      </c>
      <c r="AJ613" t="s">
        <v>48</v>
      </c>
      <c r="AK613" t="s">
        <v>62</v>
      </c>
      <c r="AL613" t="s">
        <v>63</v>
      </c>
      <c r="AM613" t="s">
        <v>61</v>
      </c>
      <c r="AN613" t="s">
        <v>64</v>
      </c>
      <c r="AO613" t="s">
        <v>685</v>
      </c>
      <c r="AP613">
        <v>1</v>
      </c>
      <c r="AQ613" t="s">
        <v>66</v>
      </c>
      <c r="AR613" t="s">
        <v>686</v>
      </c>
      <c r="AS613">
        <v>2020</v>
      </c>
      <c r="AT613" t="s">
        <v>49</v>
      </c>
      <c r="AU613" t="s">
        <v>299</v>
      </c>
      <c r="AV613" t="s">
        <v>269</v>
      </c>
      <c r="AW613" t="s">
        <v>48</v>
      </c>
    </row>
    <row r="614" spans="1:49" x14ac:dyDescent="0.3">
      <c r="A614" t="s">
        <v>1743</v>
      </c>
      <c r="B614" t="s">
        <v>48</v>
      </c>
      <c r="C614" t="s">
        <v>49</v>
      </c>
      <c r="D614">
        <v>572.59</v>
      </c>
      <c r="E614">
        <v>1</v>
      </c>
      <c r="F614">
        <v>1.91</v>
      </c>
      <c r="G614" t="s">
        <v>1744</v>
      </c>
      <c r="H614" t="s">
        <v>1745</v>
      </c>
      <c r="I614" t="s">
        <v>52</v>
      </c>
      <c r="J614" t="s">
        <v>53</v>
      </c>
      <c r="K614">
        <v>20000</v>
      </c>
      <c r="L614" t="s">
        <v>126</v>
      </c>
      <c r="M614">
        <f>DOWNLOAD_2kLRbPnDtawQopEJ_UKtt22ud9U57gk8mqebZIeugNk[[#This Row],[Standard Value]]</f>
        <v>20000</v>
      </c>
      <c r="N614">
        <f>-LOG(DOWNLOAD_2kLRbPnDtawQopEJ_UKtt22ud9U57gk8mqebZIeugNk[[#This Row],[IC50]]*POWER(10, -9), 10)</f>
        <v>4.6989700043360187</v>
      </c>
      <c r="O614">
        <v>4.7</v>
      </c>
      <c r="P614" t="s">
        <v>48</v>
      </c>
      <c r="Q614">
        <v>302787</v>
      </c>
      <c r="R614" t="s">
        <v>127</v>
      </c>
      <c r="S614">
        <v>8.2100000000000009</v>
      </c>
      <c r="T614">
        <v>0.16</v>
      </c>
      <c r="U614">
        <v>2.79</v>
      </c>
      <c r="V614">
        <v>3.21</v>
      </c>
      <c r="W614">
        <v>0</v>
      </c>
      <c r="X614" t="s">
        <v>251</v>
      </c>
      <c r="Y614" t="s">
        <v>252</v>
      </c>
      <c r="Z614" t="s">
        <v>58</v>
      </c>
      <c r="AA614" t="s">
        <v>59</v>
      </c>
      <c r="AB614" t="s">
        <v>60</v>
      </c>
      <c r="AC614" t="s">
        <v>61</v>
      </c>
      <c r="AD614" t="s">
        <v>49</v>
      </c>
      <c r="AE614" t="s">
        <v>49</v>
      </c>
      <c r="AF614" t="s">
        <v>49</v>
      </c>
      <c r="AG614" t="s">
        <v>49</v>
      </c>
      <c r="AH614" t="s">
        <v>48</v>
      </c>
      <c r="AI614" t="s">
        <v>48</v>
      </c>
      <c r="AJ614" t="s">
        <v>48</v>
      </c>
      <c r="AK614" t="s">
        <v>62</v>
      </c>
      <c r="AL614" t="s">
        <v>63</v>
      </c>
      <c r="AM614" t="s">
        <v>61</v>
      </c>
      <c r="AN614" t="s">
        <v>64</v>
      </c>
      <c r="AO614" t="s">
        <v>253</v>
      </c>
      <c r="AP614">
        <v>37</v>
      </c>
      <c r="AQ614" t="s">
        <v>254</v>
      </c>
      <c r="AR614" t="s">
        <v>48</v>
      </c>
      <c r="AS614">
        <v>2015</v>
      </c>
      <c r="AT614" t="s">
        <v>49</v>
      </c>
      <c r="AU614" t="s">
        <v>48</v>
      </c>
      <c r="AV614" t="s">
        <v>48</v>
      </c>
      <c r="AW614" t="s">
        <v>48</v>
      </c>
    </row>
    <row r="615" spans="1:49" x14ac:dyDescent="0.3">
      <c r="A615" t="s">
        <v>1746</v>
      </c>
      <c r="B615" t="s">
        <v>48</v>
      </c>
      <c r="C615" t="s">
        <v>49</v>
      </c>
      <c r="D615">
        <v>468.45</v>
      </c>
      <c r="E615">
        <v>0</v>
      </c>
      <c r="F615">
        <v>1.26</v>
      </c>
      <c r="G615" t="s">
        <v>1747</v>
      </c>
      <c r="H615" t="s">
        <v>1748</v>
      </c>
      <c r="I615" t="s">
        <v>52</v>
      </c>
      <c r="J615" t="s">
        <v>53</v>
      </c>
      <c r="K615">
        <v>500</v>
      </c>
      <c r="L615" t="s">
        <v>126</v>
      </c>
      <c r="M615">
        <f>DOWNLOAD_2kLRbPnDtawQopEJ_UKtt22ud9U57gk8mqebZIeugNk[[#This Row],[Standard Value]]</f>
        <v>500</v>
      </c>
      <c r="N615">
        <f>-LOG(DOWNLOAD_2kLRbPnDtawQopEJ_UKtt22ud9U57gk8mqebZIeugNk[[#This Row],[IC50]]*POWER(10, -9), 10)</f>
        <v>6.3010299956639804</v>
      </c>
      <c r="O615">
        <v>6.3</v>
      </c>
      <c r="P615" t="s">
        <v>48</v>
      </c>
      <c r="Q615">
        <v>302838</v>
      </c>
      <c r="R615" t="s">
        <v>127</v>
      </c>
      <c r="S615">
        <v>13.45</v>
      </c>
      <c r="T615">
        <v>0.25</v>
      </c>
      <c r="U615">
        <v>5.04</v>
      </c>
      <c r="V615">
        <v>4.79</v>
      </c>
      <c r="W615">
        <v>0</v>
      </c>
      <c r="X615" t="s">
        <v>251</v>
      </c>
      <c r="Y615" t="s">
        <v>252</v>
      </c>
      <c r="Z615" t="s">
        <v>58</v>
      </c>
      <c r="AA615" t="s">
        <v>59</v>
      </c>
      <c r="AB615" t="s">
        <v>60</v>
      </c>
      <c r="AC615" t="s">
        <v>61</v>
      </c>
      <c r="AD615" t="s">
        <v>49</v>
      </c>
      <c r="AE615" t="s">
        <v>49</v>
      </c>
      <c r="AF615" t="s">
        <v>49</v>
      </c>
      <c r="AG615" t="s">
        <v>49</v>
      </c>
      <c r="AH615" t="s">
        <v>48</v>
      </c>
      <c r="AI615" t="s">
        <v>48</v>
      </c>
      <c r="AJ615" t="s">
        <v>48</v>
      </c>
      <c r="AK615" t="s">
        <v>62</v>
      </c>
      <c r="AL615" t="s">
        <v>63</v>
      </c>
      <c r="AM615" t="s">
        <v>61</v>
      </c>
      <c r="AN615" t="s">
        <v>64</v>
      </c>
      <c r="AO615" t="s">
        <v>253</v>
      </c>
      <c r="AP615">
        <v>37</v>
      </c>
      <c r="AQ615" t="s">
        <v>254</v>
      </c>
      <c r="AR615" t="s">
        <v>48</v>
      </c>
      <c r="AS615">
        <v>2015</v>
      </c>
      <c r="AT615" t="s">
        <v>49</v>
      </c>
      <c r="AU615" t="s">
        <v>48</v>
      </c>
      <c r="AV615" t="s">
        <v>48</v>
      </c>
      <c r="AW615" t="s">
        <v>48</v>
      </c>
    </row>
    <row r="616" spans="1:49" x14ac:dyDescent="0.3">
      <c r="A616" t="s">
        <v>1749</v>
      </c>
      <c r="B616" t="s">
        <v>48</v>
      </c>
      <c r="C616" t="s">
        <v>49</v>
      </c>
      <c r="D616">
        <v>454.41</v>
      </c>
      <c r="E616">
        <v>0</v>
      </c>
      <c r="F616">
        <v>2.12</v>
      </c>
      <c r="G616" t="s">
        <v>1750</v>
      </c>
      <c r="H616" t="s">
        <v>1751</v>
      </c>
      <c r="I616" t="s">
        <v>52</v>
      </c>
      <c r="J616" t="s">
        <v>53</v>
      </c>
      <c r="K616">
        <v>700</v>
      </c>
      <c r="L616" t="s">
        <v>126</v>
      </c>
      <c r="M616">
        <f>DOWNLOAD_2kLRbPnDtawQopEJ_UKtt22ud9U57gk8mqebZIeugNk[[#This Row],[Standard Value]]</f>
        <v>700</v>
      </c>
      <c r="N616">
        <f>-LOG(DOWNLOAD_2kLRbPnDtawQopEJ_UKtt22ud9U57gk8mqebZIeugNk[[#This Row],[IC50]]*POWER(10, -9), 10)</f>
        <v>6.1549019599857431</v>
      </c>
      <c r="O616">
        <v>6.16</v>
      </c>
      <c r="P616" t="s">
        <v>48</v>
      </c>
      <c r="Q616">
        <v>302869</v>
      </c>
      <c r="R616" t="s">
        <v>127</v>
      </c>
      <c r="S616">
        <v>13.54</v>
      </c>
      <c r="T616">
        <v>0.25</v>
      </c>
      <c r="U616">
        <v>4.03</v>
      </c>
      <c r="V616">
        <v>4.8499999999999996</v>
      </c>
      <c r="W616">
        <v>0</v>
      </c>
      <c r="X616" t="s">
        <v>251</v>
      </c>
      <c r="Y616" t="s">
        <v>252</v>
      </c>
      <c r="Z616" t="s">
        <v>58</v>
      </c>
      <c r="AA616" t="s">
        <v>59</v>
      </c>
      <c r="AB616" t="s">
        <v>60</v>
      </c>
      <c r="AC616" t="s">
        <v>61</v>
      </c>
      <c r="AD616" t="s">
        <v>49</v>
      </c>
      <c r="AE616" t="s">
        <v>49</v>
      </c>
      <c r="AF616" t="s">
        <v>49</v>
      </c>
      <c r="AG616" t="s">
        <v>49</v>
      </c>
      <c r="AH616" t="s">
        <v>48</v>
      </c>
      <c r="AI616" t="s">
        <v>48</v>
      </c>
      <c r="AJ616" t="s">
        <v>48</v>
      </c>
      <c r="AK616" t="s">
        <v>62</v>
      </c>
      <c r="AL616" t="s">
        <v>63</v>
      </c>
      <c r="AM616" t="s">
        <v>61</v>
      </c>
      <c r="AN616" t="s">
        <v>64</v>
      </c>
      <c r="AO616" t="s">
        <v>253</v>
      </c>
      <c r="AP616">
        <v>37</v>
      </c>
      <c r="AQ616" t="s">
        <v>254</v>
      </c>
      <c r="AR616" t="s">
        <v>48</v>
      </c>
      <c r="AS616">
        <v>2015</v>
      </c>
      <c r="AT616" t="s">
        <v>49</v>
      </c>
      <c r="AU616" t="s">
        <v>48</v>
      </c>
      <c r="AV616" t="s">
        <v>48</v>
      </c>
      <c r="AW616" t="s">
        <v>48</v>
      </c>
    </row>
    <row r="617" spans="1:49" x14ac:dyDescent="0.3">
      <c r="A617" t="s">
        <v>1752</v>
      </c>
      <c r="B617" t="s">
        <v>48</v>
      </c>
      <c r="C617" t="s">
        <v>49</v>
      </c>
      <c r="D617">
        <v>563.96</v>
      </c>
      <c r="E617">
        <v>1</v>
      </c>
      <c r="F617">
        <v>1.57</v>
      </c>
      <c r="G617" t="s">
        <v>1753</v>
      </c>
      <c r="H617" t="s">
        <v>1754</v>
      </c>
      <c r="I617" t="s">
        <v>52</v>
      </c>
      <c r="J617" t="s">
        <v>53</v>
      </c>
      <c r="K617">
        <v>13000</v>
      </c>
      <c r="L617" t="s">
        <v>126</v>
      </c>
      <c r="M617">
        <f>DOWNLOAD_2kLRbPnDtawQopEJ_UKtt22ud9U57gk8mqebZIeugNk[[#This Row],[Standard Value]]</f>
        <v>13000</v>
      </c>
      <c r="N617">
        <f>-LOG(DOWNLOAD_2kLRbPnDtawQopEJ_UKtt22ud9U57gk8mqebZIeugNk[[#This Row],[IC50]]*POWER(10, -9), 10)</f>
        <v>4.8860566476931631</v>
      </c>
      <c r="O617">
        <v>4.8899999999999997</v>
      </c>
      <c r="P617" t="s">
        <v>48</v>
      </c>
      <c r="Q617">
        <v>302905</v>
      </c>
      <c r="R617" t="s">
        <v>127</v>
      </c>
      <c r="S617">
        <v>8.66</v>
      </c>
      <c r="T617">
        <v>0.17</v>
      </c>
      <c r="U617">
        <v>3.32</v>
      </c>
      <c r="V617">
        <v>2.72</v>
      </c>
      <c r="W617">
        <v>0</v>
      </c>
      <c r="X617" t="s">
        <v>251</v>
      </c>
      <c r="Y617" t="s">
        <v>252</v>
      </c>
      <c r="Z617" t="s">
        <v>58</v>
      </c>
      <c r="AA617" t="s">
        <v>59</v>
      </c>
      <c r="AB617" t="s">
        <v>60</v>
      </c>
      <c r="AC617" t="s">
        <v>61</v>
      </c>
      <c r="AD617" t="s">
        <v>49</v>
      </c>
      <c r="AE617" t="s">
        <v>49</v>
      </c>
      <c r="AF617" t="s">
        <v>49</v>
      </c>
      <c r="AG617" t="s">
        <v>49</v>
      </c>
      <c r="AH617" t="s">
        <v>48</v>
      </c>
      <c r="AI617" t="s">
        <v>48</v>
      </c>
      <c r="AJ617" t="s">
        <v>48</v>
      </c>
      <c r="AK617" t="s">
        <v>62</v>
      </c>
      <c r="AL617" t="s">
        <v>63</v>
      </c>
      <c r="AM617" t="s">
        <v>61</v>
      </c>
      <c r="AN617" t="s">
        <v>64</v>
      </c>
      <c r="AO617" t="s">
        <v>253</v>
      </c>
      <c r="AP617">
        <v>37</v>
      </c>
      <c r="AQ617" t="s">
        <v>254</v>
      </c>
      <c r="AR617" t="s">
        <v>48</v>
      </c>
      <c r="AS617">
        <v>2015</v>
      </c>
      <c r="AT617" t="s">
        <v>49</v>
      </c>
      <c r="AU617" t="s">
        <v>48</v>
      </c>
      <c r="AV617" t="s">
        <v>48</v>
      </c>
      <c r="AW617" t="s">
        <v>48</v>
      </c>
    </row>
    <row r="618" spans="1:49" x14ac:dyDescent="0.3">
      <c r="A618" t="s">
        <v>1755</v>
      </c>
      <c r="B618" t="s">
        <v>48</v>
      </c>
      <c r="C618" t="s">
        <v>49</v>
      </c>
      <c r="D618">
        <v>384.42</v>
      </c>
      <c r="E618">
        <v>0</v>
      </c>
      <c r="F618">
        <v>1.93</v>
      </c>
      <c r="G618" t="s">
        <v>829</v>
      </c>
      <c r="H618" t="s">
        <v>1756</v>
      </c>
      <c r="I618" t="s">
        <v>52</v>
      </c>
      <c r="J618" t="s">
        <v>53</v>
      </c>
      <c r="K618">
        <v>7700</v>
      </c>
      <c r="L618" t="s">
        <v>126</v>
      </c>
      <c r="M618">
        <f>DOWNLOAD_2kLRbPnDtawQopEJ_UKtt22ud9U57gk8mqebZIeugNk[[#This Row],[Standard Value]]</f>
        <v>7700</v>
      </c>
      <c r="N618">
        <f>-LOG(DOWNLOAD_2kLRbPnDtawQopEJ_UKtt22ud9U57gk8mqebZIeugNk[[#This Row],[IC50]]*POWER(10, -9), 10)</f>
        <v>5.1135092748275177</v>
      </c>
      <c r="O618">
        <v>5.1100000000000003</v>
      </c>
      <c r="P618" t="s">
        <v>48</v>
      </c>
      <c r="R618" t="s">
        <v>127</v>
      </c>
      <c r="S618">
        <v>13.3</v>
      </c>
      <c r="T618">
        <v>0.26</v>
      </c>
      <c r="U618">
        <v>3.18</v>
      </c>
      <c r="V618">
        <v>4.12</v>
      </c>
      <c r="W618">
        <v>0</v>
      </c>
      <c r="X618" t="s">
        <v>144</v>
      </c>
      <c r="Y618" t="s">
        <v>145</v>
      </c>
      <c r="Z618" t="s">
        <v>58</v>
      </c>
      <c r="AA618" t="s">
        <v>59</v>
      </c>
      <c r="AB618" t="s">
        <v>60</v>
      </c>
      <c r="AC618" t="s">
        <v>61</v>
      </c>
      <c r="AD618" t="s">
        <v>49</v>
      </c>
      <c r="AE618" t="s">
        <v>49</v>
      </c>
      <c r="AF618" t="s">
        <v>49</v>
      </c>
      <c r="AG618" t="s">
        <v>49</v>
      </c>
      <c r="AH618" t="s">
        <v>48</v>
      </c>
      <c r="AI618" t="s">
        <v>48</v>
      </c>
      <c r="AJ618" t="s">
        <v>48</v>
      </c>
      <c r="AK618" t="s">
        <v>62</v>
      </c>
      <c r="AL618" t="s">
        <v>63</v>
      </c>
      <c r="AM618" t="s">
        <v>61</v>
      </c>
      <c r="AN618" t="s">
        <v>64</v>
      </c>
      <c r="AO618" t="s">
        <v>146</v>
      </c>
      <c r="AP618">
        <v>1</v>
      </c>
      <c r="AQ618" t="s">
        <v>66</v>
      </c>
      <c r="AR618" t="s">
        <v>67</v>
      </c>
      <c r="AS618">
        <v>2015</v>
      </c>
      <c r="AT618" t="s">
        <v>49</v>
      </c>
      <c r="AU618" t="s">
        <v>48</v>
      </c>
      <c r="AV618" t="s">
        <v>48</v>
      </c>
      <c r="AW618" t="s">
        <v>48</v>
      </c>
    </row>
    <row r="619" spans="1:49" x14ac:dyDescent="0.3">
      <c r="A619" t="s">
        <v>1757</v>
      </c>
      <c r="B619" t="s">
        <v>48</v>
      </c>
      <c r="C619" t="s">
        <v>49</v>
      </c>
      <c r="D619">
        <v>434.16</v>
      </c>
      <c r="E619">
        <v>0</v>
      </c>
      <c r="F619">
        <v>3.11</v>
      </c>
      <c r="G619" t="s">
        <v>405</v>
      </c>
      <c r="H619" t="s">
        <v>1758</v>
      </c>
      <c r="I619" t="s">
        <v>52</v>
      </c>
      <c r="J619" t="s">
        <v>53</v>
      </c>
      <c r="K619">
        <v>120000</v>
      </c>
      <c r="L619" t="s">
        <v>126</v>
      </c>
      <c r="M619">
        <f>DOWNLOAD_2kLRbPnDtawQopEJ_UKtt22ud9U57gk8mqebZIeugNk[[#This Row],[Standard Value]]</f>
        <v>120000</v>
      </c>
      <c r="N619">
        <f>-LOG(DOWNLOAD_2kLRbPnDtawQopEJ_UKtt22ud9U57gk8mqebZIeugNk[[#This Row],[IC50]]*POWER(10, -9), 10)</f>
        <v>3.9208187539523749</v>
      </c>
      <c r="P619" t="s">
        <v>72</v>
      </c>
      <c r="R619" t="s">
        <v>127</v>
      </c>
      <c r="W619">
        <v>0</v>
      </c>
      <c r="X619" t="s">
        <v>144</v>
      </c>
      <c r="Y619" t="s">
        <v>145</v>
      </c>
      <c r="Z619" t="s">
        <v>58</v>
      </c>
      <c r="AA619" t="s">
        <v>59</v>
      </c>
      <c r="AB619" t="s">
        <v>60</v>
      </c>
      <c r="AC619" t="s">
        <v>61</v>
      </c>
      <c r="AD619" t="s">
        <v>49</v>
      </c>
      <c r="AE619" t="s">
        <v>49</v>
      </c>
      <c r="AF619" t="s">
        <v>49</v>
      </c>
      <c r="AG619" t="s">
        <v>49</v>
      </c>
      <c r="AH619" t="s">
        <v>48</v>
      </c>
      <c r="AI619" t="s">
        <v>48</v>
      </c>
      <c r="AJ619" t="s">
        <v>48</v>
      </c>
      <c r="AK619" t="s">
        <v>62</v>
      </c>
      <c r="AL619" t="s">
        <v>63</v>
      </c>
      <c r="AM619" t="s">
        <v>61</v>
      </c>
      <c r="AN619" t="s">
        <v>64</v>
      </c>
      <c r="AO619" t="s">
        <v>146</v>
      </c>
      <c r="AP619">
        <v>1</v>
      </c>
      <c r="AQ619" t="s">
        <v>66</v>
      </c>
      <c r="AR619" t="s">
        <v>67</v>
      </c>
      <c r="AS619">
        <v>2015</v>
      </c>
      <c r="AT619" t="s">
        <v>49</v>
      </c>
      <c r="AU619" t="s">
        <v>48</v>
      </c>
      <c r="AV619" t="s">
        <v>48</v>
      </c>
      <c r="AW619" t="s">
        <v>48</v>
      </c>
    </row>
    <row r="620" spans="1:49" x14ac:dyDescent="0.3">
      <c r="A620" t="s">
        <v>1759</v>
      </c>
      <c r="B620" t="s">
        <v>48</v>
      </c>
      <c r="C620" t="s">
        <v>49</v>
      </c>
      <c r="D620">
        <v>432.41</v>
      </c>
      <c r="E620">
        <v>0</v>
      </c>
      <c r="F620">
        <v>1</v>
      </c>
      <c r="G620" t="s">
        <v>1760</v>
      </c>
      <c r="H620" t="s">
        <v>1761</v>
      </c>
      <c r="I620" t="s">
        <v>52</v>
      </c>
      <c r="J620" t="s">
        <v>53</v>
      </c>
      <c r="K620">
        <v>1600</v>
      </c>
      <c r="L620" t="s">
        <v>126</v>
      </c>
      <c r="M620">
        <f>DOWNLOAD_2kLRbPnDtawQopEJ_UKtt22ud9U57gk8mqebZIeugNk[[#This Row],[Standard Value]]</f>
        <v>1600</v>
      </c>
      <c r="N620">
        <f>-LOG(DOWNLOAD_2kLRbPnDtawQopEJ_UKtt22ud9U57gk8mqebZIeugNk[[#This Row],[IC50]]*POWER(10, -9), 10)</f>
        <v>5.795880017344075</v>
      </c>
      <c r="O620">
        <v>5.8</v>
      </c>
      <c r="P620" t="s">
        <v>48</v>
      </c>
      <c r="R620" t="s">
        <v>127</v>
      </c>
      <c r="S620">
        <v>13.4</v>
      </c>
      <c r="T620">
        <v>0.26</v>
      </c>
      <c r="U620">
        <v>4.8</v>
      </c>
      <c r="V620">
        <v>4.71</v>
      </c>
      <c r="W620">
        <v>0</v>
      </c>
      <c r="X620" t="s">
        <v>519</v>
      </c>
      <c r="Y620" t="s">
        <v>520</v>
      </c>
      <c r="Z620" t="s">
        <v>58</v>
      </c>
      <c r="AA620" t="s">
        <v>59</v>
      </c>
      <c r="AB620" t="s">
        <v>60</v>
      </c>
      <c r="AC620" t="s">
        <v>61</v>
      </c>
      <c r="AD620" t="s">
        <v>49</v>
      </c>
      <c r="AE620" t="s">
        <v>49</v>
      </c>
      <c r="AF620" t="s">
        <v>49</v>
      </c>
      <c r="AG620" t="s">
        <v>49</v>
      </c>
      <c r="AH620" t="s">
        <v>48</v>
      </c>
      <c r="AI620" t="s">
        <v>48</v>
      </c>
      <c r="AJ620" t="s">
        <v>48</v>
      </c>
      <c r="AK620" t="s">
        <v>62</v>
      </c>
      <c r="AL620" t="s">
        <v>63</v>
      </c>
      <c r="AM620" t="s">
        <v>61</v>
      </c>
      <c r="AN620" t="s">
        <v>64</v>
      </c>
      <c r="AO620" t="s">
        <v>521</v>
      </c>
      <c r="AP620">
        <v>1</v>
      </c>
      <c r="AQ620" t="s">
        <v>66</v>
      </c>
      <c r="AR620" t="s">
        <v>67</v>
      </c>
      <c r="AS620">
        <v>2014</v>
      </c>
      <c r="AT620" t="s">
        <v>49</v>
      </c>
      <c r="AU620" t="s">
        <v>48</v>
      </c>
      <c r="AV620" t="s">
        <v>48</v>
      </c>
      <c r="AW620" t="s">
        <v>48</v>
      </c>
    </row>
    <row r="621" spans="1:49" x14ac:dyDescent="0.3">
      <c r="A621" t="s">
        <v>461</v>
      </c>
      <c r="B621" t="s">
        <v>462</v>
      </c>
      <c r="C621" t="s">
        <v>112</v>
      </c>
      <c r="D621">
        <v>232.24</v>
      </c>
      <c r="E621">
        <v>0</v>
      </c>
      <c r="F621">
        <v>1.42</v>
      </c>
      <c r="G621" t="s">
        <v>1762</v>
      </c>
      <c r="H621" t="s">
        <v>464</v>
      </c>
      <c r="I621" t="s">
        <v>52</v>
      </c>
      <c r="J621" t="s">
        <v>53</v>
      </c>
      <c r="K621">
        <v>100000</v>
      </c>
      <c r="L621" t="s">
        <v>126</v>
      </c>
      <c r="M621">
        <f>DOWNLOAD_2kLRbPnDtawQopEJ_UKtt22ud9U57gk8mqebZIeugNk[[#This Row],[Standard Value]]</f>
        <v>100000</v>
      </c>
      <c r="N621">
        <f>-LOG(DOWNLOAD_2kLRbPnDtawQopEJ_UKtt22ud9U57gk8mqebZIeugNk[[#This Row],[IC50]]*POWER(10, -9), 10)</f>
        <v>3.9999999999999991</v>
      </c>
      <c r="O621">
        <v>4</v>
      </c>
      <c r="P621" t="s">
        <v>48</v>
      </c>
      <c r="R621" t="s">
        <v>127</v>
      </c>
      <c r="S621">
        <v>17.22</v>
      </c>
      <c r="T621">
        <v>0.32</v>
      </c>
      <c r="U621">
        <v>2.58</v>
      </c>
      <c r="V621">
        <v>5.54</v>
      </c>
      <c r="W621">
        <v>0</v>
      </c>
      <c r="X621" t="s">
        <v>590</v>
      </c>
      <c r="Y621" t="s">
        <v>591</v>
      </c>
      <c r="Z621" t="s">
        <v>58</v>
      </c>
      <c r="AA621" t="s">
        <v>59</v>
      </c>
      <c r="AB621" t="s">
        <v>60</v>
      </c>
      <c r="AC621" t="s">
        <v>61</v>
      </c>
      <c r="AD621" t="s">
        <v>49</v>
      </c>
      <c r="AE621" t="s">
        <v>49</v>
      </c>
      <c r="AF621" t="s">
        <v>49</v>
      </c>
      <c r="AG621" t="s">
        <v>49</v>
      </c>
      <c r="AH621" t="s">
        <v>48</v>
      </c>
      <c r="AI621" t="s">
        <v>48</v>
      </c>
      <c r="AJ621" t="s">
        <v>48</v>
      </c>
      <c r="AK621" t="s">
        <v>62</v>
      </c>
      <c r="AL621" t="s">
        <v>63</v>
      </c>
      <c r="AM621" t="s">
        <v>61</v>
      </c>
      <c r="AN621" t="s">
        <v>64</v>
      </c>
      <c r="AO621" t="s">
        <v>592</v>
      </c>
      <c r="AP621">
        <v>1</v>
      </c>
      <c r="AQ621" t="s">
        <v>66</v>
      </c>
      <c r="AR621" t="s">
        <v>67</v>
      </c>
      <c r="AS621">
        <v>2014</v>
      </c>
      <c r="AT621" t="s">
        <v>49</v>
      </c>
      <c r="AU621" t="s">
        <v>48</v>
      </c>
      <c r="AV621" t="s">
        <v>48</v>
      </c>
      <c r="AW621" t="s">
        <v>48</v>
      </c>
    </row>
    <row r="622" spans="1:49" x14ac:dyDescent="0.3">
      <c r="A622" t="s">
        <v>1763</v>
      </c>
      <c r="B622" t="s">
        <v>48</v>
      </c>
      <c r="C622" t="s">
        <v>49</v>
      </c>
      <c r="D622">
        <v>322.45</v>
      </c>
      <c r="E622">
        <v>1</v>
      </c>
      <c r="F622">
        <v>5.07</v>
      </c>
      <c r="G622" t="s">
        <v>1764</v>
      </c>
      <c r="H622" t="s">
        <v>1765</v>
      </c>
      <c r="I622" t="s">
        <v>52</v>
      </c>
      <c r="J622" t="s">
        <v>71</v>
      </c>
      <c r="K622">
        <v>1000000</v>
      </c>
      <c r="L622" t="s">
        <v>126</v>
      </c>
      <c r="M622">
        <f>DOWNLOAD_2kLRbPnDtawQopEJ_UKtt22ud9U57gk8mqebZIeugNk[[#This Row],[Standard Value]]</f>
        <v>1000000</v>
      </c>
      <c r="N622">
        <f>-LOG(DOWNLOAD_2kLRbPnDtawQopEJ_UKtt22ud9U57gk8mqebZIeugNk[[#This Row],[IC50]]*POWER(10, -9), 10)</f>
        <v>2.9999999999999996</v>
      </c>
      <c r="P622" t="s">
        <v>72</v>
      </c>
      <c r="R622" t="s">
        <v>127</v>
      </c>
      <c r="W622">
        <v>0</v>
      </c>
      <c r="X622" t="s">
        <v>590</v>
      </c>
      <c r="Y622" t="s">
        <v>591</v>
      </c>
      <c r="Z622" t="s">
        <v>58</v>
      </c>
      <c r="AA622" t="s">
        <v>59</v>
      </c>
      <c r="AB622" t="s">
        <v>60</v>
      </c>
      <c r="AC622" t="s">
        <v>61</v>
      </c>
      <c r="AD622" t="s">
        <v>49</v>
      </c>
      <c r="AE622" t="s">
        <v>49</v>
      </c>
      <c r="AF622" t="s">
        <v>49</v>
      </c>
      <c r="AG622" t="s">
        <v>49</v>
      </c>
      <c r="AH622" t="s">
        <v>48</v>
      </c>
      <c r="AI622" t="s">
        <v>48</v>
      </c>
      <c r="AJ622" t="s">
        <v>48</v>
      </c>
      <c r="AK622" t="s">
        <v>62</v>
      </c>
      <c r="AL622" t="s">
        <v>63</v>
      </c>
      <c r="AM622" t="s">
        <v>61</v>
      </c>
      <c r="AN622" t="s">
        <v>64</v>
      </c>
      <c r="AO622" t="s">
        <v>592</v>
      </c>
      <c r="AP622">
        <v>1</v>
      </c>
      <c r="AQ622" t="s">
        <v>66</v>
      </c>
      <c r="AR622" t="s">
        <v>67</v>
      </c>
      <c r="AS622">
        <v>2014</v>
      </c>
      <c r="AT622" t="s">
        <v>49</v>
      </c>
      <c r="AU622" t="s">
        <v>48</v>
      </c>
      <c r="AV622" t="s">
        <v>48</v>
      </c>
      <c r="AW622" t="s">
        <v>48</v>
      </c>
    </row>
    <row r="623" spans="1:49" x14ac:dyDescent="0.3">
      <c r="A623" t="s">
        <v>1766</v>
      </c>
      <c r="B623" t="s">
        <v>48</v>
      </c>
      <c r="C623" t="s">
        <v>49</v>
      </c>
      <c r="D623">
        <v>402.38</v>
      </c>
      <c r="E623">
        <v>0</v>
      </c>
      <c r="F623">
        <v>1.17</v>
      </c>
      <c r="G623" t="s">
        <v>1767</v>
      </c>
      <c r="H623" t="s">
        <v>1768</v>
      </c>
      <c r="I623" t="s">
        <v>52</v>
      </c>
      <c r="J623" t="s">
        <v>53</v>
      </c>
      <c r="K623">
        <v>26</v>
      </c>
      <c r="L623" t="s">
        <v>126</v>
      </c>
      <c r="M623">
        <f>DOWNLOAD_2kLRbPnDtawQopEJ_UKtt22ud9U57gk8mqebZIeugNk[[#This Row],[Standard Value]]</f>
        <v>26</v>
      </c>
      <c r="N623">
        <f>-LOG(DOWNLOAD_2kLRbPnDtawQopEJ_UKtt22ud9U57gk8mqebZIeugNk[[#This Row],[IC50]]*POWER(10, -9), 10)</f>
        <v>7.5850266520291818</v>
      </c>
      <c r="O623">
        <v>7.58</v>
      </c>
      <c r="P623" t="s">
        <v>48</v>
      </c>
      <c r="R623" t="s">
        <v>127</v>
      </c>
      <c r="S623">
        <v>18.850000000000001</v>
      </c>
      <c r="T623">
        <v>0.36</v>
      </c>
      <c r="U623">
        <v>6.42</v>
      </c>
      <c r="V623">
        <v>6.67</v>
      </c>
      <c r="W623">
        <v>0</v>
      </c>
      <c r="X623" t="s">
        <v>519</v>
      </c>
      <c r="Y623" t="s">
        <v>520</v>
      </c>
      <c r="Z623" t="s">
        <v>58</v>
      </c>
      <c r="AA623" t="s">
        <v>59</v>
      </c>
      <c r="AB623" t="s">
        <v>60</v>
      </c>
      <c r="AC623" t="s">
        <v>61</v>
      </c>
      <c r="AD623" t="s">
        <v>49</v>
      </c>
      <c r="AE623" t="s">
        <v>49</v>
      </c>
      <c r="AF623" t="s">
        <v>49</v>
      </c>
      <c r="AG623" t="s">
        <v>49</v>
      </c>
      <c r="AH623" t="s">
        <v>48</v>
      </c>
      <c r="AI623" t="s">
        <v>48</v>
      </c>
      <c r="AJ623" t="s">
        <v>48</v>
      </c>
      <c r="AK623" t="s">
        <v>62</v>
      </c>
      <c r="AL623" t="s">
        <v>63</v>
      </c>
      <c r="AM623" t="s">
        <v>61</v>
      </c>
      <c r="AN623" t="s">
        <v>64</v>
      </c>
      <c r="AO623" t="s">
        <v>521</v>
      </c>
      <c r="AP623">
        <v>1</v>
      </c>
      <c r="AQ623" t="s">
        <v>66</v>
      </c>
      <c r="AR623" t="s">
        <v>67</v>
      </c>
      <c r="AS623">
        <v>2014</v>
      </c>
      <c r="AT623" t="s">
        <v>49</v>
      </c>
      <c r="AU623" t="s">
        <v>48</v>
      </c>
      <c r="AV623" t="s">
        <v>48</v>
      </c>
      <c r="AW623" t="s">
        <v>48</v>
      </c>
    </row>
    <row r="624" spans="1:49" x14ac:dyDescent="0.3">
      <c r="A624" t="s">
        <v>1769</v>
      </c>
      <c r="B624" t="s">
        <v>48</v>
      </c>
      <c r="C624" t="s">
        <v>49</v>
      </c>
      <c r="D624">
        <v>220.66</v>
      </c>
      <c r="E624">
        <v>0</v>
      </c>
      <c r="F624">
        <v>3.84</v>
      </c>
      <c r="G624" t="s">
        <v>720</v>
      </c>
      <c r="H624" t="s">
        <v>1770</v>
      </c>
      <c r="I624" t="s">
        <v>52</v>
      </c>
      <c r="J624" t="s">
        <v>53</v>
      </c>
      <c r="K624">
        <v>270000</v>
      </c>
      <c r="L624" t="s">
        <v>126</v>
      </c>
      <c r="M624">
        <f>DOWNLOAD_2kLRbPnDtawQopEJ_UKtt22ud9U57gk8mqebZIeugNk[[#This Row],[Standard Value]]</f>
        <v>270000</v>
      </c>
      <c r="N624">
        <f>-LOG(DOWNLOAD_2kLRbPnDtawQopEJ_UKtt22ud9U57gk8mqebZIeugNk[[#This Row],[IC50]]*POWER(10, -9), 10)</f>
        <v>3.5686362358410122</v>
      </c>
      <c r="O624">
        <v>3.57</v>
      </c>
      <c r="P624" t="s">
        <v>48</v>
      </c>
      <c r="R624" t="s">
        <v>127</v>
      </c>
      <c r="S624">
        <v>16.170000000000002</v>
      </c>
      <c r="T624">
        <v>0.32</v>
      </c>
      <c r="U624">
        <v>-0.27</v>
      </c>
      <c r="V624">
        <v>12.11</v>
      </c>
      <c r="W624">
        <v>0</v>
      </c>
      <c r="X624" t="s">
        <v>774</v>
      </c>
      <c r="Y624" t="s">
        <v>775</v>
      </c>
      <c r="Z624" t="s">
        <v>58</v>
      </c>
      <c r="AA624" t="s">
        <v>59</v>
      </c>
      <c r="AB624" t="s">
        <v>60</v>
      </c>
      <c r="AC624" t="s">
        <v>61</v>
      </c>
      <c r="AD624" t="s">
        <v>49</v>
      </c>
      <c r="AE624" t="s">
        <v>49</v>
      </c>
      <c r="AF624" t="s">
        <v>49</v>
      </c>
      <c r="AG624" t="s">
        <v>49</v>
      </c>
      <c r="AH624" t="s">
        <v>48</v>
      </c>
      <c r="AI624" t="s">
        <v>48</v>
      </c>
      <c r="AJ624" t="s">
        <v>48</v>
      </c>
      <c r="AK624" t="s">
        <v>62</v>
      </c>
      <c r="AL624" t="s">
        <v>63</v>
      </c>
      <c r="AM624" t="s">
        <v>61</v>
      </c>
      <c r="AN624" t="s">
        <v>64</v>
      </c>
      <c r="AO624" t="s">
        <v>776</v>
      </c>
      <c r="AP624">
        <v>1</v>
      </c>
      <c r="AQ624" t="s">
        <v>66</v>
      </c>
      <c r="AR624" t="s">
        <v>329</v>
      </c>
      <c r="AS624">
        <v>2018</v>
      </c>
      <c r="AT624" t="s">
        <v>49</v>
      </c>
      <c r="AU624" t="s">
        <v>48</v>
      </c>
      <c r="AV624" t="s">
        <v>48</v>
      </c>
      <c r="AW624" t="s">
        <v>48</v>
      </c>
    </row>
    <row r="625" spans="1:49" x14ac:dyDescent="0.3">
      <c r="A625" t="s">
        <v>281</v>
      </c>
      <c r="B625" t="s">
        <v>282</v>
      </c>
      <c r="C625" t="s">
        <v>112</v>
      </c>
      <c r="D625">
        <v>331.35</v>
      </c>
      <c r="E625">
        <v>0</v>
      </c>
      <c r="F625">
        <v>1.58</v>
      </c>
      <c r="G625" t="s">
        <v>283</v>
      </c>
      <c r="H625" t="s">
        <v>284</v>
      </c>
      <c r="I625" t="s">
        <v>52</v>
      </c>
      <c r="J625" t="s">
        <v>53</v>
      </c>
      <c r="K625">
        <v>500</v>
      </c>
      <c r="L625" t="s">
        <v>126</v>
      </c>
      <c r="M625">
        <f>DOWNLOAD_2kLRbPnDtawQopEJ_UKtt22ud9U57gk8mqebZIeugNk[[#This Row],[Standard Value]]</f>
        <v>500</v>
      </c>
      <c r="N625">
        <f>-LOG(DOWNLOAD_2kLRbPnDtawQopEJ_UKtt22ud9U57gk8mqebZIeugNk[[#This Row],[IC50]]*POWER(10, -9), 10)</f>
        <v>6.3010299956639804</v>
      </c>
      <c r="O625">
        <v>6.3</v>
      </c>
      <c r="P625" t="s">
        <v>48</v>
      </c>
      <c r="R625" t="s">
        <v>127</v>
      </c>
      <c r="S625">
        <v>19.02</v>
      </c>
      <c r="T625">
        <v>0.36</v>
      </c>
      <c r="U625">
        <v>4.72</v>
      </c>
      <c r="V625">
        <v>8.4499999999999993</v>
      </c>
      <c r="W625">
        <v>1</v>
      </c>
      <c r="X625" t="s">
        <v>645</v>
      </c>
      <c r="Y625" t="s">
        <v>646</v>
      </c>
      <c r="Z625" t="s">
        <v>58</v>
      </c>
      <c r="AA625" t="s">
        <v>59</v>
      </c>
      <c r="AB625" t="s">
        <v>60</v>
      </c>
      <c r="AC625" t="s">
        <v>61</v>
      </c>
      <c r="AD625" t="s">
        <v>49</v>
      </c>
      <c r="AE625" t="s">
        <v>49</v>
      </c>
      <c r="AF625" t="s">
        <v>49</v>
      </c>
      <c r="AG625" t="s">
        <v>49</v>
      </c>
      <c r="AH625" t="s">
        <v>48</v>
      </c>
      <c r="AI625" t="s">
        <v>48</v>
      </c>
      <c r="AJ625" t="s">
        <v>647</v>
      </c>
      <c r="AK625" t="s">
        <v>62</v>
      </c>
      <c r="AL625" t="s">
        <v>63</v>
      </c>
      <c r="AM625" t="s">
        <v>61</v>
      </c>
      <c r="AN625" t="s">
        <v>64</v>
      </c>
      <c r="AO625" t="s">
        <v>648</v>
      </c>
      <c r="AP625">
        <v>1</v>
      </c>
      <c r="AQ625" t="s">
        <v>66</v>
      </c>
      <c r="AR625" t="s">
        <v>329</v>
      </c>
      <c r="AS625">
        <v>2016</v>
      </c>
      <c r="AT625" t="s">
        <v>49</v>
      </c>
      <c r="AU625" t="s">
        <v>48</v>
      </c>
      <c r="AV625" t="s">
        <v>48</v>
      </c>
      <c r="AW625" t="s">
        <v>48</v>
      </c>
    </row>
    <row r="626" spans="1:49" x14ac:dyDescent="0.3">
      <c r="A626" t="s">
        <v>1771</v>
      </c>
      <c r="B626" t="s">
        <v>48</v>
      </c>
      <c r="C626" t="s">
        <v>49</v>
      </c>
      <c r="D626">
        <v>454.51</v>
      </c>
      <c r="E626">
        <v>0</v>
      </c>
      <c r="F626">
        <v>4.1100000000000003</v>
      </c>
      <c r="G626" t="s">
        <v>643</v>
      </c>
      <c r="H626" t="s">
        <v>1772</v>
      </c>
      <c r="I626" t="s">
        <v>52</v>
      </c>
      <c r="J626" t="s">
        <v>53</v>
      </c>
      <c r="K626">
        <v>170</v>
      </c>
      <c r="L626" t="s">
        <v>126</v>
      </c>
      <c r="M626">
        <f>DOWNLOAD_2kLRbPnDtawQopEJ_UKtt22ud9U57gk8mqebZIeugNk[[#This Row],[Standard Value]]</f>
        <v>170</v>
      </c>
      <c r="N626">
        <f>-LOG(DOWNLOAD_2kLRbPnDtawQopEJ_UKtt22ud9U57gk8mqebZIeugNk[[#This Row],[IC50]]*POWER(10, -9), 10)</f>
        <v>6.7695510786217259</v>
      </c>
      <c r="O626">
        <v>6.77</v>
      </c>
      <c r="P626" t="s">
        <v>48</v>
      </c>
      <c r="R626" t="s">
        <v>127</v>
      </c>
      <c r="S626">
        <v>14.89</v>
      </c>
      <c r="T626">
        <v>0.3</v>
      </c>
      <c r="U626">
        <v>2.66</v>
      </c>
      <c r="V626">
        <v>11.54</v>
      </c>
      <c r="W626">
        <v>0</v>
      </c>
      <c r="X626" t="s">
        <v>1330</v>
      </c>
      <c r="Y626" t="s">
        <v>1331</v>
      </c>
      <c r="Z626" t="s">
        <v>58</v>
      </c>
      <c r="AA626" t="s">
        <v>59</v>
      </c>
      <c r="AB626" t="s">
        <v>60</v>
      </c>
      <c r="AC626" t="s">
        <v>61</v>
      </c>
      <c r="AD626" t="s">
        <v>49</v>
      </c>
      <c r="AE626" t="s">
        <v>49</v>
      </c>
      <c r="AF626" t="s">
        <v>49</v>
      </c>
      <c r="AG626" t="s">
        <v>49</v>
      </c>
      <c r="AH626" t="s">
        <v>48</v>
      </c>
      <c r="AI626" t="s">
        <v>48</v>
      </c>
      <c r="AJ626" t="s">
        <v>48</v>
      </c>
      <c r="AK626" t="s">
        <v>62</v>
      </c>
      <c r="AL626" t="s">
        <v>63</v>
      </c>
      <c r="AM626" t="s">
        <v>61</v>
      </c>
      <c r="AN626" t="s">
        <v>64</v>
      </c>
      <c r="AO626" t="s">
        <v>1332</v>
      </c>
      <c r="AP626">
        <v>1</v>
      </c>
      <c r="AQ626" t="s">
        <v>66</v>
      </c>
      <c r="AR626" t="s">
        <v>329</v>
      </c>
      <c r="AS626">
        <v>2017</v>
      </c>
      <c r="AT626" t="s">
        <v>49</v>
      </c>
      <c r="AU626" t="s">
        <v>48</v>
      </c>
      <c r="AV626" t="s">
        <v>48</v>
      </c>
      <c r="AW626" t="s">
        <v>48</v>
      </c>
    </row>
    <row r="627" spans="1:49" x14ac:dyDescent="0.3">
      <c r="A627" t="s">
        <v>1773</v>
      </c>
      <c r="B627" t="s">
        <v>48</v>
      </c>
      <c r="C627" t="s">
        <v>49</v>
      </c>
      <c r="D627">
        <v>543.58000000000004</v>
      </c>
      <c r="E627">
        <v>1</v>
      </c>
      <c r="F627">
        <v>1.58</v>
      </c>
      <c r="G627" t="s">
        <v>1774</v>
      </c>
      <c r="H627" t="s">
        <v>1775</v>
      </c>
      <c r="I627" t="s">
        <v>52</v>
      </c>
      <c r="J627" t="s">
        <v>53</v>
      </c>
      <c r="K627">
        <v>1320</v>
      </c>
      <c r="L627" t="s">
        <v>126</v>
      </c>
      <c r="M627">
        <f>DOWNLOAD_2kLRbPnDtawQopEJ_UKtt22ud9U57gk8mqebZIeugNk[[#This Row],[Standard Value]]</f>
        <v>1320</v>
      </c>
      <c r="N627">
        <f>-LOG(DOWNLOAD_2kLRbPnDtawQopEJ_UKtt22ud9U57gk8mqebZIeugNk[[#This Row],[IC50]]*POWER(10, -9), 10)</f>
        <v>5.8794260687941495</v>
      </c>
      <c r="O627">
        <v>5.88</v>
      </c>
      <c r="P627" t="s">
        <v>48</v>
      </c>
      <c r="R627" t="s">
        <v>127</v>
      </c>
      <c r="S627">
        <v>10.82</v>
      </c>
      <c r="T627">
        <v>0.21</v>
      </c>
      <c r="U627">
        <v>4.3</v>
      </c>
      <c r="V627">
        <v>3.79</v>
      </c>
      <c r="W627">
        <v>0</v>
      </c>
      <c r="X627" t="s">
        <v>1497</v>
      </c>
      <c r="Y627" t="s">
        <v>1498</v>
      </c>
      <c r="Z627" t="s">
        <v>58</v>
      </c>
      <c r="AA627" t="s">
        <v>59</v>
      </c>
      <c r="AB627" t="s">
        <v>60</v>
      </c>
      <c r="AC627" t="s">
        <v>61</v>
      </c>
      <c r="AD627" t="s">
        <v>49</v>
      </c>
      <c r="AE627" t="s">
        <v>49</v>
      </c>
      <c r="AF627" t="s">
        <v>49</v>
      </c>
      <c r="AG627" t="s">
        <v>49</v>
      </c>
      <c r="AH627" t="s">
        <v>48</v>
      </c>
      <c r="AI627" t="s">
        <v>48</v>
      </c>
      <c r="AJ627" t="s">
        <v>48</v>
      </c>
      <c r="AK627" t="s">
        <v>62</v>
      </c>
      <c r="AL627" t="s">
        <v>63</v>
      </c>
      <c r="AM627" t="s">
        <v>61</v>
      </c>
      <c r="AN627" t="s">
        <v>64</v>
      </c>
      <c r="AO627" t="s">
        <v>1499</v>
      </c>
      <c r="AP627">
        <v>1</v>
      </c>
      <c r="AQ627" t="s">
        <v>66</v>
      </c>
      <c r="AR627" t="s">
        <v>131</v>
      </c>
      <c r="AS627">
        <v>2022</v>
      </c>
      <c r="AT627" t="s">
        <v>49</v>
      </c>
      <c r="AU627" t="s">
        <v>299</v>
      </c>
      <c r="AV627" t="s">
        <v>269</v>
      </c>
      <c r="AW627" t="s">
        <v>48</v>
      </c>
    </row>
    <row r="628" spans="1:49" x14ac:dyDescent="0.3">
      <c r="A628" t="s">
        <v>1776</v>
      </c>
      <c r="B628" t="s">
        <v>48</v>
      </c>
      <c r="C628" t="s">
        <v>49</v>
      </c>
      <c r="D628">
        <v>520.54999999999995</v>
      </c>
      <c r="E628">
        <v>1</v>
      </c>
      <c r="F628">
        <v>2.06</v>
      </c>
      <c r="G628" t="s">
        <v>479</v>
      </c>
      <c r="H628" t="s">
        <v>1777</v>
      </c>
      <c r="I628" t="s">
        <v>52</v>
      </c>
      <c r="J628" t="s">
        <v>53</v>
      </c>
      <c r="K628">
        <v>460</v>
      </c>
      <c r="L628" t="s">
        <v>126</v>
      </c>
      <c r="M628">
        <f>DOWNLOAD_2kLRbPnDtawQopEJ_UKtt22ud9U57gk8mqebZIeugNk[[#This Row],[Standard Value]]</f>
        <v>460</v>
      </c>
      <c r="N628">
        <f>-LOG(DOWNLOAD_2kLRbPnDtawQopEJ_UKtt22ud9U57gk8mqebZIeugNk[[#This Row],[IC50]]*POWER(10, -9), 10)</f>
        <v>6.3372421683184257</v>
      </c>
      <c r="O628">
        <v>6.34</v>
      </c>
      <c r="P628" t="s">
        <v>48</v>
      </c>
      <c r="R628" t="s">
        <v>127</v>
      </c>
      <c r="S628">
        <v>12.17</v>
      </c>
      <c r="T628">
        <v>0.23</v>
      </c>
      <c r="U628">
        <v>4.28</v>
      </c>
      <c r="V628">
        <v>4.63</v>
      </c>
      <c r="W628">
        <v>0</v>
      </c>
      <c r="X628" t="s">
        <v>1534</v>
      </c>
      <c r="Y628" t="s">
        <v>1535</v>
      </c>
      <c r="Z628" t="s">
        <v>58</v>
      </c>
      <c r="AA628" t="s">
        <v>59</v>
      </c>
      <c r="AB628" t="s">
        <v>60</v>
      </c>
      <c r="AC628" t="s">
        <v>61</v>
      </c>
      <c r="AD628" t="s">
        <v>49</v>
      </c>
      <c r="AE628" t="s">
        <v>49</v>
      </c>
      <c r="AF628" t="s">
        <v>49</v>
      </c>
      <c r="AG628" t="s">
        <v>49</v>
      </c>
      <c r="AH628" t="s">
        <v>48</v>
      </c>
      <c r="AI628" t="s">
        <v>48</v>
      </c>
      <c r="AJ628" t="s">
        <v>48</v>
      </c>
      <c r="AK628" t="s">
        <v>62</v>
      </c>
      <c r="AL628" t="s">
        <v>63</v>
      </c>
      <c r="AM628" t="s">
        <v>61</v>
      </c>
      <c r="AN628" t="s">
        <v>64</v>
      </c>
      <c r="AO628" t="s">
        <v>1536</v>
      </c>
      <c r="AP628">
        <v>1</v>
      </c>
      <c r="AQ628" t="s">
        <v>66</v>
      </c>
      <c r="AR628" t="s">
        <v>76</v>
      </c>
      <c r="AS628">
        <v>2022</v>
      </c>
      <c r="AT628" t="s">
        <v>49</v>
      </c>
      <c r="AU628" t="s">
        <v>48</v>
      </c>
      <c r="AV628" t="s">
        <v>269</v>
      </c>
      <c r="AW628" t="s">
        <v>48</v>
      </c>
    </row>
    <row r="629" spans="1:49" x14ac:dyDescent="0.3">
      <c r="A629" t="s">
        <v>1778</v>
      </c>
      <c r="B629" t="s">
        <v>48</v>
      </c>
      <c r="C629" t="s">
        <v>49</v>
      </c>
      <c r="D629">
        <v>471.49</v>
      </c>
      <c r="E629">
        <v>0</v>
      </c>
      <c r="F629">
        <v>1.85</v>
      </c>
      <c r="G629" t="s">
        <v>1779</v>
      </c>
      <c r="H629" t="s">
        <v>1780</v>
      </c>
      <c r="I629" t="s">
        <v>52</v>
      </c>
      <c r="J629" t="s">
        <v>53</v>
      </c>
      <c r="K629">
        <v>2400</v>
      </c>
      <c r="L629" t="s">
        <v>126</v>
      </c>
      <c r="M629">
        <f>DOWNLOAD_2kLRbPnDtawQopEJ_UKtt22ud9U57gk8mqebZIeugNk[[#This Row],[Standard Value]]</f>
        <v>2400</v>
      </c>
      <c r="N629">
        <f>-LOG(DOWNLOAD_2kLRbPnDtawQopEJ_UKtt22ud9U57gk8mqebZIeugNk[[#This Row],[IC50]]*POWER(10, -9), 10)</f>
        <v>5.6197887582883927</v>
      </c>
      <c r="O629">
        <v>5.62</v>
      </c>
      <c r="P629" t="s">
        <v>48</v>
      </c>
      <c r="Q629">
        <v>302788</v>
      </c>
      <c r="R629" t="s">
        <v>127</v>
      </c>
      <c r="S629">
        <v>11.92</v>
      </c>
      <c r="T629">
        <v>0.23</v>
      </c>
      <c r="U629">
        <v>3.77</v>
      </c>
      <c r="V629">
        <v>4.8</v>
      </c>
      <c r="W629">
        <v>0</v>
      </c>
      <c r="X629" t="s">
        <v>251</v>
      </c>
      <c r="Y629" t="s">
        <v>252</v>
      </c>
      <c r="Z629" t="s">
        <v>58</v>
      </c>
      <c r="AA629" t="s">
        <v>59</v>
      </c>
      <c r="AB629" t="s">
        <v>60</v>
      </c>
      <c r="AC629" t="s">
        <v>61</v>
      </c>
      <c r="AD629" t="s">
        <v>49</v>
      </c>
      <c r="AE629" t="s">
        <v>49</v>
      </c>
      <c r="AF629" t="s">
        <v>49</v>
      </c>
      <c r="AG629" t="s">
        <v>49</v>
      </c>
      <c r="AH629" t="s">
        <v>48</v>
      </c>
      <c r="AI629" t="s">
        <v>48</v>
      </c>
      <c r="AJ629" t="s">
        <v>48</v>
      </c>
      <c r="AK629" t="s">
        <v>62</v>
      </c>
      <c r="AL629" t="s">
        <v>63</v>
      </c>
      <c r="AM629" t="s">
        <v>61</v>
      </c>
      <c r="AN629" t="s">
        <v>64</v>
      </c>
      <c r="AO629" t="s">
        <v>253</v>
      </c>
      <c r="AP629">
        <v>37</v>
      </c>
      <c r="AQ629" t="s">
        <v>254</v>
      </c>
      <c r="AR629" t="s">
        <v>48</v>
      </c>
      <c r="AS629">
        <v>2015</v>
      </c>
      <c r="AT629" t="s">
        <v>49</v>
      </c>
      <c r="AU629" t="s">
        <v>48</v>
      </c>
      <c r="AV629" t="s">
        <v>48</v>
      </c>
      <c r="AW629" t="s">
        <v>48</v>
      </c>
    </row>
    <row r="630" spans="1:49" x14ac:dyDescent="0.3">
      <c r="A630" t="s">
        <v>1781</v>
      </c>
      <c r="B630" t="s">
        <v>48</v>
      </c>
      <c r="C630" t="s">
        <v>49</v>
      </c>
      <c r="D630">
        <v>487.93</v>
      </c>
      <c r="E630">
        <v>0</v>
      </c>
      <c r="F630">
        <v>2.5</v>
      </c>
      <c r="G630" t="s">
        <v>1782</v>
      </c>
      <c r="H630" t="s">
        <v>1783</v>
      </c>
      <c r="I630" t="s">
        <v>52</v>
      </c>
      <c r="J630" t="s">
        <v>53</v>
      </c>
      <c r="K630">
        <v>1000</v>
      </c>
      <c r="L630" t="s">
        <v>126</v>
      </c>
      <c r="M630">
        <f>DOWNLOAD_2kLRbPnDtawQopEJ_UKtt22ud9U57gk8mqebZIeugNk[[#This Row],[Standard Value]]</f>
        <v>1000</v>
      </c>
      <c r="N630">
        <f>-LOG(DOWNLOAD_2kLRbPnDtawQopEJ_UKtt22ud9U57gk8mqebZIeugNk[[#This Row],[IC50]]*POWER(10, -9), 10)</f>
        <v>5.9999999999999991</v>
      </c>
      <c r="O630">
        <v>6</v>
      </c>
      <c r="P630" t="s">
        <v>48</v>
      </c>
      <c r="Q630">
        <v>302814</v>
      </c>
      <c r="R630" t="s">
        <v>127</v>
      </c>
      <c r="S630">
        <v>12.3</v>
      </c>
      <c r="T630">
        <v>0.25</v>
      </c>
      <c r="U630">
        <v>3.5</v>
      </c>
      <c r="V630">
        <v>4.74</v>
      </c>
      <c r="W630">
        <v>0</v>
      </c>
      <c r="X630" t="s">
        <v>251</v>
      </c>
      <c r="Y630" t="s">
        <v>252</v>
      </c>
      <c r="Z630" t="s">
        <v>58</v>
      </c>
      <c r="AA630" t="s">
        <v>59</v>
      </c>
      <c r="AB630" t="s">
        <v>60</v>
      </c>
      <c r="AC630" t="s">
        <v>61</v>
      </c>
      <c r="AD630" t="s">
        <v>49</v>
      </c>
      <c r="AE630" t="s">
        <v>49</v>
      </c>
      <c r="AF630" t="s">
        <v>49</v>
      </c>
      <c r="AG630" t="s">
        <v>49</v>
      </c>
      <c r="AH630" t="s">
        <v>48</v>
      </c>
      <c r="AI630" t="s">
        <v>48</v>
      </c>
      <c r="AJ630" t="s">
        <v>48</v>
      </c>
      <c r="AK630" t="s">
        <v>62</v>
      </c>
      <c r="AL630" t="s">
        <v>63</v>
      </c>
      <c r="AM630" t="s">
        <v>61</v>
      </c>
      <c r="AN630" t="s">
        <v>64</v>
      </c>
      <c r="AO630" t="s">
        <v>253</v>
      </c>
      <c r="AP630">
        <v>37</v>
      </c>
      <c r="AQ630" t="s">
        <v>254</v>
      </c>
      <c r="AR630" t="s">
        <v>48</v>
      </c>
      <c r="AS630">
        <v>2015</v>
      </c>
      <c r="AT630" t="s">
        <v>49</v>
      </c>
      <c r="AU630" t="s">
        <v>48</v>
      </c>
      <c r="AV630" t="s">
        <v>48</v>
      </c>
      <c r="AW630" t="s">
        <v>48</v>
      </c>
    </row>
    <row r="631" spans="1:49" x14ac:dyDescent="0.3">
      <c r="A631" t="s">
        <v>1784</v>
      </c>
      <c r="B631" t="s">
        <v>48</v>
      </c>
      <c r="C631" t="s">
        <v>49</v>
      </c>
      <c r="D631">
        <v>466.43</v>
      </c>
      <c r="E631">
        <v>0</v>
      </c>
      <c r="F631">
        <v>1.31</v>
      </c>
      <c r="G631" t="s">
        <v>1785</v>
      </c>
      <c r="H631" t="s">
        <v>1786</v>
      </c>
      <c r="I631" t="s">
        <v>52</v>
      </c>
      <c r="J631" t="s">
        <v>53</v>
      </c>
      <c r="K631">
        <v>500</v>
      </c>
      <c r="L631" t="s">
        <v>126</v>
      </c>
      <c r="M631">
        <f>DOWNLOAD_2kLRbPnDtawQopEJ_UKtt22ud9U57gk8mqebZIeugNk[[#This Row],[Standard Value]]</f>
        <v>500</v>
      </c>
      <c r="N631">
        <f>-LOG(DOWNLOAD_2kLRbPnDtawQopEJ_UKtt22ud9U57gk8mqebZIeugNk[[#This Row],[IC50]]*POWER(10, -9), 10)</f>
        <v>6.3010299956639804</v>
      </c>
      <c r="O631">
        <v>6.3</v>
      </c>
      <c r="P631" t="s">
        <v>48</v>
      </c>
      <c r="Q631">
        <v>302841</v>
      </c>
      <c r="R631" t="s">
        <v>127</v>
      </c>
      <c r="S631">
        <v>13.51</v>
      </c>
      <c r="T631">
        <v>0.25</v>
      </c>
      <c r="U631">
        <v>4.99</v>
      </c>
      <c r="V631">
        <v>4.5199999999999996</v>
      </c>
      <c r="W631">
        <v>0</v>
      </c>
      <c r="X631" t="s">
        <v>251</v>
      </c>
      <c r="Y631" t="s">
        <v>252</v>
      </c>
      <c r="Z631" t="s">
        <v>58</v>
      </c>
      <c r="AA631" t="s">
        <v>59</v>
      </c>
      <c r="AB631" t="s">
        <v>60</v>
      </c>
      <c r="AC631" t="s">
        <v>61</v>
      </c>
      <c r="AD631" t="s">
        <v>49</v>
      </c>
      <c r="AE631" t="s">
        <v>49</v>
      </c>
      <c r="AF631" t="s">
        <v>49</v>
      </c>
      <c r="AG631" t="s">
        <v>49</v>
      </c>
      <c r="AH631" t="s">
        <v>48</v>
      </c>
      <c r="AI631" t="s">
        <v>48</v>
      </c>
      <c r="AJ631" t="s">
        <v>48</v>
      </c>
      <c r="AK631" t="s">
        <v>62</v>
      </c>
      <c r="AL631" t="s">
        <v>63</v>
      </c>
      <c r="AM631" t="s">
        <v>61</v>
      </c>
      <c r="AN631" t="s">
        <v>64</v>
      </c>
      <c r="AO631" t="s">
        <v>253</v>
      </c>
      <c r="AP631">
        <v>37</v>
      </c>
      <c r="AQ631" t="s">
        <v>254</v>
      </c>
      <c r="AR631" t="s">
        <v>48</v>
      </c>
      <c r="AS631">
        <v>2015</v>
      </c>
      <c r="AT631" t="s">
        <v>49</v>
      </c>
      <c r="AU631" t="s">
        <v>48</v>
      </c>
      <c r="AV631" t="s">
        <v>48</v>
      </c>
      <c r="AW631" t="s">
        <v>48</v>
      </c>
    </row>
    <row r="632" spans="1:49" x14ac:dyDescent="0.3">
      <c r="A632" t="s">
        <v>1787</v>
      </c>
      <c r="B632" t="s">
        <v>48</v>
      </c>
      <c r="C632" t="s">
        <v>49</v>
      </c>
      <c r="D632">
        <v>500.87</v>
      </c>
      <c r="E632">
        <v>1</v>
      </c>
      <c r="F632">
        <v>1.97</v>
      </c>
      <c r="G632" t="s">
        <v>1788</v>
      </c>
      <c r="H632" t="s">
        <v>1789</v>
      </c>
      <c r="I632" t="s">
        <v>52</v>
      </c>
      <c r="J632" t="s">
        <v>53</v>
      </c>
      <c r="K632">
        <v>800</v>
      </c>
      <c r="L632" t="s">
        <v>126</v>
      </c>
      <c r="M632">
        <f>DOWNLOAD_2kLRbPnDtawQopEJ_UKtt22ud9U57gk8mqebZIeugNk[[#This Row],[Standard Value]]</f>
        <v>800</v>
      </c>
      <c r="N632">
        <f>-LOG(DOWNLOAD_2kLRbPnDtawQopEJ_UKtt22ud9U57gk8mqebZIeugNk[[#This Row],[IC50]]*POWER(10, -9), 10)</f>
        <v>6.0969100130080562</v>
      </c>
      <c r="O632">
        <v>6.1</v>
      </c>
      <c r="P632" t="s">
        <v>48</v>
      </c>
      <c r="Q632">
        <v>302846</v>
      </c>
      <c r="R632" t="s">
        <v>127</v>
      </c>
      <c r="S632">
        <v>12.17</v>
      </c>
      <c r="T632">
        <v>0.24</v>
      </c>
      <c r="U632">
        <v>4.13</v>
      </c>
      <c r="V632">
        <v>4.37</v>
      </c>
      <c r="W632">
        <v>0</v>
      </c>
      <c r="X632" t="s">
        <v>251</v>
      </c>
      <c r="Y632" t="s">
        <v>252</v>
      </c>
      <c r="Z632" t="s">
        <v>58</v>
      </c>
      <c r="AA632" t="s">
        <v>59</v>
      </c>
      <c r="AB632" t="s">
        <v>60</v>
      </c>
      <c r="AC632" t="s">
        <v>61</v>
      </c>
      <c r="AD632" t="s">
        <v>49</v>
      </c>
      <c r="AE632" t="s">
        <v>49</v>
      </c>
      <c r="AF632" t="s">
        <v>49</v>
      </c>
      <c r="AG632" t="s">
        <v>49</v>
      </c>
      <c r="AH632" t="s">
        <v>48</v>
      </c>
      <c r="AI632" t="s">
        <v>48</v>
      </c>
      <c r="AJ632" t="s">
        <v>48</v>
      </c>
      <c r="AK632" t="s">
        <v>62</v>
      </c>
      <c r="AL632" t="s">
        <v>63</v>
      </c>
      <c r="AM632" t="s">
        <v>61</v>
      </c>
      <c r="AN632" t="s">
        <v>64</v>
      </c>
      <c r="AO632" t="s">
        <v>253</v>
      </c>
      <c r="AP632">
        <v>37</v>
      </c>
      <c r="AQ632" t="s">
        <v>254</v>
      </c>
      <c r="AR632" t="s">
        <v>48</v>
      </c>
      <c r="AS632">
        <v>2015</v>
      </c>
      <c r="AT632" t="s">
        <v>49</v>
      </c>
      <c r="AU632" t="s">
        <v>48</v>
      </c>
      <c r="AV632" t="s">
        <v>48</v>
      </c>
      <c r="AW632" t="s">
        <v>48</v>
      </c>
    </row>
    <row r="633" spans="1:49" x14ac:dyDescent="0.3">
      <c r="A633" t="s">
        <v>1790</v>
      </c>
      <c r="B633" t="s">
        <v>48</v>
      </c>
      <c r="C633" t="s">
        <v>49</v>
      </c>
      <c r="D633">
        <v>500.87</v>
      </c>
      <c r="E633">
        <v>1</v>
      </c>
      <c r="F633">
        <v>1.97</v>
      </c>
      <c r="G633" t="s">
        <v>1791</v>
      </c>
      <c r="H633" t="s">
        <v>1792</v>
      </c>
      <c r="I633" t="s">
        <v>52</v>
      </c>
      <c r="J633" t="s">
        <v>53</v>
      </c>
      <c r="K633">
        <v>800</v>
      </c>
      <c r="L633" t="s">
        <v>126</v>
      </c>
      <c r="M633">
        <f>DOWNLOAD_2kLRbPnDtawQopEJ_UKtt22ud9U57gk8mqebZIeugNk[[#This Row],[Standard Value]]</f>
        <v>800</v>
      </c>
      <c r="N633">
        <f>-LOG(DOWNLOAD_2kLRbPnDtawQopEJ_UKtt22ud9U57gk8mqebZIeugNk[[#This Row],[IC50]]*POWER(10, -9), 10)</f>
        <v>6.0969100130080562</v>
      </c>
      <c r="O633">
        <v>6.1</v>
      </c>
      <c r="P633" t="s">
        <v>48</v>
      </c>
      <c r="Q633">
        <v>302847</v>
      </c>
      <c r="R633" t="s">
        <v>127</v>
      </c>
      <c r="S633">
        <v>12.17</v>
      </c>
      <c r="T633">
        <v>0.24</v>
      </c>
      <c r="U633">
        <v>4.13</v>
      </c>
      <c r="V633">
        <v>4.37</v>
      </c>
      <c r="W633">
        <v>0</v>
      </c>
      <c r="X633" t="s">
        <v>251</v>
      </c>
      <c r="Y633" t="s">
        <v>252</v>
      </c>
      <c r="Z633" t="s">
        <v>58</v>
      </c>
      <c r="AA633" t="s">
        <v>59</v>
      </c>
      <c r="AB633" t="s">
        <v>60</v>
      </c>
      <c r="AC633" t="s">
        <v>61</v>
      </c>
      <c r="AD633" t="s">
        <v>49</v>
      </c>
      <c r="AE633" t="s">
        <v>49</v>
      </c>
      <c r="AF633" t="s">
        <v>49</v>
      </c>
      <c r="AG633" t="s">
        <v>49</v>
      </c>
      <c r="AH633" t="s">
        <v>48</v>
      </c>
      <c r="AI633" t="s">
        <v>48</v>
      </c>
      <c r="AJ633" t="s">
        <v>48</v>
      </c>
      <c r="AK633" t="s">
        <v>62</v>
      </c>
      <c r="AL633" t="s">
        <v>63</v>
      </c>
      <c r="AM633" t="s">
        <v>61</v>
      </c>
      <c r="AN633" t="s">
        <v>64</v>
      </c>
      <c r="AO633" t="s">
        <v>253</v>
      </c>
      <c r="AP633">
        <v>37</v>
      </c>
      <c r="AQ633" t="s">
        <v>254</v>
      </c>
      <c r="AR633" t="s">
        <v>48</v>
      </c>
      <c r="AS633">
        <v>2015</v>
      </c>
      <c r="AT633" t="s">
        <v>49</v>
      </c>
      <c r="AU633" t="s">
        <v>48</v>
      </c>
      <c r="AV633" t="s">
        <v>48</v>
      </c>
      <c r="AW633" t="s">
        <v>48</v>
      </c>
    </row>
    <row r="634" spans="1:49" x14ac:dyDescent="0.3">
      <c r="A634" t="s">
        <v>1793</v>
      </c>
      <c r="B634" t="s">
        <v>48</v>
      </c>
      <c r="C634" t="s">
        <v>49</v>
      </c>
      <c r="D634">
        <v>542.54999999999995</v>
      </c>
      <c r="E634">
        <v>1</v>
      </c>
      <c r="F634">
        <v>1.68</v>
      </c>
      <c r="G634" t="s">
        <v>1794</v>
      </c>
      <c r="H634" t="s">
        <v>1795</v>
      </c>
      <c r="I634" t="s">
        <v>52</v>
      </c>
      <c r="J634" t="s">
        <v>53</v>
      </c>
      <c r="K634">
        <v>5000</v>
      </c>
      <c r="L634" t="s">
        <v>126</v>
      </c>
      <c r="M634">
        <f>DOWNLOAD_2kLRbPnDtawQopEJ_UKtt22ud9U57gk8mqebZIeugNk[[#This Row],[Standard Value]]</f>
        <v>5000</v>
      </c>
      <c r="N634">
        <f>-LOG(DOWNLOAD_2kLRbPnDtawQopEJ_UKtt22ud9U57gk8mqebZIeugNk[[#This Row],[IC50]]*POWER(10, -9), 10)</f>
        <v>5.3010299956639813</v>
      </c>
      <c r="O634">
        <v>5.3</v>
      </c>
      <c r="P634" t="s">
        <v>48</v>
      </c>
      <c r="Q634">
        <v>302852</v>
      </c>
      <c r="R634" t="s">
        <v>127</v>
      </c>
      <c r="S634">
        <v>9.77</v>
      </c>
      <c r="T634">
        <v>0.19</v>
      </c>
      <c r="U634">
        <v>3.62</v>
      </c>
      <c r="V634">
        <v>3.61</v>
      </c>
      <c r="W634">
        <v>0</v>
      </c>
      <c r="X634" t="s">
        <v>251</v>
      </c>
      <c r="Y634" t="s">
        <v>252</v>
      </c>
      <c r="Z634" t="s">
        <v>58</v>
      </c>
      <c r="AA634" t="s">
        <v>59</v>
      </c>
      <c r="AB634" t="s">
        <v>60</v>
      </c>
      <c r="AC634" t="s">
        <v>61</v>
      </c>
      <c r="AD634" t="s">
        <v>49</v>
      </c>
      <c r="AE634" t="s">
        <v>49</v>
      </c>
      <c r="AF634" t="s">
        <v>49</v>
      </c>
      <c r="AG634" t="s">
        <v>49</v>
      </c>
      <c r="AH634" t="s">
        <v>48</v>
      </c>
      <c r="AI634" t="s">
        <v>48</v>
      </c>
      <c r="AJ634" t="s">
        <v>48</v>
      </c>
      <c r="AK634" t="s">
        <v>62</v>
      </c>
      <c r="AL634" t="s">
        <v>63</v>
      </c>
      <c r="AM634" t="s">
        <v>61</v>
      </c>
      <c r="AN634" t="s">
        <v>64</v>
      </c>
      <c r="AO634" t="s">
        <v>253</v>
      </c>
      <c r="AP634">
        <v>37</v>
      </c>
      <c r="AQ634" t="s">
        <v>254</v>
      </c>
      <c r="AR634" t="s">
        <v>48</v>
      </c>
      <c r="AS634">
        <v>2015</v>
      </c>
      <c r="AT634" t="s">
        <v>49</v>
      </c>
      <c r="AU634" t="s">
        <v>48</v>
      </c>
      <c r="AV634" t="s">
        <v>48</v>
      </c>
      <c r="AW634" t="s">
        <v>48</v>
      </c>
    </row>
    <row r="635" spans="1:49" x14ac:dyDescent="0.3">
      <c r="A635" t="s">
        <v>1796</v>
      </c>
      <c r="B635" t="s">
        <v>48</v>
      </c>
      <c r="C635" t="s">
        <v>49</v>
      </c>
      <c r="D635">
        <v>505.79</v>
      </c>
      <c r="E635">
        <v>0</v>
      </c>
      <c r="F635">
        <v>2.83</v>
      </c>
      <c r="G635" t="s">
        <v>1191</v>
      </c>
      <c r="H635" t="s">
        <v>1797</v>
      </c>
      <c r="I635" t="s">
        <v>52</v>
      </c>
      <c r="J635" t="s">
        <v>53</v>
      </c>
      <c r="K635">
        <v>17</v>
      </c>
      <c r="L635" t="s">
        <v>126</v>
      </c>
      <c r="M635">
        <f>DOWNLOAD_2kLRbPnDtawQopEJ_UKtt22ud9U57gk8mqebZIeugNk[[#This Row],[Standard Value]]</f>
        <v>17</v>
      </c>
      <c r="N635">
        <f>-LOG(DOWNLOAD_2kLRbPnDtawQopEJ_UKtt22ud9U57gk8mqebZIeugNk[[#This Row],[IC50]]*POWER(10, -9), 10)</f>
        <v>7.769551078621725</v>
      </c>
      <c r="O635">
        <v>7.77</v>
      </c>
      <c r="P635" t="s">
        <v>48</v>
      </c>
      <c r="R635" t="s">
        <v>127</v>
      </c>
      <c r="S635">
        <v>16.55</v>
      </c>
      <c r="T635">
        <v>0.34</v>
      </c>
      <c r="U635">
        <v>4.9400000000000004</v>
      </c>
      <c r="V635">
        <v>5.86</v>
      </c>
      <c r="W635">
        <v>0</v>
      </c>
      <c r="X635" t="s">
        <v>716</v>
      </c>
      <c r="Y635" t="s">
        <v>717</v>
      </c>
      <c r="Z635" t="s">
        <v>58</v>
      </c>
      <c r="AA635" t="s">
        <v>59</v>
      </c>
      <c r="AB635" t="s">
        <v>60</v>
      </c>
      <c r="AC635" t="s">
        <v>61</v>
      </c>
      <c r="AD635" t="s">
        <v>49</v>
      </c>
      <c r="AE635" t="s">
        <v>49</v>
      </c>
      <c r="AF635" t="s">
        <v>49</v>
      </c>
      <c r="AG635" t="s">
        <v>49</v>
      </c>
      <c r="AH635" t="s">
        <v>48</v>
      </c>
      <c r="AI635" t="s">
        <v>48</v>
      </c>
      <c r="AJ635" t="s">
        <v>48</v>
      </c>
      <c r="AK635" t="s">
        <v>62</v>
      </c>
      <c r="AL635" t="s">
        <v>63</v>
      </c>
      <c r="AM635" t="s">
        <v>61</v>
      </c>
      <c r="AN635" t="s">
        <v>64</v>
      </c>
      <c r="AO635" t="s">
        <v>718</v>
      </c>
      <c r="AP635">
        <v>1</v>
      </c>
      <c r="AQ635" t="s">
        <v>66</v>
      </c>
      <c r="AR635" t="s">
        <v>131</v>
      </c>
      <c r="AS635">
        <v>2019</v>
      </c>
      <c r="AT635" t="s">
        <v>49</v>
      </c>
      <c r="AU635" t="s">
        <v>299</v>
      </c>
      <c r="AV635" t="s">
        <v>269</v>
      </c>
      <c r="AW635" t="s">
        <v>48</v>
      </c>
    </row>
    <row r="636" spans="1:49" x14ac:dyDescent="0.3">
      <c r="A636" t="s">
        <v>1798</v>
      </c>
      <c r="B636" t="s">
        <v>48</v>
      </c>
      <c r="C636" t="s">
        <v>49</v>
      </c>
      <c r="D636">
        <v>459.48</v>
      </c>
      <c r="E636">
        <v>0</v>
      </c>
      <c r="F636">
        <v>1.7</v>
      </c>
      <c r="G636" t="s">
        <v>1799</v>
      </c>
      <c r="H636" t="s">
        <v>1800</v>
      </c>
      <c r="I636" t="s">
        <v>52</v>
      </c>
      <c r="J636" t="s">
        <v>53</v>
      </c>
      <c r="K636">
        <v>500</v>
      </c>
      <c r="L636" t="s">
        <v>126</v>
      </c>
      <c r="M636">
        <f>DOWNLOAD_2kLRbPnDtawQopEJ_UKtt22ud9U57gk8mqebZIeugNk[[#This Row],[Standard Value]]</f>
        <v>500</v>
      </c>
      <c r="N636">
        <f>-LOG(DOWNLOAD_2kLRbPnDtawQopEJ_UKtt22ud9U57gk8mqebZIeugNk[[#This Row],[IC50]]*POWER(10, -9), 10)</f>
        <v>6.3010299956639804</v>
      </c>
      <c r="O636">
        <v>6.3</v>
      </c>
      <c r="P636" t="s">
        <v>48</v>
      </c>
      <c r="Q636">
        <v>302816</v>
      </c>
      <c r="R636" t="s">
        <v>127</v>
      </c>
      <c r="S636">
        <v>13.71</v>
      </c>
      <c r="T636">
        <v>0.26</v>
      </c>
      <c r="U636">
        <v>4.5999999999999996</v>
      </c>
      <c r="V636">
        <v>5.39</v>
      </c>
      <c r="W636">
        <v>0</v>
      </c>
      <c r="X636" t="s">
        <v>251</v>
      </c>
      <c r="Y636" t="s">
        <v>252</v>
      </c>
      <c r="Z636" t="s">
        <v>58</v>
      </c>
      <c r="AA636" t="s">
        <v>59</v>
      </c>
      <c r="AB636" t="s">
        <v>60</v>
      </c>
      <c r="AC636" t="s">
        <v>61</v>
      </c>
      <c r="AD636" t="s">
        <v>49</v>
      </c>
      <c r="AE636" t="s">
        <v>49</v>
      </c>
      <c r="AF636" t="s">
        <v>49</v>
      </c>
      <c r="AG636" t="s">
        <v>49</v>
      </c>
      <c r="AH636" t="s">
        <v>48</v>
      </c>
      <c r="AI636" t="s">
        <v>48</v>
      </c>
      <c r="AJ636" t="s">
        <v>48</v>
      </c>
      <c r="AK636" t="s">
        <v>62</v>
      </c>
      <c r="AL636" t="s">
        <v>63</v>
      </c>
      <c r="AM636" t="s">
        <v>61</v>
      </c>
      <c r="AN636" t="s">
        <v>64</v>
      </c>
      <c r="AO636" t="s">
        <v>253</v>
      </c>
      <c r="AP636">
        <v>37</v>
      </c>
      <c r="AQ636" t="s">
        <v>254</v>
      </c>
      <c r="AR636" t="s">
        <v>48</v>
      </c>
      <c r="AS636">
        <v>2015</v>
      </c>
      <c r="AT636" t="s">
        <v>49</v>
      </c>
      <c r="AU636" t="s">
        <v>48</v>
      </c>
      <c r="AV636" t="s">
        <v>48</v>
      </c>
      <c r="AW636" t="s">
        <v>48</v>
      </c>
    </row>
    <row r="637" spans="1:49" x14ac:dyDescent="0.3">
      <c r="A637" t="s">
        <v>1801</v>
      </c>
      <c r="B637" t="s">
        <v>48</v>
      </c>
      <c r="C637" t="s">
        <v>49</v>
      </c>
      <c r="D637">
        <v>488.86</v>
      </c>
      <c r="E637">
        <v>0</v>
      </c>
      <c r="F637">
        <v>1.7</v>
      </c>
      <c r="G637" t="s">
        <v>1802</v>
      </c>
      <c r="H637" t="s">
        <v>1803</v>
      </c>
      <c r="I637" t="s">
        <v>52</v>
      </c>
      <c r="J637" t="s">
        <v>53</v>
      </c>
      <c r="K637">
        <v>9300</v>
      </c>
      <c r="L637" t="s">
        <v>126</v>
      </c>
      <c r="M637">
        <f>DOWNLOAD_2kLRbPnDtawQopEJ_UKtt22ud9U57gk8mqebZIeugNk[[#This Row],[Standard Value]]</f>
        <v>9300</v>
      </c>
      <c r="N637">
        <f>-LOG(DOWNLOAD_2kLRbPnDtawQopEJ_UKtt22ud9U57gk8mqebZIeugNk[[#This Row],[IC50]]*POWER(10, -9), 10)</f>
        <v>5.0315170514460643</v>
      </c>
      <c r="O637">
        <v>5.03</v>
      </c>
      <c r="P637" t="s">
        <v>48</v>
      </c>
      <c r="Q637">
        <v>302829</v>
      </c>
      <c r="R637" t="s">
        <v>127</v>
      </c>
      <c r="S637">
        <v>10.29</v>
      </c>
      <c r="T637">
        <v>0.2</v>
      </c>
      <c r="U637">
        <v>3.33</v>
      </c>
      <c r="V637">
        <v>3.82</v>
      </c>
      <c r="W637">
        <v>0</v>
      </c>
      <c r="X637" t="s">
        <v>251</v>
      </c>
      <c r="Y637" t="s">
        <v>252</v>
      </c>
      <c r="Z637" t="s">
        <v>58</v>
      </c>
      <c r="AA637" t="s">
        <v>59</v>
      </c>
      <c r="AB637" t="s">
        <v>60</v>
      </c>
      <c r="AC637" t="s">
        <v>61</v>
      </c>
      <c r="AD637" t="s">
        <v>49</v>
      </c>
      <c r="AE637" t="s">
        <v>49</v>
      </c>
      <c r="AF637" t="s">
        <v>49</v>
      </c>
      <c r="AG637" t="s">
        <v>49</v>
      </c>
      <c r="AH637" t="s">
        <v>48</v>
      </c>
      <c r="AI637" t="s">
        <v>48</v>
      </c>
      <c r="AJ637" t="s">
        <v>48</v>
      </c>
      <c r="AK637" t="s">
        <v>62</v>
      </c>
      <c r="AL637" t="s">
        <v>63</v>
      </c>
      <c r="AM637" t="s">
        <v>61</v>
      </c>
      <c r="AN637" t="s">
        <v>64</v>
      </c>
      <c r="AO637" t="s">
        <v>253</v>
      </c>
      <c r="AP637">
        <v>37</v>
      </c>
      <c r="AQ637" t="s">
        <v>254</v>
      </c>
      <c r="AR637" t="s">
        <v>48</v>
      </c>
      <c r="AS637">
        <v>2015</v>
      </c>
      <c r="AT637" t="s">
        <v>49</v>
      </c>
      <c r="AU637" t="s">
        <v>48</v>
      </c>
      <c r="AV637" t="s">
        <v>48</v>
      </c>
      <c r="AW637" t="s">
        <v>48</v>
      </c>
    </row>
    <row r="638" spans="1:49" x14ac:dyDescent="0.3">
      <c r="A638" t="s">
        <v>1804</v>
      </c>
      <c r="B638" t="s">
        <v>48</v>
      </c>
      <c r="C638" t="s">
        <v>49</v>
      </c>
      <c r="D638">
        <v>483.46</v>
      </c>
      <c r="E638">
        <v>0</v>
      </c>
      <c r="F638">
        <v>2.13</v>
      </c>
      <c r="G638" t="s">
        <v>1805</v>
      </c>
      <c r="H638" t="s">
        <v>1806</v>
      </c>
      <c r="I638" t="s">
        <v>52</v>
      </c>
      <c r="J638" t="s">
        <v>53</v>
      </c>
      <c r="K638">
        <v>3200</v>
      </c>
      <c r="L638" t="s">
        <v>126</v>
      </c>
      <c r="M638">
        <f>DOWNLOAD_2kLRbPnDtawQopEJ_UKtt22ud9U57gk8mqebZIeugNk[[#This Row],[Standard Value]]</f>
        <v>3200</v>
      </c>
      <c r="N638">
        <f>-LOG(DOWNLOAD_2kLRbPnDtawQopEJ_UKtt22ud9U57gk8mqebZIeugNk[[#This Row],[IC50]]*POWER(10, -9), 10)</f>
        <v>5.4948500216800937</v>
      </c>
      <c r="O638">
        <v>5.5</v>
      </c>
      <c r="P638" t="s">
        <v>48</v>
      </c>
      <c r="Q638">
        <v>302835</v>
      </c>
      <c r="R638" t="s">
        <v>127</v>
      </c>
      <c r="S638">
        <v>11.37</v>
      </c>
      <c r="T638">
        <v>0.21</v>
      </c>
      <c r="U638">
        <v>3.36</v>
      </c>
      <c r="V638">
        <v>3.93</v>
      </c>
      <c r="W638">
        <v>0</v>
      </c>
      <c r="X638" t="s">
        <v>251</v>
      </c>
      <c r="Y638" t="s">
        <v>252</v>
      </c>
      <c r="Z638" t="s">
        <v>58</v>
      </c>
      <c r="AA638" t="s">
        <v>59</v>
      </c>
      <c r="AB638" t="s">
        <v>60</v>
      </c>
      <c r="AC638" t="s">
        <v>61</v>
      </c>
      <c r="AD638" t="s">
        <v>49</v>
      </c>
      <c r="AE638" t="s">
        <v>49</v>
      </c>
      <c r="AF638" t="s">
        <v>49</v>
      </c>
      <c r="AG638" t="s">
        <v>49</v>
      </c>
      <c r="AH638" t="s">
        <v>48</v>
      </c>
      <c r="AI638" t="s">
        <v>48</v>
      </c>
      <c r="AJ638" t="s">
        <v>48</v>
      </c>
      <c r="AK638" t="s">
        <v>62</v>
      </c>
      <c r="AL638" t="s">
        <v>63</v>
      </c>
      <c r="AM638" t="s">
        <v>61</v>
      </c>
      <c r="AN638" t="s">
        <v>64</v>
      </c>
      <c r="AO638" t="s">
        <v>253</v>
      </c>
      <c r="AP638">
        <v>37</v>
      </c>
      <c r="AQ638" t="s">
        <v>254</v>
      </c>
      <c r="AR638" t="s">
        <v>48</v>
      </c>
      <c r="AS638">
        <v>2015</v>
      </c>
      <c r="AT638" t="s">
        <v>49</v>
      </c>
      <c r="AU638" t="s">
        <v>48</v>
      </c>
      <c r="AV638" t="s">
        <v>48</v>
      </c>
      <c r="AW638" t="s">
        <v>48</v>
      </c>
    </row>
    <row r="639" spans="1:49" x14ac:dyDescent="0.3">
      <c r="A639" t="s">
        <v>1807</v>
      </c>
      <c r="B639" t="s">
        <v>48</v>
      </c>
      <c r="C639" t="s">
        <v>49</v>
      </c>
      <c r="D639">
        <v>456.35</v>
      </c>
      <c r="E639">
        <v>0</v>
      </c>
      <c r="F639">
        <v>1.88</v>
      </c>
      <c r="G639" t="s">
        <v>1808</v>
      </c>
      <c r="H639" t="s">
        <v>1809</v>
      </c>
      <c r="I639" t="s">
        <v>52</v>
      </c>
      <c r="J639" t="s">
        <v>53</v>
      </c>
      <c r="K639">
        <v>65000</v>
      </c>
      <c r="L639" t="s">
        <v>126</v>
      </c>
      <c r="M639">
        <f>DOWNLOAD_2kLRbPnDtawQopEJ_UKtt22ud9U57gk8mqebZIeugNk[[#This Row],[Standard Value]]</f>
        <v>65000</v>
      </c>
      <c r="N639">
        <f>-LOG(DOWNLOAD_2kLRbPnDtawQopEJ_UKtt22ud9U57gk8mqebZIeugNk[[#This Row],[IC50]]*POWER(10, -9), 10)</f>
        <v>4.1870866433571443</v>
      </c>
      <c r="O639">
        <v>4.1900000000000004</v>
      </c>
      <c r="P639" t="s">
        <v>48</v>
      </c>
      <c r="Q639">
        <v>302858</v>
      </c>
      <c r="R639" t="s">
        <v>127</v>
      </c>
      <c r="S639">
        <v>9.18</v>
      </c>
      <c r="T639">
        <v>0.18</v>
      </c>
      <c r="U639">
        <v>2.31</v>
      </c>
      <c r="V639">
        <v>3.68</v>
      </c>
      <c r="W639">
        <v>0</v>
      </c>
      <c r="X639" t="s">
        <v>251</v>
      </c>
      <c r="Y639" t="s">
        <v>252</v>
      </c>
      <c r="Z639" t="s">
        <v>58</v>
      </c>
      <c r="AA639" t="s">
        <v>59</v>
      </c>
      <c r="AB639" t="s">
        <v>60</v>
      </c>
      <c r="AC639" t="s">
        <v>61</v>
      </c>
      <c r="AD639" t="s">
        <v>49</v>
      </c>
      <c r="AE639" t="s">
        <v>49</v>
      </c>
      <c r="AF639" t="s">
        <v>49</v>
      </c>
      <c r="AG639" t="s">
        <v>49</v>
      </c>
      <c r="AH639" t="s">
        <v>48</v>
      </c>
      <c r="AI639" t="s">
        <v>48</v>
      </c>
      <c r="AJ639" t="s">
        <v>48</v>
      </c>
      <c r="AK639" t="s">
        <v>62</v>
      </c>
      <c r="AL639" t="s">
        <v>63</v>
      </c>
      <c r="AM639" t="s">
        <v>61</v>
      </c>
      <c r="AN639" t="s">
        <v>64</v>
      </c>
      <c r="AO639" t="s">
        <v>253</v>
      </c>
      <c r="AP639">
        <v>37</v>
      </c>
      <c r="AQ639" t="s">
        <v>254</v>
      </c>
      <c r="AR639" t="s">
        <v>48</v>
      </c>
      <c r="AS639">
        <v>2015</v>
      </c>
      <c r="AT639" t="s">
        <v>49</v>
      </c>
      <c r="AU639" t="s">
        <v>48</v>
      </c>
      <c r="AV639" t="s">
        <v>48</v>
      </c>
      <c r="AW639" t="s">
        <v>48</v>
      </c>
    </row>
    <row r="640" spans="1:49" x14ac:dyDescent="0.3">
      <c r="A640" t="s">
        <v>1290</v>
      </c>
      <c r="B640" t="s">
        <v>48</v>
      </c>
      <c r="C640" t="s">
        <v>49</v>
      </c>
      <c r="D640">
        <v>438.36</v>
      </c>
      <c r="E640">
        <v>0</v>
      </c>
      <c r="F640">
        <v>1.8</v>
      </c>
      <c r="G640" t="s">
        <v>1291</v>
      </c>
      <c r="H640" t="s">
        <v>1292</v>
      </c>
      <c r="I640" t="s">
        <v>52</v>
      </c>
      <c r="J640" t="s">
        <v>53</v>
      </c>
      <c r="K640">
        <v>400</v>
      </c>
      <c r="L640" t="s">
        <v>126</v>
      </c>
      <c r="M640">
        <f>DOWNLOAD_2kLRbPnDtawQopEJ_UKtt22ud9U57gk8mqebZIeugNk[[#This Row],[Standard Value]]</f>
        <v>400</v>
      </c>
      <c r="N640">
        <f>-LOG(DOWNLOAD_2kLRbPnDtawQopEJ_UKtt22ud9U57gk8mqebZIeugNk[[#This Row],[IC50]]*POWER(10, -9), 10)</f>
        <v>6.3979400086720375</v>
      </c>
      <c r="O640">
        <v>6.4</v>
      </c>
      <c r="P640" t="s">
        <v>48</v>
      </c>
      <c r="Q640">
        <v>302862</v>
      </c>
      <c r="R640" t="s">
        <v>127</v>
      </c>
      <c r="S640">
        <v>14.6</v>
      </c>
      <c r="T640">
        <v>0.28000000000000003</v>
      </c>
      <c r="U640">
        <v>4.5999999999999996</v>
      </c>
      <c r="V640">
        <v>5.62</v>
      </c>
      <c r="W640">
        <v>0</v>
      </c>
      <c r="X640" t="s">
        <v>251</v>
      </c>
      <c r="Y640" t="s">
        <v>252</v>
      </c>
      <c r="Z640" t="s">
        <v>58</v>
      </c>
      <c r="AA640" t="s">
        <v>59</v>
      </c>
      <c r="AB640" t="s">
        <v>60</v>
      </c>
      <c r="AC640" t="s">
        <v>61</v>
      </c>
      <c r="AD640" t="s">
        <v>49</v>
      </c>
      <c r="AE640" t="s">
        <v>49</v>
      </c>
      <c r="AF640" t="s">
        <v>49</v>
      </c>
      <c r="AG640" t="s">
        <v>49</v>
      </c>
      <c r="AH640" t="s">
        <v>48</v>
      </c>
      <c r="AI640" t="s">
        <v>48</v>
      </c>
      <c r="AJ640" t="s">
        <v>48</v>
      </c>
      <c r="AK640" t="s">
        <v>62</v>
      </c>
      <c r="AL640" t="s">
        <v>63</v>
      </c>
      <c r="AM640" t="s">
        <v>61</v>
      </c>
      <c r="AN640" t="s">
        <v>64</v>
      </c>
      <c r="AO640" t="s">
        <v>253</v>
      </c>
      <c r="AP640">
        <v>37</v>
      </c>
      <c r="AQ640" t="s">
        <v>254</v>
      </c>
      <c r="AR640" t="s">
        <v>48</v>
      </c>
      <c r="AS640">
        <v>2015</v>
      </c>
      <c r="AT640" t="s">
        <v>49</v>
      </c>
      <c r="AU640" t="s">
        <v>48</v>
      </c>
      <c r="AV640" t="s">
        <v>48</v>
      </c>
      <c r="AW640" t="s">
        <v>48</v>
      </c>
    </row>
    <row r="641" spans="1:49" x14ac:dyDescent="0.3">
      <c r="A641" t="s">
        <v>1810</v>
      </c>
      <c r="B641" t="s">
        <v>48</v>
      </c>
      <c r="C641" t="s">
        <v>49</v>
      </c>
      <c r="D641">
        <v>472.47</v>
      </c>
      <c r="E641">
        <v>0</v>
      </c>
      <c r="F641">
        <v>1.75</v>
      </c>
      <c r="G641" t="s">
        <v>1811</v>
      </c>
      <c r="H641" t="s">
        <v>1812</v>
      </c>
      <c r="I641" t="s">
        <v>52</v>
      </c>
      <c r="J641" t="s">
        <v>53</v>
      </c>
      <c r="K641">
        <v>4100</v>
      </c>
      <c r="L641" t="s">
        <v>126</v>
      </c>
      <c r="M641">
        <f>DOWNLOAD_2kLRbPnDtawQopEJ_UKtt22ud9U57gk8mqebZIeugNk[[#This Row],[Standard Value]]</f>
        <v>4100</v>
      </c>
      <c r="N641">
        <f>-LOG(DOWNLOAD_2kLRbPnDtawQopEJ_UKtt22ud9U57gk8mqebZIeugNk[[#This Row],[IC50]]*POWER(10, -9), 10)</f>
        <v>5.3872161432802637</v>
      </c>
      <c r="O641">
        <v>5.39</v>
      </c>
      <c r="P641" t="s">
        <v>48</v>
      </c>
      <c r="Q641">
        <v>302872</v>
      </c>
      <c r="R641" t="s">
        <v>127</v>
      </c>
      <c r="S641">
        <v>11.4</v>
      </c>
      <c r="T641">
        <v>0.22</v>
      </c>
      <c r="U641">
        <v>3.64</v>
      </c>
      <c r="V641">
        <v>4.38</v>
      </c>
      <c r="W641">
        <v>0</v>
      </c>
      <c r="X641" t="s">
        <v>251</v>
      </c>
      <c r="Y641" t="s">
        <v>252</v>
      </c>
      <c r="Z641" t="s">
        <v>58</v>
      </c>
      <c r="AA641" t="s">
        <v>59</v>
      </c>
      <c r="AB641" t="s">
        <v>60</v>
      </c>
      <c r="AC641" t="s">
        <v>61</v>
      </c>
      <c r="AD641" t="s">
        <v>49</v>
      </c>
      <c r="AE641" t="s">
        <v>49</v>
      </c>
      <c r="AF641" t="s">
        <v>49</v>
      </c>
      <c r="AG641" t="s">
        <v>49</v>
      </c>
      <c r="AH641" t="s">
        <v>48</v>
      </c>
      <c r="AI641" t="s">
        <v>48</v>
      </c>
      <c r="AJ641" t="s">
        <v>48</v>
      </c>
      <c r="AK641" t="s">
        <v>62</v>
      </c>
      <c r="AL641" t="s">
        <v>63</v>
      </c>
      <c r="AM641" t="s">
        <v>61</v>
      </c>
      <c r="AN641" t="s">
        <v>64</v>
      </c>
      <c r="AO641" t="s">
        <v>253</v>
      </c>
      <c r="AP641">
        <v>37</v>
      </c>
      <c r="AQ641" t="s">
        <v>254</v>
      </c>
      <c r="AR641" t="s">
        <v>48</v>
      </c>
      <c r="AS641">
        <v>2015</v>
      </c>
      <c r="AT641" t="s">
        <v>49</v>
      </c>
      <c r="AU641" t="s">
        <v>48</v>
      </c>
      <c r="AV641" t="s">
        <v>48</v>
      </c>
      <c r="AW641" t="s">
        <v>48</v>
      </c>
    </row>
    <row r="642" spans="1:49" x14ac:dyDescent="0.3">
      <c r="A642" t="s">
        <v>1132</v>
      </c>
      <c r="B642" t="s">
        <v>48</v>
      </c>
      <c r="C642" t="s">
        <v>49</v>
      </c>
      <c r="D642">
        <v>412.49</v>
      </c>
      <c r="E642">
        <v>0</v>
      </c>
      <c r="F642">
        <v>2.5099999999999998</v>
      </c>
      <c r="G642" t="s">
        <v>1813</v>
      </c>
      <c r="H642" t="s">
        <v>1133</v>
      </c>
      <c r="I642" t="s">
        <v>52</v>
      </c>
      <c r="J642" t="s">
        <v>53</v>
      </c>
      <c r="K642">
        <v>16700</v>
      </c>
      <c r="L642" t="s">
        <v>126</v>
      </c>
      <c r="M642">
        <f>DOWNLOAD_2kLRbPnDtawQopEJ_UKtt22ud9U57gk8mqebZIeugNk[[#This Row],[Standard Value]]</f>
        <v>16700</v>
      </c>
      <c r="N642">
        <f>-LOG(DOWNLOAD_2kLRbPnDtawQopEJ_UKtt22ud9U57gk8mqebZIeugNk[[#This Row],[IC50]]*POWER(10, -9), 10)</f>
        <v>4.7772835288524158</v>
      </c>
      <c r="O642">
        <v>4.78</v>
      </c>
      <c r="P642" t="s">
        <v>48</v>
      </c>
      <c r="R642" t="s">
        <v>127</v>
      </c>
      <c r="S642">
        <v>11.58</v>
      </c>
      <c r="T642">
        <v>0.22</v>
      </c>
      <c r="U642">
        <v>2.27</v>
      </c>
      <c r="V642">
        <v>5.24</v>
      </c>
      <c r="W642">
        <v>0</v>
      </c>
      <c r="X642" t="s">
        <v>1814</v>
      </c>
      <c r="Y642" t="s">
        <v>1815</v>
      </c>
      <c r="Z642" t="s">
        <v>58</v>
      </c>
      <c r="AA642" t="s">
        <v>59</v>
      </c>
      <c r="AB642" t="s">
        <v>60</v>
      </c>
      <c r="AC642" t="s">
        <v>61</v>
      </c>
      <c r="AD642" t="s">
        <v>49</v>
      </c>
      <c r="AE642" t="s">
        <v>49</v>
      </c>
      <c r="AF642" t="s">
        <v>49</v>
      </c>
      <c r="AG642" t="s">
        <v>49</v>
      </c>
      <c r="AH642" t="s">
        <v>48</v>
      </c>
      <c r="AI642" t="s">
        <v>48</v>
      </c>
      <c r="AJ642" t="s">
        <v>48</v>
      </c>
      <c r="AK642" t="s">
        <v>62</v>
      </c>
      <c r="AL642" t="s">
        <v>63</v>
      </c>
      <c r="AM642" t="s">
        <v>61</v>
      </c>
      <c r="AN642" t="s">
        <v>64</v>
      </c>
      <c r="AO642" t="s">
        <v>1816</v>
      </c>
      <c r="AP642">
        <v>1</v>
      </c>
      <c r="AQ642" t="s">
        <v>66</v>
      </c>
      <c r="AR642" t="s">
        <v>131</v>
      </c>
      <c r="AS642">
        <v>2019</v>
      </c>
      <c r="AT642" t="s">
        <v>49</v>
      </c>
      <c r="AU642" t="s">
        <v>1817</v>
      </c>
      <c r="AV642" t="s">
        <v>269</v>
      </c>
      <c r="AW642" t="s">
        <v>48</v>
      </c>
    </row>
    <row r="643" spans="1:49" x14ac:dyDescent="0.3">
      <c r="A643" t="s">
        <v>1818</v>
      </c>
      <c r="B643" t="s">
        <v>48</v>
      </c>
      <c r="C643" t="s">
        <v>49</v>
      </c>
      <c r="D643">
        <v>396.92</v>
      </c>
      <c r="E643">
        <v>0</v>
      </c>
      <c r="F643">
        <v>4.0999999999999996</v>
      </c>
      <c r="G643" t="s">
        <v>157</v>
      </c>
      <c r="H643" t="s">
        <v>1819</v>
      </c>
      <c r="I643" t="s">
        <v>52</v>
      </c>
      <c r="J643" t="s">
        <v>53</v>
      </c>
      <c r="K643">
        <v>153000</v>
      </c>
      <c r="L643" t="s">
        <v>126</v>
      </c>
      <c r="M643">
        <f>DOWNLOAD_2kLRbPnDtawQopEJ_UKtt22ud9U57gk8mqebZIeugNk[[#This Row],[Standard Value]]</f>
        <v>153000</v>
      </c>
      <c r="N643">
        <f>-LOG(DOWNLOAD_2kLRbPnDtawQopEJ_UKtt22ud9U57gk8mqebZIeugNk[[#This Row],[IC50]]*POWER(10, -9), 10)</f>
        <v>3.8153085691824007</v>
      </c>
      <c r="P643" t="s">
        <v>72</v>
      </c>
      <c r="R643" t="s">
        <v>127</v>
      </c>
      <c r="W643">
        <v>0</v>
      </c>
      <c r="X643" t="s">
        <v>1546</v>
      </c>
      <c r="Y643" t="s">
        <v>1547</v>
      </c>
      <c r="Z643" t="s">
        <v>58</v>
      </c>
      <c r="AA643" t="s">
        <v>59</v>
      </c>
      <c r="AB643" t="s">
        <v>60</v>
      </c>
      <c r="AC643" t="s">
        <v>61</v>
      </c>
      <c r="AD643" t="s">
        <v>49</v>
      </c>
      <c r="AE643" t="s">
        <v>49</v>
      </c>
      <c r="AF643" t="s">
        <v>49</v>
      </c>
      <c r="AG643" t="s">
        <v>49</v>
      </c>
      <c r="AH643" t="s">
        <v>48</v>
      </c>
      <c r="AI643" t="s">
        <v>48</v>
      </c>
      <c r="AJ643" t="s">
        <v>48</v>
      </c>
      <c r="AK643" t="s">
        <v>62</v>
      </c>
      <c r="AL643" t="s">
        <v>63</v>
      </c>
      <c r="AM643" t="s">
        <v>61</v>
      </c>
      <c r="AN643" t="s">
        <v>64</v>
      </c>
      <c r="AO643" t="s">
        <v>1548</v>
      </c>
      <c r="AP643">
        <v>1</v>
      </c>
      <c r="AQ643" t="s">
        <v>66</v>
      </c>
      <c r="AR643" t="s">
        <v>1549</v>
      </c>
      <c r="AS643">
        <v>2022</v>
      </c>
      <c r="AT643" t="s">
        <v>49</v>
      </c>
      <c r="AU643" t="s">
        <v>299</v>
      </c>
      <c r="AV643" t="s">
        <v>269</v>
      </c>
      <c r="AW643" t="s">
        <v>48</v>
      </c>
    </row>
    <row r="644" spans="1:49" x14ac:dyDescent="0.3">
      <c r="A644" t="s">
        <v>1820</v>
      </c>
      <c r="B644" t="s">
        <v>48</v>
      </c>
      <c r="C644" t="s">
        <v>49</v>
      </c>
      <c r="D644">
        <v>540.02</v>
      </c>
      <c r="E644">
        <v>1</v>
      </c>
      <c r="F644">
        <v>2.57</v>
      </c>
      <c r="G644" t="s">
        <v>1821</v>
      </c>
      <c r="H644" t="s">
        <v>1822</v>
      </c>
      <c r="I644" t="s">
        <v>52</v>
      </c>
      <c r="J644" t="s">
        <v>53</v>
      </c>
      <c r="K644">
        <v>140</v>
      </c>
      <c r="L644" t="s">
        <v>126</v>
      </c>
      <c r="M644">
        <f>DOWNLOAD_2kLRbPnDtawQopEJ_UKtt22ud9U57gk8mqebZIeugNk[[#This Row],[Standard Value]]</f>
        <v>140</v>
      </c>
      <c r="N644">
        <f>-LOG(DOWNLOAD_2kLRbPnDtawQopEJ_UKtt22ud9U57gk8mqebZIeugNk[[#This Row],[IC50]]*POWER(10, -9), 10)</f>
        <v>6.8538719643217609</v>
      </c>
      <c r="O644">
        <v>6.85</v>
      </c>
      <c r="P644" t="s">
        <v>48</v>
      </c>
      <c r="R644" t="s">
        <v>127</v>
      </c>
      <c r="S644">
        <v>12.69</v>
      </c>
      <c r="T644">
        <v>0.25</v>
      </c>
      <c r="U644">
        <v>4.28</v>
      </c>
      <c r="V644">
        <v>5.37</v>
      </c>
      <c r="W644">
        <v>0</v>
      </c>
      <c r="X644" t="s">
        <v>1186</v>
      </c>
      <c r="Y644" t="s">
        <v>878</v>
      </c>
      <c r="Z644" t="s">
        <v>58</v>
      </c>
      <c r="AA644" t="s">
        <v>59</v>
      </c>
      <c r="AB644" t="s">
        <v>60</v>
      </c>
      <c r="AC644" t="s">
        <v>61</v>
      </c>
      <c r="AD644" t="s">
        <v>49</v>
      </c>
      <c r="AE644" t="s">
        <v>49</v>
      </c>
      <c r="AF644" t="s">
        <v>49</v>
      </c>
      <c r="AG644" t="s">
        <v>49</v>
      </c>
      <c r="AH644" t="s">
        <v>48</v>
      </c>
      <c r="AI644" t="s">
        <v>48</v>
      </c>
      <c r="AJ644" t="s">
        <v>48</v>
      </c>
      <c r="AK644" t="s">
        <v>62</v>
      </c>
      <c r="AL644" t="s">
        <v>63</v>
      </c>
      <c r="AM644" t="s">
        <v>61</v>
      </c>
      <c r="AN644" t="s">
        <v>64</v>
      </c>
      <c r="AO644" t="s">
        <v>571</v>
      </c>
      <c r="AP644">
        <v>1</v>
      </c>
      <c r="AQ644" t="s">
        <v>66</v>
      </c>
      <c r="AR644" t="s">
        <v>67</v>
      </c>
      <c r="AS644">
        <v>2019</v>
      </c>
      <c r="AT644" t="s">
        <v>49</v>
      </c>
      <c r="AU644" t="s">
        <v>48</v>
      </c>
      <c r="AV644" t="s">
        <v>48</v>
      </c>
      <c r="AW644" t="s">
        <v>48</v>
      </c>
    </row>
    <row r="645" spans="1:49" x14ac:dyDescent="0.3">
      <c r="A645" t="s">
        <v>1823</v>
      </c>
      <c r="B645" t="s">
        <v>48</v>
      </c>
      <c r="C645" t="s">
        <v>49</v>
      </c>
      <c r="D645">
        <v>406.45</v>
      </c>
      <c r="E645">
        <v>0</v>
      </c>
      <c r="F645">
        <v>3.62</v>
      </c>
      <c r="G645" t="s">
        <v>405</v>
      </c>
      <c r="H645" t="s">
        <v>1824</v>
      </c>
      <c r="I645" t="s">
        <v>52</v>
      </c>
      <c r="J645" t="s">
        <v>53</v>
      </c>
      <c r="K645">
        <v>19</v>
      </c>
      <c r="L645" t="s">
        <v>126</v>
      </c>
      <c r="M645">
        <f>DOWNLOAD_2kLRbPnDtawQopEJ_UKtt22ud9U57gk8mqebZIeugNk[[#This Row],[Standard Value]]</f>
        <v>19</v>
      </c>
      <c r="N645">
        <f>-LOG(DOWNLOAD_2kLRbPnDtawQopEJ_UKtt22ud9U57gk8mqebZIeugNk[[#This Row],[IC50]]*POWER(10, -9), 10)</f>
        <v>7.7212463990471711</v>
      </c>
      <c r="O645">
        <v>7.72</v>
      </c>
      <c r="P645" t="s">
        <v>48</v>
      </c>
      <c r="R645" t="s">
        <v>127</v>
      </c>
      <c r="S645">
        <v>19</v>
      </c>
      <c r="T645">
        <v>0.35</v>
      </c>
      <c r="U645">
        <v>4.0999999999999996</v>
      </c>
      <c r="V645">
        <v>6.58</v>
      </c>
      <c r="W645">
        <v>0</v>
      </c>
      <c r="X645" t="s">
        <v>450</v>
      </c>
      <c r="Y645" t="s">
        <v>451</v>
      </c>
      <c r="Z645" t="s">
        <v>58</v>
      </c>
      <c r="AA645" t="s">
        <v>59</v>
      </c>
      <c r="AB645" t="s">
        <v>60</v>
      </c>
      <c r="AC645" t="s">
        <v>61</v>
      </c>
      <c r="AD645" t="s">
        <v>49</v>
      </c>
      <c r="AE645" t="s">
        <v>49</v>
      </c>
      <c r="AF645" t="s">
        <v>49</v>
      </c>
      <c r="AG645" t="s">
        <v>49</v>
      </c>
      <c r="AH645" t="s">
        <v>48</v>
      </c>
      <c r="AI645" t="s">
        <v>48</v>
      </c>
      <c r="AJ645" t="s">
        <v>48</v>
      </c>
      <c r="AK645" t="s">
        <v>62</v>
      </c>
      <c r="AL645" t="s">
        <v>63</v>
      </c>
      <c r="AM645" t="s">
        <v>61</v>
      </c>
      <c r="AN645" t="s">
        <v>64</v>
      </c>
      <c r="AO645" t="s">
        <v>452</v>
      </c>
      <c r="AP645">
        <v>1</v>
      </c>
      <c r="AQ645" t="s">
        <v>66</v>
      </c>
      <c r="AR645" t="s">
        <v>267</v>
      </c>
      <c r="AS645">
        <v>2019</v>
      </c>
      <c r="AT645" t="s">
        <v>49</v>
      </c>
      <c r="AU645" t="s">
        <v>48</v>
      </c>
      <c r="AV645" t="s">
        <v>48</v>
      </c>
      <c r="AW645" t="s">
        <v>48</v>
      </c>
    </row>
    <row r="646" spans="1:49" x14ac:dyDescent="0.3">
      <c r="A646" t="s">
        <v>1825</v>
      </c>
      <c r="B646" t="s">
        <v>48</v>
      </c>
      <c r="C646" t="s">
        <v>49</v>
      </c>
      <c r="D646">
        <v>586</v>
      </c>
      <c r="E646">
        <v>1</v>
      </c>
      <c r="F646">
        <v>3.3</v>
      </c>
      <c r="G646" t="s">
        <v>952</v>
      </c>
      <c r="H646" t="s">
        <v>1826</v>
      </c>
      <c r="I646" t="s">
        <v>52</v>
      </c>
      <c r="J646" t="s">
        <v>53</v>
      </c>
      <c r="K646">
        <v>2440</v>
      </c>
      <c r="L646" t="s">
        <v>126</v>
      </c>
      <c r="M646">
        <f>DOWNLOAD_2kLRbPnDtawQopEJ_UKtt22ud9U57gk8mqebZIeugNk[[#This Row],[Standard Value]]</f>
        <v>2440</v>
      </c>
      <c r="N646">
        <f>-LOG(DOWNLOAD_2kLRbPnDtawQopEJ_UKtt22ud9U57gk8mqebZIeugNk[[#This Row],[IC50]]*POWER(10, -9), 10)</f>
        <v>5.6126101736612704</v>
      </c>
      <c r="O646">
        <v>5.61</v>
      </c>
      <c r="P646" t="s">
        <v>48</v>
      </c>
      <c r="R646" t="s">
        <v>127</v>
      </c>
      <c r="S646">
        <v>10.19</v>
      </c>
      <c r="T646">
        <v>0.19</v>
      </c>
      <c r="U646">
        <v>2.31</v>
      </c>
      <c r="V646">
        <v>4.8600000000000003</v>
      </c>
      <c r="W646">
        <v>0</v>
      </c>
      <c r="X646" t="s">
        <v>557</v>
      </c>
      <c r="Y646" t="s">
        <v>558</v>
      </c>
      <c r="Z646" t="s">
        <v>58</v>
      </c>
      <c r="AA646" t="s">
        <v>59</v>
      </c>
      <c r="AB646" t="s">
        <v>60</v>
      </c>
      <c r="AC646" t="s">
        <v>61</v>
      </c>
      <c r="AD646" t="s">
        <v>49</v>
      </c>
      <c r="AE646" t="s">
        <v>49</v>
      </c>
      <c r="AF646" t="s">
        <v>49</v>
      </c>
      <c r="AG646" t="s">
        <v>49</v>
      </c>
      <c r="AH646" t="s">
        <v>48</v>
      </c>
      <c r="AI646" t="s">
        <v>48</v>
      </c>
      <c r="AJ646" t="s">
        <v>48</v>
      </c>
      <c r="AK646" t="s">
        <v>62</v>
      </c>
      <c r="AL646" t="s">
        <v>63</v>
      </c>
      <c r="AM646" t="s">
        <v>61</v>
      </c>
      <c r="AN646" t="s">
        <v>64</v>
      </c>
      <c r="AO646" t="s">
        <v>559</v>
      </c>
      <c r="AP646">
        <v>1</v>
      </c>
      <c r="AQ646" t="s">
        <v>66</v>
      </c>
      <c r="AR646" t="s">
        <v>131</v>
      </c>
      <c r="AS646">
        <v>2019</v>
      </c>
      <c r="AT646" t="s">
        <v>49</v>
      </c>
      <c r="AU646" t="s">
        <v>48</v>
      </c>
      <c r="AV646" t="s">
        <v>48</v>
      </c>
      <c r="AW646" t="s">
        <v>48</v>
      </c>
    </row>
    <row r="647" spans="1:49" x14ac:dyDescent="0.3">
      <c r="A647" t="s">
        <v>281</v>
      </c>
      <c r="B647" t="s">
        <v>282</v>
      </c>
      <c r="C647" t="s">
        <v>112</v>
      </c>
      <c r="D647">
        <v>331.35</v>
      </c>
      <c r="E647">
        <v>0</v>
      </c>
      <c r="F647">
        <v>1.58</v>
      </c>
      <c r="G647" t="s">
        <v>283</v>
      </c>
      <c r="H647" t="s">
        <v>284</v>
      </c>
      <c r="I647" t="s">
        <v>52</v>
      </c>
      <c r="J647" t="s">
        <v>53</v>
      </c>
      <c r="K647">
        <v>122</v>
      </c>
      <c r="L647" t="s">
        <v>126</v>
      </c>
      <c r="M647">
        <f>DOWNLOAD_2kLRbPnDtawQopEJ_UKtt22ud9U57gk8mqebZIeugNk[[#This Row],[Standard Value]]</f>
        <v>122</v>
      </c>
      <c r="N647">
        <f>-LOG(DOWNLOAD_2kLRbPnDtawQopEJ_UKtt22ud9U57gk8mqebZIeugNk[[#This Row],[IC50]]*POWER(10, -9), 10)</f>
        <v>6.9136401693252507</v>
      </c>
      <c r="O647">
        <v>6.91</v>
      </c>
      <c r="P647" t="s">
        <v>48</v>
      </c>
      <c r="R647" t="s">
        <v>127</v>
      </c>
      <c r="S647">
        <v>20.87</v>
      </c>
      <c r="T647">
        <v>0.39</v>
      </c>
      <c r="U647">
        <v>5.33</v>
      </c>
      <c r="V647">
        <v>9.27</v>
      </c>
      <c r="W647">
        <v>0</v>
      </c>
      <c r="X647" t="s">
        <v>557</v>
      </c>
      <c r="Y647" t="s">
        <v>558</v>
      </c>
      <c r="Z647" t="s">
        <v>58</v>
      </c>
      <c r="AA647" t="s">
        <v>59</v>
      </c>
      <c r="AB647" t="s">
        <v>60</v>
      </c>
      <c r="AC647" t="s">
        <v>61</v>
      </c>
      <c r="AD647" t="s">
        <v>49</v>
      </c>
      <c r="AE647" t="s">
        <v>49</v>
      </c>
      <c r="AF647" t="s">
        <v>49</v>
      </c>
      <c r="AG647" t="s">
        <v>49</v>
      </c>
      <c r="AH647" t="s">
        <v>48</v>
      </c>
      <c r="AI647" t="s">
        <v>48</v>
      </c>
      <c r="AJ647" t="s">
        <v>48</v>
      </c>
      <c r="AK647" t="s">
        <v>62</v>
      </c>
      <c r="AL647" t="s">
        <v>63</v>
      </c>
      <c r="AM647" t="s">
        <v>61</v>
      </c>
      <c r="AN647" t="s">
        <v>64</v>
      </c>
      <c r="AO647" t="s">
        <v>559</v>
      </c>
      <c r="AP647">
        <v>1</v>
      </c>
      <c r="AQ647" t="s">
        <v>66</v>
      </c>
      <c r="AR647" t="s">
        <v>131</v>
      </c>
      <c r="AS647">
        <v>2019</v>
      </c>
      <c r="AT647" t="s">
        <v>49</v>
      </c>
      <c r="AU647" t="s">
        <v>48</v>
      </c>
      <c r="AV647" t="s">
        <v>48</v>
      </c>
      <c r="AW647" t="s">
        <v>48</v>
      </c>
    </row>
    <row r="648" spans="1:49" x14ac:dyDescent="0.3">
      <c r="A648" t="s">
        <v>1827</v>
      </c>
      <c r="B648" t="s">
        <v>48</v>
      </c>
      <c r="C648" t="s">
        <v>49</v>
      </c>
      <c r="D648">
        <v>413.24</v>
      </c>
      <c r="E648">
        <v>0</v>
      </c>
      <c r="F648">
        <v>3.52</v>
      </c>
      <c r="G648" t="s">
        <v>102</v>
      </c>
      <c r="H648" t="s">
        <v>1828</v>
      </c>
      <c r="I648" t="s">
        <v>52</v>
      </c>
      <c r="J648" t="s">
        <v>53</v>
      </c>
      <c r="K648">
        <v>29</v>
      </c>
      <c r="L648" t="s">
        <v>126</v>
      </c>
      <c r="M648">
        <f>DOWNLOAD_2kLRbPnDtawQopEJ_UKtt22ud9U57gk8mqebZIeugNk[[#This Row],[Standard Value]]</f>
        <v>29</v>
      </c>
      <c r="N648">
        <f>-LOG(DOWNLOAD_2kLRbPnDtawQopEJ_UKtt22ud9U57gk8mqebZIeugNk[[#This Row],[IC50]]*POWER(10, -9), 10)</f>
        <v>7.5376020021010426</v>
      </c>
      <c r="O648">
        <v>7.54</v>
      </c>
      <c r="P648" t="s">
        <v>48</v>
      </c>
      <c r="R648" t="s">
        <v>127</v>
      </c>
      <c r="S648">
        <v>18.239999999999998</v>
      </c>
      <c r="T648">
        <v>0.4</v>
      </c>
      <c r="U648">
        <v>4.0199999999999996</v>
      </c>
      <c r="V648">
        <v>6.07</v>
      </c>
      <c r="W648">
        <v>0</v>
      </c>
      <c r="X648" t="s">
        <v>684</v>
      </c>
      <c r="Y648" t="s">
        <v>327</v>
      </c>
      <c r="Z648" t="s">
        <v>58</v>
      </c>
      <c r="AA648" t="s">
        <v>59</v>
      </c>
      <c r="AB648" t="s">
        <v>60</v>
      </c>
      <c r="AC648" t="s">
        <v>61</v>
      </c>
      <c r="AD648" t="s">
        <v>49</v>
      </c>
      <c r="AE648" t="s">
        <v>49</v>
      </c>
      <c r="AF648" t="s">
        <v>49</v>
      </c>
      <c r="AG648" t="s">
        <v>49</v>
      </c>
      <c r="AH648" t="s">
        <v>48</v>
      </c>
      <c r="AI648" t="s">
        <v>48</v>
      </c>
      <c r="AJ648" t="s">
        <v>48</v>
      </c>
      <c r="AK648" t="s">
        <v>62</v>
      </c>
      <c r="AL648" t="s">
        <v>63</v>
      </c>
      <c r="AM648" t="s">
        <v>61</v>
      </c>
      <c r="AN648" t="s">
        <v>64</v>
      </c>
      <c r="AO648" t="s">
        <v>685</v>
      </c>
      <c r="AP648">
        <v>1</v>
      </c>
      <c r="AQ648" t="s">
        <v>66</v>
      </c>
      <c r="AR648" t="s">
        <v>686</v>
      </c>
      <c r="AS648">
        <v>2020</v>
      </c>
      <c r="AT648" t="s">
        <v>49</v>
      </c>
      <c r="AU648" t="s">
        <v>299</v>
      </c>
      <c r="AV648" t="s">
        <v>269</v>
      </c>
      <c r="AW648" t="s">
        <v>48</v>
      </c>
    </row>
    <row r="649" spans="1:49" x14ac:dyDescent="0.3">
      <c r="A649" t="s">
        <v>1829</v>
      </c>
      <c r="B649" t="s">
        <v>48</v>
      </c>
      <c r="C649" t="s">
        <v>49</v>
      </c>
      <c r="D649">
        <v>479.47</v>
      </c>
      <c r="E649">
        <v>0</v>
      </c>
      <c r="F649">
        <v>2.23</v>
      </c>
      <c r="G649" t="s">
        <v>1830</v>
      </c>
      <c r="H649" t="s">
        <v>1831</v>
      </c>
      <c r="I649" t="s">
        <v>52</v>
      </c>
      <c r="J649" t="s">
        <v>53</v>
      </c>
      <c r="K649">
        <v>1900</v>
      </c>
      <c r="L649" t="s">
        <v>126</v>
      </c>
      <c r="M649">
        <f>DOWNLOAD_2kLRbPnDtawQopEJ_UKtt22ud9U57gk8mqebZIeugNk[[#This Row],[Standard Value]]</f>
        <v>1900</v>
      </c>
      <c r="N649">
        <f>-LOG(DOWNLOAD_2kLRbPnDtawQopEJ_UKtt22ud9U57gk8mqebZIeugNk[[#This Row],[IC50]]*POWER(10, -9), 10)</f>
        <v>5.7212463990471711</v>
      </c>
      <c r="O649">
        <v>5.72</v>
      </c>
      <c r="P649" t="s">
        <v>48</v>
      </c>
      <c r="Q649">
        <v>302856</v>
      </c>
      <c r="R649" t="s">
        <v>127</v>
      </c>
      <c r="S649">
        <v>11.93</v>
      </c>
      <c r="T649">
        <v>0.22</v>
      </c>
      <c r="U649">
        <v>3.49</v>
      </c>
      <c r="V649">
        <v>4.5199999999999996</v>
      </c>
      <c r="W649">
        <v>0</v>
      </c>
      <c r="X649" t="s">
        <v>251</v>
      </c>
      <c r="Y649" t="s">
        <v>252</v>
      </c>
      <c r="Z649" t="s">
        <v>58</v>
      </c>
      <c r="AA649" t="s">
        <v>59</v>
      </c>
      <c r="AB649" t="s">
        <v>60</v>
      </c>
      <c r="AC649" t="s">
        <v>61</v>
      </c>
      <c r="AD649" t="s">
        <v>49</v>
      </c>
      <c r="AE649" t="s">
        <v>49</v>
      </c>
      <c r="AF649" t="s">
        <v>49</v>
      </c>
      <c r="AG649" t="s">
        <v>49</v>
      </c>
      <c r="AH649" t="s">
        <v>48</v>
      </c>
      <c r="AI649" t="s">
        <v>48</v>
      </c>
      <c r="AJ649" t="s">
        <v>48</v>
      </c>
      <c r="AK649" t="s">
        <v>62</v>
      </c>
      <c r="AL649" t="s">
        <v>63</v>
      </c>
      <c r="AM649" t="s">
        <v>61</v>
      </c>
      <c r="AN649" t="s">
        <v>64</v>
      </c>
      <c r="AO649" t="s">
        <v>253</v>
      </c>
      <c r="AP649">
        <v>37</v>
      </c>
      <c r="AQ649" t="s">
        <v>254</v>
      </c>
      <c r="AR649" t="s">
        <v>48</v>
      </c>
      <c r="AS649">
        <v>2015</v>
      </c>
      <c r="AT649" t="s">
        <v>49</v>
      </c>
      <c r="AU649" t="s">
        <v>48</v>
      </c>
      <c r="AV649" t="s">
        <v>48</v>
      </c>
      <c r="AW649" t="s">
        <v>48</v>
      </c>
    </row>
    <row r="650" spans="1:49" x14ac:dyDescent="0.3">
      <c r="A650" t="s">
        <v>1832</v>
      </c>
      <c r="B650" t="s">
        <v>48</v>
      </c>
      <c r="C650" t="s">
        <v>49</v>
      </c>
      <c r="D650">
        <v>580.66</v>
      </c>
      <c r="E650">
        <v>1</v>
      </c>
      <c r="F650">
        <v>2.74</v>
      </c>
      <c r="G650" t="s">
        <v>682</v>
      </c>
      <c r="H650" t="s">
        <v>1833</v>
      </c>
      <c r="I650" t="s">
        <v>52</v>
      </c>
      <c r="J650" t="s">
        <v>53</v>
      </c>
      <c r="K650">
        <v>20</v>
      </c>
      <c r="L650" t="s">
        <v>126</v>
      </c>
      <c r="M650">
        <f>DOWNLOAD_2kLRbPnDtawQopEJ_UKtt22ud9U57gk8mqebZIeugNk[[#This Row],[Standard Value]]</f>
        <v>20</v>
      </c>
      <c r="N650">
        <f>-LOG(DOWNLOAD_2kLRbPnDtawQopEJ_UKtt22ud9U57gk8mqebZIeugNk[[#This Row],[IC50]]*POWER(10, -9), 10)</f>
        <v>7.6989700043360179</v>
      </c>
      <c r="O650">
        <v>7.7</v>
      </c>
      <c r="P650" t="s">
        <v>48</v>
      </c>
      <c r="R650" t="s">
        <v>127</v>
      </c>
      <c r="S650">
        <v>14.15</v>
      </c>
      <c r="T650">
        <v>0.35</v>
      </c>
      <c r="U650">
        <v>4.96</v>
      </c>
      <c r="V650">
        <v>5.81</v>
      </c>
      <c r="W650">
        <v>0</v>
      </c>
      <c r="X650" t="s">
        <v>716</v>
      </c>
      <c r="Y650" t="s">
        <v>717</v>
      </c>
      <c r="Z650" t="s">
        <v>58</v>
      </c>
      <c r="AA650" t="s">
        <v>59</v>
      </c>
      <c r="AB650" t="s">
        <v>60</v>
      </c>
      <c r="AC650" t="s">
        <v>61</v>
      </c>
      <c r="AD650" t="s">
        <v>49</v>
      </c>
      <c r="AE650" t="s">
        <v>49</v>
      </c>
      <c r="AF650" t="s">
        <v>49</v>
      </c>
      <c r="AG650" t="s">
        <v>49</v>
      </c>
      <c r="AH650" t="s">
        <v>48</v>
      </c>
      <c r="AI650" t="s">
        <v>48</v>
      </c>
      <c r="AJ650" t="s">
        <v>48</v>
      </c>
      <c r="AK650" t="s">
        <v>62</v>
      </c>
      <c r="AL650" t="s">
        <v>63</v>
      </c>
      <c r="AM650" t="s">
        <v>61</v>
      </c>
      <c r="AN650" t="s">
        <v>64</v>
      </c>
      <c r="AO650" t="s">
        <v>718</v>
      </c>
      <c r="AP650">
        <v>1</v>
      </c>
      <c r="AQ650" t="s">
        <v>66</v>
      </c>
      <c r="AR650" t="s">
        <v>131</v>
      </c>
      <c r="AS650">
        <v>2019</v>
      </c>
      <c r="AT650" t="s">
        <v>49</v>
      </c>
      <c r="AU650" t="s">
        <v>299</v>
      </c>
      <c r="AV650" t="s">
        <v>269</v>
      </c>
      <c r="AW650" t="s">
        <v>48</v>
      </c>
    </row>
    <row r="651" spans="1:49" x14ac:dyDescent="0.3">
      <c r="A651" t="s">
        <v>181</v>
      </c>
      <c r="B651" t="s">
        <v>182</v>
      </c>
      <c r="C651" t="s">
        <v>112</v>
      </c>
      <c r="D651">
        <v>612.63</v>
      </c>
      <c r="E651">
        <v>2</v>
      </c>
      <c r="F651">
        <v>3.63</v>
      </c>
      <c r="G651" t="s">
        <v>183</v>
      </c>
      <c r="H651" t="s">
        <v>184</v>
      </c>
      <c r="I651" t="s">
        <v>52</v>
      </c>
      <c r="J651" t="s">
        <v>53</v>
      </c>
      <c r="K651">
        <v>170</v>
      </c>
      <c r="L651" t="s">
        <v>126</v>
      </c>
      <c r="M651">
        <f>DOWNLOAD_2kLRbPnDtawQopEJ_UKtt22ud9U57gk8mqebZIeugNk[[#This Row],[Standard Value]]</f>
        <v>170</v>
      </c>
      <c r="N651">
        <f>-LOG(DOWNLOAD_2kLRbPnDtawQopEJ_UKtt22ud9U57gk8mqebZIeugNk[[#This Row],[IC50]]*POWER(10, -9), 10)</f>
        <v>6.7695510786217259</v>
      </c>
      <c r="O651">
        <v>6.77</v>
      </c>
      <c r="P651" t="s">
        <v>48</v>
      </c>
      <c r="R651" t="s">
        <v>127</v>
      </c>
      <c r="S651">
        <v>11.05</v>
      </c>
      <c r="T651">
        <v>0.21</v>
      </c>
      <c r="U651">
        <v>3.14</v>
      </c>
      <c r="V651">
        <v>3.38</v>
      </c>
      <c r="W651">
        <v>1</v>
      </c>
      <c r="X651" t="s">
        <v>716</v>
      </c>
      <c r="Y651" t="s">
        <v>717</v>
      </c>
      <c r="Z651" t="s">
        <v>58</v>
      </c>
      <c r="AA651" t="s">
        <v>59</v>
      </c>
      <c r="AB651" t="s">
        <v>60</v>
      </c>
      <c r="AC651" t="s">
        <v>61</v>
      </c>
      <c r="AD651" t="s">
        <v>49</v>
      </c>
      <c r="AE651" t="s">
        <v>49</v>
      </c>
      <c r="AF651" t="s">
        <v>49</v>
      </c>
      <c r="AG651" t="s">
        <v>49</v>
      </c>
      <c r="AH651" t="s">
        <v>48</v>
      </c>
      <c r="AI651" t="s">
        <v>48</v>
      </c>
      <c r="AJ651" t="s">
        <v>48</v>
      </c>
      <c r="AK651" t="s">
        <v>62</v>
      </c>
      <c r="AL651" t="s">
        <v>63</v>
      </c>
      <c r="AM651" t="s">
        <v>61</v>
      </c>
      <c r="AN651" t="s">
        <v>64</v>
      </c>
      <c r="AO651" t="s">
        <v>718</v>
      </c>
      <c r="AP651">
        <v>1</v>
      </c>
      <c r="AQ651" t="s">
        <v>66</v>
      </c>
      <c r="AR651" t="s">
        <v>131</v>
      </c>
      <c r="AS651">
        <v>2019</v>
      </c>
      <c r="AT651" t="s">
        <v>49</v>
      </c>
      <c r="AU651" t="s">
        <v>299</v>
      </c>
      <c r="AV651" t="s">
        <v>269</v>
      </c>
      <c r="AW651" t="s">
        <v>48</v>
      </c>
    </row>
    <row r="652" spans="1:49" x14ac:dyDescent="0.3">
      <c r="A652" t="s">
        <v>1834</v>
      </c>
      <c r="B652" t="s">
        <v>48</v>
      </c>
      <c r="C652" t="s">
        <v>49</v>
      </c>
      <c r="D652">
        <v>341.22</v>
      </c>
      <c r="E652">
        <v>0</v>
      </c>
      <c r="F652">
        <v>4.07</v>
      </c>
      <c r="G652" t="s">
        <v>561</v>
      </c>
      <c r="H652" t="s">
        <v>1835</v>
      </c>
      <c r="I652" t="s">
        <v>52</v>
      </c>
      <c r="J652" t="s">
        <v>53</v>
      </c>
      <c r="K652">
        <v>16000</v>
      </c>
      <c r="L652" t="s">
        <v>126</v>
      </c>
      <c r="M652">
        <f>DOWNLOAD_2kLRbPnDtawQopEJ_UKtt22ud9U57gk8mqebZIeugNk[[#This Row],[Standard Value]]</f>
        <v>16000</v>
      </c>
      <c r="N652">
        <f>-LOG(DOWNLOAD_2kLRbPnDtawQopEJ_UKtt22ud9U57gk8mqebZIeugNk[[#This Row],[IC50]]*POWER(10, -9), 10)</f>
        <v>4.7958800173440741</v>
      </c>
      <c r="O652">
        <v>4.8</v>
      </c>
      <c r="P652" t="s">
        <v>48</v>
      </c>
      <c r="R652" t="s">
        <v>127</v>
      </c>
      <c r="S652">
        <v>14.06</v>
      </c>
      <c r="T652">
        <v>0.31</v>
      </c>
      <c r="U652">
        <v>0.73</v>
      </c>
      <c r="V652">
        <v>5.72</v>
      </c>
      <c r="W652">
        <v>0</v>
      </c>
      <c r="X652" t="s">
        <v>684</v>
      </c>
      <c r="Y652" t="s">
        <v>327</v>
      </c>
      <c r="Z652" t="s">
        <v>58</v>
      </c>
      <c r="AA652" t="s">
        <v>59</v>
      </c>
      <c r="AB652" t="s">
        <v>60</v>
      </c>
      <c r="AC652" t="s">
        <v>61</v>
      </c>
      <c r="AD652" t="s">
        <v>49</v>
      </c>
      <c r="AE652" t="s">
        <v>49</v>
      </c>
      <c r="AF652" t="s">
        <v>49</v>
      </c>
      <c r="AG652" t="s">
        <v>49</v>
      </c>
      <c r="AH652" t="s">
        <v>48</v>
      </c>
      <c r="AI652" t="s">
        <v>48</v>
      </c>
      <c r="AJ652" t="s">
        <v>48</v>
      </c>
      <c r="AK652" t="s">
        <v>62</v>
      </c>
      <c r="AL652" t="s">
        <v>63</v>
      </c>
      <c r="AM652" t="s">
        <v>61</v>
      </c>
      <c r="AN652" t="s">
        <v>64</v>
      </c>
      <c r="AO652" t="s">
        <v>685</v>
      </c>
      <c r="AP652">
        <v>1</v>
      </c>
      <c r="AQ652" t="s">
        <v>66</v>
      </c>
      <c r="AR652" t="s">
        <v>686</v>
      </c>
      <c r="AS652">
        <v>2020</v>
      </c>
      <c r="AT652" t="s">
        <v>49</v>
      </c>
      <c r="AU652" t="s">
        <v>299</v>
      </c>
      <c r="AV652" t="s">
        <v>269</v>
      </c>
      <c r="AW652" t="s">
        <v>48</v>
      </c>
    </row>
    <row r="653" spans="1:49" x14ac:dyDescent="0.3">
      <c r="A653" t="s">
        <v>1836</v>
      </c>
      <c r="B653" t="s">
        <v>48</v>
      </c>
      <c r="C653" t="s">
        <v>49</v>
      </c>
      <c r="D653">
        <v>485.47</v>
      </c>
      <c r="E653">
        <v>1</v>
      </c>
      <c r="F653">
        <v>2.56</v>
      </c>
      <c r="G653" t="s">
        <v>324</v>
      </c>
      <c r="H653" t="s">
        <v>1837</v>
      </c>
      <c r="I653" t="s">
        <v>52</v>
      </c>
      <c r="J653" t="s">
        <v>53</v>
      </c>
      <c r="K653">
        <v>2.66</v>
      </c>
      <c r="L653" t="s">
        <v>126</v>
      </c>
      <c r="M653">
        <f>DOWNLOAD_2kLRbPnDtawQopEJ_UKtt22ud9U57gk8mqebZIeugNk[[#This Row],[Standard Value]]</f>
        <v>2.66</v>
      </c>
      <c r="N653">
        <f>-LOG(DOWNLOAD_2kLRbPnDtawQopEJ_UKtt22ud9U57gk8mqebZIeugNk[[#This Row],[IC50]]*POWER(10, -9), 10)</f>
        <v>8.5751183633689312</v>
      </c>
      <c r="O653">
        <v>8.57</v>
      </c>
      <c r="P653" t="s">
        <v>48</v>
      </c>
      <c r="R653" t="s">
        <v>127</v>
      </c>
      <c r="S653">
        <v>19.510000000000002</v>
      </c>
      <c r="T653">
        <v>0.37</v>
      </c>
      <c r="U653">
        <v>6.02</v>
      </c>
      <c r="V653">
        <v>5.74</v>
      </c>
      <c r="W653">
        <v>0</v>
      </c>
      <c r="X653" t="s">
        <v>264</v>
      </c>
      <c r="Y653" t="s">
        <v>265</v>
      </c>
      <c r="Z653" t="s">
        <v>58</v>
      </c>
      <c r="AA653" t="s">
        <v>59</v>
      </c>
      <c r="AB653" t="s">
        <v>60</v>
      </c>
      <c r="AC653" t="s">
        <v>61</v>
      </c>
      <c r="AD653" t="s">
        <v>49</v>
      </c>
      <c r="AE653" t="s">
        <v>49</v>
      </c>
      <c r="AF653" t="s">
        <v>49</v>
      </c>
      <c r="AG653" t="s">
        <v>49</v>
      </c>
      <c r="AH653" t="s">
        <v>48</v>
      </c>
      <c r="AI653" t="s">
        <v>48</v>
      </c>
      <c r="AJ653" t="s">
        <v>48</v>
      </c>
      <c r="AK653" t="s">
        <v>62</v>
      </c>
      <c r="AL653" t="s">
        <v>63</v>
      </c>
      <c r="AM653" t="s">
        <v>61</v>
      </c>
      <c r="AN653" t="s">
        <v>64</v>
      </c>
      <c r="AO653" t="s">
        <v>266</v>
      </c>
      <c r="AP653">
        <v>1</v>
      </c>
      <c r="AQ653" t="s">
        <v>66</v>
      </c>
      <c r="AR653" t="s">
        <v>267</v>
      </c>
      <c r="AS653">
        <v>2020</v>
      </c>
      <c r="AT653" t="s">
        <v>49</v>
      </c>
      <c r="AU653" t="s">
        <v>268</v>
      </c>
      <c r="AV653" t="s">
        <v>269</v>
      </c>
      <c r="AW653" t="s">
        <v>48</v>
      </c>
    </row>
    <row r="654" spans="1:49" x14ac:dyDescent="0.3">
      <c r="A654" t="s">
        <v>1838</v>
      </c>
      <c r="B654" t="s">
        <v>48</v>
      </c>
      <c r="C654" t="s">
        <v>49</v>
      </c>
      <c r="D654">
        <v>583.47</v>
      </c>
      <c r="E654">
        <v>1</v>
      </c>
      <c r="F654">
        <v>4.8600000000000003</v>
      </c>
      <c r="G654" t="s">
        <v>691</v>
      </c>
      <c r="H654" t="s">
        <v>1839</v>
      </c>
      <c r="I654" t="s">
        <v>52</v>
      </c>
      <c r="J654" t="s">
        <v>53</v>
      </c>
      <c r="K654">
        <v>71</v>
      </c>
      <c r="L654" t="s">
        <v>126</v>
      </c>
      <c r="M654">
        <f>DOWNLOAD_2kLRbPnDtawQopEJ_UKtt22ud9U57gk8mqebZIeugNk[[#This Row],[Standard Value]]</f>
        <v>71</v>
      </c>
      <c r="N654">
        <f>-LOG(DOWNLOAD_2kLRbPnDtawQopEJ_UKtt22ud9U57gk8mqebZIeugNk[[#This Row],[IC50]]*POWER(10, -9), 10)</f>
        <v>7.1487416512809245</v>
      </c>
      <c r="O654">
        <v>7.15</v>
      </c>
      <c r="P654" t="s">
        <v>48</v>
      </c>
      <c r="R654" t="s">
        <v>127</v>
      </c>
      <c r="S654">
        <v>12.25</v>
      </c>
      <c r="T654">
        <v>0.25</v>
      </c>
      <c r="U654">
        <v>2.29</v>
      </c>
      <c r="V654">
        <v>4.76</v>
      </c>
      <c r="W654">
        <v>0</v>
      </c>
      <c r="X654" t="s">
        <v>716</v>
      </c>
      <c r="Y654" t="s">
        <v>717</v>
      </c>
      <c r="Z654" t="s">
        <v>58</v>
      </c>
      <c r="AA654" t="s">
        <v>59</v>
      </c>
      <c r="AB654" t="s">
        <v>60</v>
      </c>
      <c r="AC654" t="s">
        <v>61</v>
      </c>
      <c r="AD654" t="s">
        <v>49</v>
      </c>
      <c r="AE654" t="s">
        <v>49</v>
      </c>
      <c r="AF654" t="s">
        <v>49</v>
      </c>
      <c r="AG654" t="s">
        <v>49</v>
      </c>
      <c r="AH654" t="s">
        <v>48</v>
      </c>
      <c r="AI654" t="s">
        <v>48</v>
      </c>
      <c r="AJ654" t="s">
        <v>48</v>
      </c>
      <c r="AK654" t="s">
        <v>62</v>
      </c>
      <c r="AL654" t="s">
        <v>63</v>
      </c>
      <c r="AM654" t="s">
        <v>61</v>
      </c>
      <c r="AN654" t="s">
        <v>64</v>
      </c>
      <c r="AO654" t="s">
        <v>718</v>
      </c>
      <c r="AP654">
        <v>1</v>
      </c>
      <c r="AQ654" t="s">
        <v>66</v>
      </c>
      <c r="AR654" t="s">
        <v>131</v>
      </c>
      <c r="AS654">
        <v>2019</v>
      </c>
      <c r="AT654" t="s">
        <v>49</v>
      </c>
      <c r="AU654" t="s">
        <v>299</v>
      </c>
      <c r="AV654" t="s">
        <v>269</v>
      </c>
      <c r="AW654" t="s">
        <v>48</v>
      </c>
    </row>
    <row r="655" spans="1:49" x14ac:dyDescent="0.3">
      <c r="A655" t="s">
        <v>1840</v>
      </c>
      <c r="B655" t="s">
        <v>48</v>
      </c>
      <c r="C655" t="s">
        <v>49</v>
      </c>
      <c r="D655">
        <v>504.55</v>
      </c>
      <c r="E655">
        <v>1</v>
      </c>
      <c r="F655">
        <v>2.13</v>
      </c>
      <c r="G655" t="s">
        <v>1841</v>
      </c>
      <c r="H655" t="s">
        <v>1842</v>
      </c>
      <c r="I655" t="s">
        <v>52</v>
      </c>
      <c r="J655" t="s">
        <v>53</v>
      </c>
      <c r="K655">
        <v>1660</v>
      </c>
      <c r="L655" t="s">
        <v>126</v>
      </c>
      <c r="M655">
        <f>DOWNLOAD_2kLRbPnDtawQopEJ_UKtt22ud9U57gk8mqebZIeugNk[[#This Row],[Standard Value]]</f>
        <v>1660</v>
      </c>
      <c r="N655">
        <f>-LOG(DOWNLOAD_2kLRbPnDtawQopEJ_UKtt22ud9U57gk8mqebZIeugNk[[#This Row],[IC50]]*POWER(10, -9), 10)</f>
        <v>5.7798919119599441</v>
      </c>
      <c r="O655">
        <v>5.78</v>
      </c>
      <c r="P655" t="s">
        <v>48</v>
      </c>
      <c r="R655" t="s">
        <v>127</v>
      </c>
      <c r="S655">
        <v>11.46</v>
      </c>
      <c r="T655">
        <v>0.21</v>
      </c>
      <c r="U655">
        <v>3.65</v>
      </c>
      <c r="V655">
        <v>4.67</v>
      </c>
      <c r="W655">
        <v>0</v>
      </c>
      <c r="X655" t="s">
        <v>1186</v>
      </c>
      <c r="Y655" t="s">
        <v>878</v>
      </c>
      <c r="Z655" t="s">
        <v>58</v>
      </c>
      <c r="AA655" t="s">
        <v>59</v>
      </c>
      <c r="AB655" t="s">
        <v>60</v>
      </c>
      <c r="AC655" t="s">
        <v>61</v>
      </c>
      <c r="AD655" t="s">
        <v>49</v>
      </c>
      <c r="AE655" t="s">
        <v>49</v>
      </c>
      <c r="AF655" t="s">
        <v>49</v>
      </c>
      <c r="AG655" t="s">
        <v>49</v>
      </c>
      <c r="AH655" t="s">
        <v>48</v>
      </c>
      <c r="AI655" t="s">
        <v>48</v>
      </c>
      <c r="AJ655" t="s">
        <v>48</v>
      </c>
      <c r="AK655" t="s">
        <v>62</v>
      </c>
      <c r="AL655" t="s">
        <v>63</v>
      </c>
      <c r="AM655" t="s">
        <v>61</v>
      </c>
      <c r="AN655" t="s">
        <v>64</v>
      </c>
      <c r="AO655" t="s">
        <v>571</v>
      </c>
      <c r="AP655">
        <v>1</v>
      </c>
      <c r="AQ655" t="s">
        <v>66</v>
      </c>
      <c r="AR655" t="s">
        <v>67</v>
      </c>
      <c r="AS655">
        <v>2019</v>
      </c>
      <c r="AT655" t="s">
        <v>49</v>
      </c>
      <c r="AU655" t="s">
        <v>48</v>
      </c>
      <c r="AV655" t="s">
        <v>48</v>
      </c>
      <c r="AW655" t="s">
        <v>48</v>
      </c>
    </row>
    <row r="656" spans="1:49" x14ac:dyDescent="0.3">
      <c r="A656" t="s">
        <v>181</v>
      </c>
      <c r="B656" t="s">
        <v>182</v>
      </c>
      <c r="C656" t="s">
        <v>112</v>
      </c>
      <c r="D656">
        <v>612.63</v>
      </c>
      <c r="E656">
        <v>2</v>
      </c>
      <c r="F656">
        <v>3.63</v>
      </c>
      <c r="G656" t="s">
        <v>405</v>
      </c>
      <c r="H656" t="s">
        <v>184</v>
      </c>
      <c r="I656" t="s">
        <v>52</v>
      </c>
      <c r="J656" t="s">
        <v>53</v>
      </c>
      <c r="K656">
        <v>144</v>
      </c>
      <c r="L656" t="s">
        <v>126</v>
      </c>
      <c r="M656">
        <f>DOWNLOAD_2kLRbPnDtawQopEJ_UKtt22ud9U57gk8mqebZIeugNk[[#This Row],[Standard Value]]</f>
        <v>144</v>
      </c>
      <c r="N656">
        <f>-LOG(DOWNLOAD_2kLRbPnDtawQopEJ_UKtt22ud9U57gk8mqebZIeugNk[[#This Row],[IC50]]*POWER(10, -9), 10)</f>
        <v>6.8416375079047498</v>
      </c>
      <c r="O656">
        <v>6.84</v>
      </c>
      <c r="P656" t="s">
        <v>48</v>
      </c>
      <c r="R656" t="s">
        <v>127</v>
      </c>
      <c r="S656">
        <v>11.17</v>
      </c>
      <c r="T656">
        <v>0.21</v>
      </c>
      <c r="U656">
        <v>3.21</v>
      </c>
      <c r="V656">
        <v>3.42</v>
      </c>
      <c r="W656">
        <v>0</v>
      </c>
      <c r="X656" t="s">
        <v>1330</v>
      </c>
      <c r="Y656" t="s">
        <v>1331</v>
      </c>
      <c r="Z656" t="s">
        <v>58</v>
      </c>
      <c r="AA656" t="s">
        <v>59</v>
      </c>
      <c r="AB656" t="s">
        <v>60</v>
      </c>
      <c r="AC656" t="s">
        <v>61</v>
      </c>
      <c r="AD656" t="s">
        <v>49</v>
      </c>
      <c r="AE656" t="s">
        <v>49</v>
      </c>
      <c r="AF656" t="s">
        <v>49</v>
      </c>
      <c r="AG656" t="s">
        <v>49</v>
      </c>
      <c r="AH656" t="s">
        <v>48</v>
      </c>
      <c r="AI656" t="s">
        <v>48</v>
      </c>
      <c r="AJ656" t="s">
        <v>48</v>
      </c>
      <c r="AK656" t="s">
        <v>62</v>
      </c>
      <c r="AL656" t="s">
        <v>63</v>
      </c>
      <c r="AM656" t="s">
        <v>61</v>
      </c>
      <c r="AN656" t="s">
        <v>64</v>
      </c>
      <c r="AO656" t="s">
        <v>1332</v>
      </c>
      <c r="AP656">
        <v>1</v>
      </c>
      <c r="AQ656" t="s">
        <v>66</v>
      </c>
      <c r="AR656" t="s">
        <v>329</v>
      </c>
      <c r="AS656">
        <v>2017</v>
      </c>
      <c r="AT656" t="s">
        <v>49</v>
      </c>
      <c r="AU656" t="s">
        <v>48</v>
      </c>
      <c r="AV656" t="s">
        <v>48</v>
      </c>
      <c r="AW656" t="s">
        <v>48</v>
      </c>
    </row>
    <row r="657" spans="1:49" x14ac:dyDescent="0.3">
      <c r="A657" t="s">
        <v>542</v>
      </c>
      <c r="B657" t="s">
        <v>543</v>
      </c>
      <c r="C657" t="s">
        <v>112</v>
      </c>
      <c r="D657">
        <v>319.33999999999997</v>
      </c>
      <c r="E657">
        <v>0</v>
      </c>
      <c r="F657">
        <v>1.27</v>
      </c>
      <c r="G657" t="s">
        <v>1843</v>
      </c>
      <c r="H657" t="s">
        <v>545</v>
      </c>
      <c r="I657" t="s">
        <v>52</v>
      </c>
      <c r="J657" t="s">
        <v>53</v>
      </c>
      <c r="K657">
        <v>18600</v>
      </c>
      <c r="L657" t="s">
        <v>126</v>
      </c>
      <c r="M657">
        <f>DOWNLOAD_2kLRbPnDtawQopEJ_UKtt22ud9U57gk8mqebZIeugNk[[#This Row],[Standard Value]]</f>
        <v>18600</v>
      </c>
      <c r="N657">
        <f>-LOG(DOWNLOAD_2kLRbPnDtawQopEJ_UKtt22ud9U57gk8mqebZIeugNk[[#This Row],[IC50]]*POWER(10, -9), 10)</f>
        <v>4.7304870557820831</v>
      </c>
      <c r="O657">
        <v>4.7300000000000004</v>
      </c>
      <c r="P657" t="s">
        <v>48</v>
      </c>
      <c r="R657" t="s">
        <v>127</v>
      </c>
      <c r="S657">
        <v>14.81</v>
      </c>
      <c r="T657">
        <v>0.28000000000000003</v>
      </c>
      <c r="U657">
        <v>3.46</v>
      </c>
      <c r="V657">
        <v>6.34</v>
      </c>
      <c r="W657">
        <v>0</v>
      </c>
      <c r="X657" t="s">
        <v>1814</v>
      </c>
      <c r="Y657" t="s">
        <v>1815</v>
      </c>
      <c r="Z657" t="s">
        <v>58</v>
      </c>
      <c r="AA657" t="s">
        <v>59</v>
      </c>
      <c r="AB657" t="s">
        <v>60</v>
      </c>
      <c r="AC657" t="s">
        <v>61</v>
      </c>
      <c r="AD657" t="s">
        <v>49</v>
      </c>
      <c r="AE657" t="s">
        <v>49</v>
      </c>
      <c r="AF657" t="s">
        <v>49</v>
      </c>
      <c r="AG657" t="s">
        <v>49</v>
      </c>
      <c r="AH657" t="s">
        <v>48</v>
      </c>
      <c r="AI657" t="s">
        <v>48</v>
      </c>
      <c r="AJ657" t="s">
        <v>48</v>
      </c>
      <c r="AK657" t="s">
        <v>62</v>
      </c>
      <c r="AL657" t="s">
        <v>63</v>
      </c>
      <c r="AM657" t="s">
        <v>61</v>
      </c>
      <c r="AN657" t="s">
        <v>64</v>
      </c>
      <c r="AO657" t="s">
        <v>1816</v>
      </c>
      <c r="AP657">
        <v>1</v>
      </c>
      <c r="AQ657" t="s">
        <v>66</v>
      </c>
      <c r="AR657" t="s">
        <v>131</v>
      </c>
      <c r="AS657">
        <v>2019</v>
      </c>
      <c r="AT657" t="s">
        <v>49</v>
      </c>
      <c r="AU657" t="s">
        <v>1817</v>
      </c>
      <c r="AV657" t="s">
        <v>269</v>
      </c>
      <c r="AW657" t="s">
        <v>48</v>
      </c>
    </row>
    <row r="658" spans="1:49" x14ac:dyDescent="0.3">
      <c r="A658" t="s">
        <v>118</v>
      </c>
      <c r="B658" t="s">
        <v>48</v>
      </c>
      <c r="C658" t="s">
        <v>49</v>
      </c>
      <c r="D658">
        <v>437.37</v>
      </c>
      <c r="E658">
        <v>1</v>
      </c>
      <c r="F658">
        <v>6.3</v>
      </c>
      <c r="G658" t="s">
        <v>760</v>
      </c>
      <c r="H658" t="s">
        <v>120</v>
      </c>
      <c r="I658" t="s">
        <v>52</v>
      </c>
      <c r="J658" t="s">
        <v>53</v>
      </c>
      <c r="K658">
        <v>8</v>
      </c>
      <c r="L658" t="s">
        <v>54</v>
      </c>
      <c r="M658">
        <f>DOWNLOAD_2kLRbPnDtawQopEJ_UKtt22ud9U57gk8mqebZIeugNk[[#This Row],[Standard Value]]/DOWNLOAD_2kLRbPnDtawQopEJ_UKtt22ud9U57gk8mqebZIeugNk[[#This Row],[Molecular Weight]]*1000*1000</f>
        <v>18291.149370098541</v>
      </c>
      <c r="N658">
        <f>-LOG(DOWNLOAD_2kLRbPnDtawQopEJ_UKtt22ud9U57gk8mqebZIeugNk[[#This Row],[IC50]]*POWER(10, -9), 10)</f>
        <v>4.7377590036866231</v>
      </c>
      <c r="P658" t="s">
        <v>48</v>
      </c>
      <c r="R658" t="s">
        <v>55</v>
      </c>
      <c r="W658">
        <v>1</v>
      </c>
      <c r="X658" t="s">
        <v>1529</v>
      </c>
      <c r="Y658" t="s">
        <v>1530</v>
      </c>
      <c r="Z658" t="s">
        <v>58</v>
      </c>
      <c r="AA658" t="s">
        <v>59</v>
      </c>
      <c r="AB658" t="s">
        <v>60</v>
      </c>
      <c r="AC658" t="s">
        <v>61</v>
      </c>
      <c r="AD658" t="s">
        <v>49</v>
      </c>
      <c r="AE658" t="s">
        <v>49</v>
      </c>
      <c r="AF658" t="s">
        <v>49</v>
      </c>
      <c r="AG658" t="s">
        <v>49</v>
      </c>
      <c r="AH658" t="s">
        <v>48</v>
      </c>
      <c r="AI658" t="s">
        <v>48</v>
      </c>
      <c r="AJ658" t="s">
        <v>48</v>
      </c>
      <c r="AK658" t="s">
        <v>62</v>
      </c>
      <c r="AL658" t="s">
        <v>63</v>
      </c>
      <c r="AM658" t="s">
        <v>61</v>
      </c>
      <c r="AN658" t="s">
        <v>64</v>
      </c>
      <c r="AO658" t="s">
        <v>1531</v>
      </c>
      <c r="AP658">
        <v>1</v>
      </c>
      <c r="AQ658" t="s">
        <v>66</v>
      </c>
      <c r="AR658" t="s">
        <v>76</v>
      </c>
      <c r="AS658">
        <v>2021</v>
      </c>
      <c r="AT658" t="s">
        <v>49</v>
      </c>
      <c r="AU658" t="s">
        <v>268</v>
      </c>
      <c r="AV658" t="s">
        <v>269</v>
      </c>
      <c r="AW658" t="s">
        <v>48</v>
      </c>
    </row>
    <row r="659" spans="1:49" x14ac:dyDescent="0.3">
      <c r="A659" t="s">
        <v>1844</v>
      </c>
      <c r="B659" t="s">
        <v>48</v>
      </c>
      <c r="C659" t="s">
        <v>49</v>
      </c>
      <c r="D659">
        <v>567.15</v>
      </c>
      <c r="E659">
        <v>1</v>
      </c>
      <c r="F659">
        <v>3.01</v>
      </c>
      <c r="G659" t="s">
        <v>396</v>
      </c>
      <c r="H659" t="s">
        <v>1845</v>
      </c>
      <c r="I659" t="s">
        <v>52</v>
      </c>
      <c r="J659" t="s">
        <v>53</v>
      </c>
      <c r="K659">
        <v>45</v>
      </c>
      <c r="L659" t="s">
        <v>126</v>
      </c>
      <c r="M659">
        <f>DOWNLOAD_2kLRbPnDtawQopEJ_UKtt22ud9U57gk8mqebZIeugNk[[#This Row],[Standard Value]]</f>
        <v>45</v>
      </c>
      <c r="N659">
        <f>-LOG(DOWNLOAD_2kLRbPnDtawQopEJ_UKtt22ud9U57gk8mqebZIeugNk[[#This Row],[IC50]]*POWER(10, -9), 10)</f>
        <v>7.346787486224656</v>
      </c>
      <c r="O659">
        <v>7.35</v>
      </c>
      <c r="P659" t="s">
        <v>48</v>
      </c>
      <c r="R659" t="s">
        <v>127</v>
      </c>
      <c r="S659">
        <v>12.95</v>
      </c>
      <c r="T659">
        <v>0.31</v>
      </c>
      <c r="U659">
        <v>4.34</v>
      </c>
      <c r="V659">
        <v>4.28</v>
      </c>
      <c r="W659">
        <v>0</v>
      </c>
      <c r="X659" t="s">
        <v>326</v>
      </c>
      <c r="Y659" t="s">
        <v>327</v>
      </c>
      <c r="Z659" t="s">
        <v>58</v>
      </c>
      <c r="AA659" t="s">
        <v>59</v>
      </c>
      <c r="AB659" t="s">
        <v>60</v>
      </c>
      <c r="AC659" t="s">
        <v>61</v>
      </c>
      <c r="AD659" t="s">
        <v>49</v>
      </c>
      <c r="AE659" t="s">
        <v>49</v>
      </c>
      <c r="AF659" t="s">
        <v>49</v>
      </c>
      <c r="AG659" t="s">
        <v>49</v>
      </c>
      <c r="AH659" t="s">
        <v>48</v>
      </c>
      <c r="AI659" t="s">
        <v>48</v>
      </c>
      <c r="AJ659" t="s">
        <v>48</v>
      </c>
      <c r="AK659" t="s">
        <v>62</v>
      </c>
      <c r="AL659" t="s">
        <v>63</v>
      </c>
      <c r="AM659" t="s">
        <v>61</v>
      </c>
      <c r="AN659" t="s">
        <v>64</v>
      </c>
      <c r="AO659" t="s">
        <v>328</v>
      </c>
      <c r="AP659">
        <v>1</v>
      </c>
      <c r="AQ659" t="s">
        <v>66</v>
      </c>
      <c r="AR659" t="s">
        <v>329</v>
      </c>
      <c r="AS659">
        <v>2019</v>
      </c>
      <c r="AT659" t="s">
        <v>49</v>
      </c>
      <c r="AU659" t="s">
        <v>48</v>
      </c>
      <c r="AV659" t="s">
        <v>48</v>
      </c>
      <c r="AW659" t="s">
        <v>48</v>
      </c>
    </row>
    <row r="660" spans="1:49" x14ac:dyDescent="0.3">
      <c r="A660" t="s">
        <v>1846</v>
      </c>
      <c r="B660" t="s">
        <v>48</v>
      </c>
      <c r="C660" t="s">
        <v>49</v>
      </c>
      <c r="D660">
        <v>459.55</v>
      </c>
      <c r="E660">
        <v>0</v>
      </c>
      <c r="F660">
        <v>3.81</v>
      </c>
      <c r="G660" t="s">
        <v>1847</v>
      </c>
      <c r="H660" t="s">
        <v>1848</v>
      </c>
      <c r="I660" t="s">
        <v>52</v>
      </c>
      <c r="J660" t="s">
        <v>71</v>
      </c>
      <c r="K660">
        <v>1000000</v>
      </c>
      <c r="L660" t="s">
        <v>126</v>
      </c>
      <c r="M660">
        <f>DOWNLOAD_2kLRbPnDtawQopEJ_UKtt22ud9U57gk8mqebZIeugNk[[#This Row],[Standard Value]]</f>
        <v>1000000</v>
      </c>
      <c r="N660">
        <f>-LOG(DOWNLOAD_2kLRbPnDtawQopEJ_UKtt22ud9U57gk8mqebZIeugNk[[#This Row],[IC50]]*POWER(10, -9), 10)</f>
        <v>2.9999999999999996</v>
      </c>
      <c r="P660" t="s">
        <v>72</v>
      </c>
      <c r="R660" t="s">
        <v>127</v>
      </c>
      <c r="W660">
        <v>0</v>
      </c>
      <c r="X660" t="s">
        <v>458</v>
      </c>
      <c r="Y660" t="s">
        <v>459</v>
      </c>
      <c r="Z660" t="s">
        <v>58</v>
      </c>
      <c r="AA660" t="s">
        <v>59</v>
      </c>
      <c r="AB660" t="s">
        <v>60</v>
      </c>
      <c r="AC660" t="s">
        <v>61</v>
      </c>
      <c r="AD660" t="s">
        <v>49</v>
      </c>
      <c r="AE660" t="s">
        <v>49</v>
      </c>
      <c r="AF660" t="s">
        <v>49</v>
      </c>
      <c r="AG660" t="s">
        <v>49</v>
      </c>
      <c r="AH660" t="s">
        <v>48</v>
      </c>
      <c r="AI660" t="s">
        <v>48</v>
      </c>
      <c r="AJ660" t="s">
        <v>48</v>
      </c>
      <c r="AK660" t="s">
        <v>62</v>
      </c>
      <c r="AL660" t="s">
        <v>63</v>
      </c>
      <c r="AM660" t="s">
        <v>61</v>
      </c>
      <c r="AN660" t="s">
        <v>64</v>
      </c>
      <c r="AO660" t="s">
        <v>460</v>
      </c>
      <c r="AP660">
        <v>1</v>
      </c>
      <c r="AQ660" t="s">
        <v>66</v>
      </c>
      <c r="AR660" t="s">
        <v>267</v>
      </c>
      <c r="AS660">
        <v>2019</v>
      </c>
      <c r="AT660" t="s">
        <v>49</v>
      </c>
      <c r="AU660" t="s">
        <v>48</v>
      </c>
      <c r="AV660" t="s">
        <v>48</v>
      </c>
      <c r="AW660" t="s">
        <v>48</v>
      </c>
    </row>
    <row r="661" spans="1:49" x14ac:dyDescent="0.3">
      <c r="A661" t="s">
        <v>181</v>
      </c>
      <c r="B661" t="s">
        <v>182</v>
      </c>
      <c r="C661" t="s">
        <v>112</v>
      </c>
      <c r="D661">
        <v>612.63</v>
      </c>
      <c r="E661">
        <v>2</v>
      </c>
      <c r="F661">
        <v>3.63</v>
      </c>
      <c r="G661" t="s">
        <v>405</v>
      </c>
      <c r="H661" t="s">
        <v>184</v>
      </c>
      <c r="I661" t="s">
        <v>52</v>
      </c>
      <c r="J661" t="s">
        <v>53</v>
      </c>
      <c r="K661">
        <v>245</v>
      </c>
      <c r="L661" t="s">
        <v>126</v>
      </c>
      <c r="M661">
        <f>DOWNLOAD_2kLRbPnDtawQopEJ_UKtt22ud9U57gk8mqebZIeugNk[[#This Row],[Standard Value]]</f>
        <v>245</v>
      </c>
      <c r="N661">
        <f>-LOG(DOWNLOAD_2kLRbPnDtawQopEJ_UKtt22ud9U57gk8mqebZIeugNk[[#This Row],[IC50]]*POWER(10, -9), 10)</f>
        <v>6.6108339156354665</v>
      </c>
      <c r="O661">
        <v>6.61</v>
      </c>
      <c r="P661" t="s">
        <v>48</v>
      </c>
      <c r="R661" t="s">
        <v>127</v>
      </c>
      <c r="S661">
        <v>10.79</v>
      </c>
      <c r="T661">
        <v>0.21</v>
      </c>
      <c r="U661">
        <v>2.98</v>
      </c>
      <c r="V661">
        <v>3.31</v>
      </c>
      <c r="W661">
        <v>0</v>
      </c>
      <c r="X661" t="s">
        <v>1849</v>
      </c>
      <c r="Y661" t="s">
        <v>1850</v>
      </c>
      <c r="Z661" t="s">
        <v>58</v>
      </c>
      <c r="AA661" t="s">
        <v>59</v>
      </c>
      <c r="AB661" t="s">
        <v>60</v>
      </c>
      <c r="AC661" t="s">
        <v>61</v>
      </c>
      <c r="AD661" t="s">
        <v>49</v>
      </c>
      <c r="AE661" t="s">
        <v>49</v>
      </c>
      <c r="AF661" t="s">
        <v>49</v>
      </c>
      <c r="AG661" t="s">
        <v>49</v>
      </c>
      <c r="AH661" t="s">
        <v>48</v>
      </c>
      <c r="AI661" t="s">
        <v>48</v>
      </c>
      <c r="AJ661" t="s">
        <v>48</v>
      </c>
      <c r="AK661" t="s">
        <v>62</v>
      </c>
      <c r="AL661" t="s">
        <v>63</v>
      </c>
      <c r="AM661" t="s">
        <v>61</v>
      </c>
      <c r="AN661" t="s">
        <v>64</v>
      </c>
      <c r="AO661" t="s">
        <v>1332</v>
      </c>
      <c r="AP661">
        <v>1</v>
      </c>
      <c r="AQ661" t="s">
        <v>66</v>
      </c>
      <c r="AR661" t="s">
        <v>329</v>
      </c>
      <c r="AS661">
        <v>2017</v>
      </c>
      <c r="AT661" t="s">
        <v>49</v>
      </c>
      <c r="AU661" t="s">
        <v>48</v>
      </c>
      <c r="AV661" t="s">
        <v>48</v>
      </c>
      <c r="AW661" t="s">
        <v>48</v>
      </c>
    </row>
    <row r="662" spans="1:49" x14ac:dyDescent="0.3">
      <c r="A662" t="s">
        <v>1851</v>
      </c>
      <c r="B662" t="s">
        <v>48</v>
      </c>
      <c r="C662" t="s">
        <v>49</v>
      </c>
      <c r="D662">
        <v>353.17</v>
      </c>
      <c r="E662">
        <v>0</v>
      </c>
      <c r="F662">
        <v>2.15</v>
      </c>
      <c r="G662" t="s">
        <v>669</v>
      </c>
      <c r="H662" t="s">
        <v>1852</v>
      </c>
      <c r="I662" t="s">
        <v>52</v>
      </c>
      <c r="J662" t="s">
        <v>53</v>
      </c>
      <c r="K662">
        <v>77</v>
      </c>
      <c r="L662" t="s">
        <v>126</v>
      </c>
      <c r="M662">
        <f>DOWNLOAD_2kLRbPnDtawQopEJ_UKtt22ud9U57gk8mqebZIeugNk[[#This Row],[Standard Value]]</f>
        <v>77</v>
      </c>
      <c r="N662">
        <f>-LOG(DOWNLOAD_2kLRbPnDtawQopEJ_UKtt22ud9U57gk8mqebZIeugNk[[#This Row],[IC50]]*POWER(10, -9), 10)</f>
        <v>7.1135092748275168</v>
      </c>
      <c r="O662">
        <v>7.11</v>
      </c>
      <c r="P662" t="s">
        <v>48</v>
      </c>
      <c r="R662" t="s">
        <v>127</v>
      </c>
      <c r="S662">
        <v>20.14</v>
      </c>
      <c r="T662">
        <v>0.42</v>
      </c>
      <c r="U662">
        <v>4.96</v>
      </c>
      <c r="V662">
        <v>6.56</v>
      </c>
      <c r="W662">
        <v>0</v>
      </c>
      <c r="X662" t="s">
        <v>716</v>
      </c>
      <c r="Y662" t="s">
        <v>717</v>
      </c>
      <c r="Z662" t="s">
        <v>58</v>
      </c>
      <c r="AA662" t="s">
        <v>59</v>
      </c>
      <c r="AB662" t="s">
        <v>60</v>
      </c>
      <c r="AC662" t="s">
        <v>61</v>
      </c>
      <c r="AD662" t="s">
        <v>49</v>
      </c>
      <c r="AE662" t="s">
        <v>49</v>
      </c>
      <c r="AF662" t="s">
        <v>49</v>
      </c>
      <c r="AG662" t="s">
        <v>49</v>
      </c>
      <c r="AH662" t="s">
        <v>48</v>
      </c>
      <c r="AI662" t="s">
        <v>48</v>
      </c>
      <c r="AJ662" t="s">
        <v>48</v>
      </c>
      <c r="AK662" t="s">
        <v>62</v>
      </c>
      <c r="AL662" t="s">
        <v>63</v>
      </c>
      <c r="AM662" t="s">
        <v>61</v>
      </c>
      <c r="AN662" t="s">
        <v>64</v>
      </c>
      <c r="AO662" t="s">
        <v>718</v>
      </c>
      <c r="AP662">
        <v>1</v>
      </c>
      <c r="AQ662" t="s">
        <v>66</v>
      </c>
      <c r="AR662" t="s">
        <v>131</v>
      </c>
      <c r="AS662">
        <v>2019</v>
      </c>
      <c r="AT662" t="s">
        <v>49</v>
      </c>
      <c r="AU662" t="s">
        <v>299</v>
      </c>
      <c r="AV662" t="s">
        <v>269</v>
      </c>
      <c r="AW662" t="s">
        <v>48</v>
      </c>
    </row>
    <row r="663" spans="1:49" x14ac:dyDescent="0.3">
      <c r="A663" t="s">
        <v>1853</v>
      </c>
      <c r="B663" t="s">
        <v>48</v>
      </c>
      <c r="C663" t="s">
        <v>49</v>
      </c>
      <c r="D663">
        <v>526.44000000000005</v>
      </c>
      <c r="E663">
        <v>0</v>
      </c>
      <c r="F663">
        <v>2.42</v>
      </c>
      <c r="G663" t="s">
        <v>233</v>
      </c>
      <c r="H663" t="s">
        <v>1854</v>
      </c>
      <c r="I663" t="s">
        <v>52</v>
      </c>
      <c r="J663" t="s">
        <v>53</v>
      </c>
      <c r="K663">
        <v>109.23</v>
      </c>
      <c r="L663" t="s">
        <v>126</v>
      </c>
      <c r="M663">
        <f>DOWNLOAD_2kLRbPnDtawQopEJ_UKtt22ud9U57gk8mqebZIeugNk[[#This Row],[Standard Value]]</f>
        <v>109.23</v>
      </c>
      <c r="N663">
        <f>-LOG(DOWNLOAD_2kLRbPnDtawQopEJ_UKtt22ud9U57gk8mqebZIeugNk[[#This Row],[IC50]]*POWER(10, -9), 10)</f>
        <v>6.9616580663463923</v>
      </c>
      <c r="O663">
        <v>6.96</v>
      </c>
      <c r="P663" t="s">
        <v>48</v>
      </c>
      <c r="R663" t="s">
        <v>127</v>
      </c>
      <c r="S663">
        <v>16.88</v>
      </c>
      <c r="T663">
        <v>0.32</v>
      </c>
      <c r="U663">
        <v>4.54</v>
      </c>
      <c r="V663">
        <v>5.65</v>
      </c>
      <c r="W663">
        <v>0</v>
      </c>
      <c r="X663" t="s">
        <v>264</v>
      </c>
      <c r="Y663" t="s">
        <v>265</v>
      </c>
      <c r="Z663" t="s">
        <v>58</v>
      </c>
      <c r="AA663" t="s">
        <v>59</v>
      </c>
      <c r="AB663" t="s">
        <v>60</v>
      </c>
      <c r="AC663" t="s">
        <v>61</v>
      </c>
      <c r="AD663" t="s">
        <v>49</v>
      </c>
      <c r="AE663" t="s">
        <v>49</v>
      </c>
      <c r="AF663" t="s">
        <v>49</v>
      </c>
      <c r="AG663" t="s">
        <v>49</v>
      </c>
      <c r="AH663" t="s">
        <v>48</v>
      </c>
      <c r="AI663" t="s">
        <v>48</v>
      </c>
      <c r="AJ663" t="s">
        <v>48</v>
      </c>
      <c r="AK663" t="s">
        <v>62</v>
      </c>
      <c r="AL663" t="s">
        <v>63</v>
      </c>
      <c r="AM663" t="s">
        <v>61</v>
      </c>
      <c r="AN663" t="s">
        <v>64</v>
      </c>
      <c r="AO663" t="s">
        <v>266</v>
      </c>
      <c r="AP663">
        <v>1</v>
      </c>
      <c r="AQ663" t="s">
        <v>66</v>
      </c>
      <c r="AR663" t="s">
        <v>267</v>
      </c>
      <c r="AS663">
        <v>2020</v>
      </c>
      <c r="AT663" t="s">
        <v>49</v>
      </c>
      <c r="AU663" t="s">
        <v>268</v>
      </c>
      <c r="AV663" t="s">
        <v>269</v>
      </c>
      <c r="AW663" t="s">
        <v>48</v>
      </c>
    </row>
    <row r="664" spans="1:49" x14ac:dyDescent="0.3">
      <c r="A664" t="s">
        <v>1855</v>
      </c>
      <c r="B664" t="s">
        <v>48</v>
      </c>
      <c r="C664" t="s">
        <v>49</v>
      </c>
      <c r="D664">
        <v>459.43</v>
      </c>
      <c r="E664">
        <v>1</v>
      </c>
      <c r="F664">
        <v>2.0299999999999998</v>
      </c>
      <c r="G664" t="s">
        <v>157</v>
      </c>
      <c r="H664" t="s">
        <v>1856</v>
      </c>
      <c r="I664" t="s">
        <v>52</v>
      </c>
      <c r="J664" t="s">
        <v>53</v>
      </c>
      <c r="K664">
        <v>0.94</v>
      </c>
      <c r="L664" t="s">
        <v>126</v>
      </c>
      <c r="M664">
        <f>DOWNLOAD_2kLRbPnDtawQopEJ_UKtt22ud9U57gk8mqebZIeugNk[[#This Row],[Standard Value]]</f>
        <v>0.94</v>
      </c>
      <c r="N664">
        <f>-LOG(DOWNLOAD_2kLRbPnDtawQopEJ_UKtt22ud9U57gk8mqebZIeugNk[[#This Row],[IC50]]*POWER(10, -9), 10)</f>
        <v>9.0268721464003008</v>
      </c>
      <c r="O664">
        <v>9.0299999999999994</v>
      </c>
      <c r="P664" t="s">
        <v>48</v>
      </c>
      <c r="R664" t="s">
        <v>127</v>
      </c>
      <c r="S664">
        <v>21.84</v>
      </c>
      <c r="T664">
        <v>0.41</v>
      </c>
      <c r="U664">
        <v>7</v>
      </c>
      <c r="V664">
        <v>6.04</v>
      </c>
      <c r="W664">
        <v>0</v>
      </c>
      <c r="X664" t="s">
        <v>264</v>
      </c>
      <c r="Y664" t="s">
        <v>265</v>
      </c>
      <c r="Z664" t="s">
        <v>58</v>
      </c>
      <c r="AA664" t="s">
        <v>59</v>
      </c>
      <c r="AB664" t="s">
        <v>60</v>
      </c>
      <c r="AC664" t="s">
        <v>61</v>
      </c>
      <c r="AD664" t="s">
        <v>49</v>
      </c>
      <c r="AE664" t="s">
        <v>49</v>
      </c>
      <c r="AF664" t="s">
        <v>49</v>
      </c>
      <c r="AG664" t="s">
        <v>49</v>
      </c>
      <c r="AH664" t="s">
        <v>48</v>
      </c>
      <c r="AI664" t="s">
        <v>48</v>
      </c>
      <c r="AJ664" t="s">
        <v>48</v>
      </c>
      <c r="AK664" t="s">
        <v>62</v>
      </c>
      <c r="AL664" t="s">
        <v>63</v>
      </c>
      <c r="AM664" t="s">
        <v>61</v>
      </c>
      <c r="AN664" t="s">
        <v>64</v>
      </c>
      <c r="AO664" t="s">
        <v>266</v>
      </c>
      <c r="AP664">
        <v>1</v>
      </c>
      <c r="AQ664" t="s">
        <v>66</v>
      </c>
      <c r="AR664" t="s">
        <v>267</v>
      </c>
      <c r="AS664">
        <v>2020</v>
      </c>
      <c r="AT664" t="s">
        <v>49</v>
      </c>
      <c r="AU664" t="s">
        <v>268</v>
      </c>
      <c r="AV664" t="s">
        <v>269</v>
      </c>
      <c r="AW664" t="s">
        <v>48</v>
      </c>
    </row>
    <row r="665" spans="1:49" x14ac:dyDescent="0.3">
      <c r="A665" t="s">
        <v>1857</v>
      </c>
      <c r="B665" t="s">
        <v>48</v>
      </c>
      <c r="C665" t="s">
        <v>49</v>
      </c>
      <c r="D665">
        <v>473.46</v>
      </c>
      <c r="E665">
        <v>1</v>
      </c>
      <c r="F665">
        <v>2.42</v>
      </c>
      <c r="G665" t="s">
        <v>142</v>
      </c>
      <c r="H665" t="s">
        <v>1858</v>
      </c>
      <c r="I665" t="s">
        <v>52</v>
      </c>
      <c r="J665" t="s">
        <v>53</v>
      </c>
      <c r="K665">
        <v>0.52</v>
      </c>
      <c r="L665" t="s">
        <v>126</v>
      </c>
      <c r="M665">
        <f>DOWNLOAD_2kLRbPnDtawQopEJ_UKtt22ud9U57gk8mqebZIeugNk[[#This Row],[Standard Value]]</f>
        <v>0.52</v>
      </c>
      <c r="N665">
        <f>-LOG(DOWNLOAD_2kLRbPnDtawQopEJ_UKtt22ud9U57gk8mqebZIeugNk[[#This Row],[IC50]]*POWER(10, -9), 10)</f>
        <v>9.2839966563651988</v>
      </c>
      <c r="O665">
        <v>9.2799999999999994</v>
      </c>
      <c r="P665" t="s">
        <v>48</v>
      </c>
      <c r="R665" t="s">
        <v>127</v>
      </c>
      <c r="S665">
        <v>21.72</v>
      </c>
      <c r="T665">
        <v>0.41</v>
      </c>
      <c r="U665">
        <v>6.86</v>
      </c>
      <c r="V665">
        <v>6.22</v>
      </c>
      <c r="W665">
        <v>0</v>
      </c>
      <c r="X665" t="s">
        <v>264</v>
      </c>
      <c r="Y665" t="s">
        <v>265</v>
      </c>
      <c r="Z665" t="s">
        <v>58</v>
      </c>
      <c r="AA665" t="s">
        <v>59</v>
      </c>
      <c r="AB665" t="s">
        <v>60</v>
      </c>
      <c r="AC665" t="s">
        <v>61</v>
      </c>
      <c r="AD665" t="s">
        <v>49</v>
      </c>
      <c r="AE665" t="s">
        <v>49</v>
      </c>
      <c r="AF665" t="s">
        <v>49</v>
      </c>
      <c r="AG665" t="s">
        <v>49</v>
      </c>
      <c r="AH665" t="s">
        <v>48</v>
      </c>
      <c r="AI665" t="s">
        <v>48</v>
      </c>
      <c r="AJ665" t="s">
        <v>48</v>
      </c>
      <c r="AK665" t="s">
        <v>62</v>
      </c>
      <c r="AL665" t="s">
        <v>63</v>
      </c>
      <c r="AM665" t="s">
        <v>61</v>
      </c>
      <c r="AN665" t="s">
        <v>64</v>
      </c>
      <c r="AO665" t="s">
        <v>266</v>
      </c>
      <c r="AP665">
        <v>1</v>
      </c>
      <c r="AQ665" t="s">
        <v>66</v>
      </c>
      <c r="AR665" t="s">
        <v>267</v>
      </c>
      <c r="AS665">
        <v>2020</v>
      </c>
      <c r="AT665" t="s">
        <v>49</v>
      </c>
      <c r="AU665" t="s">
        <v>268</v>
      </c>
      <c r="AV665" t="s">
        <v>269</v>
      </c>
      <c r="AW665" t="s">
        <v>48</v>
      </c>
    </row>
    <row r="666" spans="1:49" x14ac:dyDescent="0.3">
      <c r="A666" t="s">
        <v>1859</v>
      </c>
      <c r="B666" t="s">
        <v>48</v>
      </c>
      <c r="C666" t="s">
        <v>49</v>
      </c>
      <c r="D666">
        <v>370.91</v>
      </c>
      <c r="E666">
        <v>0</v>
      </c>
      <c r="F666">
        <v>4.8099999999999996</v>
      </c>
      <c r="G666" t="s">
        <v>227</v>
      </c>
      <c r="H666" t="s">
        <v>1860</v>
      </c>
      <c r="I666" t="s">
        <v>52</v>
      </c>
      <c r="J666" t="s">
        <v>53</v>
      </c>
      <c r="K666">
        <v>40</v>
      </c>
      <c r="L666" t="s">
        <v>126</v>
      </c>
      <c r="M666">
        <f>DOWNLOAD_2kLRbPnDtawQopEJ_UKtt22ud9U57gk8mqebZIeugNk[[#This Row],[Standard Value]]</f>
        <v>40</v>
      </c>
      <c r="N666">
        <f>-LOG(DOWNLOAD_2kLRbPnDtawQopEJ_UKtt22ud9U57gk8mqebZIeugNk[[#This Row],[IC50]]*POWER(10, -9), 10)</f>
        <v>7.3979400086720375</v>
      </c>
      <c r="O666">
        <v>7.4</v>
      </c>
      <c r="P666" t="s">
        <v>48</v>
      </c>
      <c r="R666" t="s">
        <v>127</v>
      </c>
      <c r="S666">
        <v>19.95</v>
      </c>
      <c r="T666">
        <v>0.4</v>
      </c>
      <c r="U666">
        <v>2.59</v>
      </c>
      <c r="V666">
        <v>13.42</v>
      </c>
      <c r="W666">
        <v>0</v>
      </c>
      <c r="X666" t="s">
        <v>563</v>
      </c>
      <c r="Y666" t="s">
        <v>564</v>
      </c>
      <c r="Z666" t="s">
        <v>58</v>
      </c>
      <c r="AA666" t="s">
        <v>59</v>
      </c>
      <c r="AB666" t="s">
        <v>60</v>
      </c>
      <c r="AC666" t="s">
        <v>61</v>
      </c>
      <c r="AD666" t="s">
        <v>49</v>
      </c>
      <c r="AE666" t="s">
        <v>49</v>
      </c>
      <c r="AF666" t="s">
        <v>49</v>
      </c>
      <c r="AG666" t="s">
        <v>49</v>
      </c>
      <c r="AH666" t="s">
        <v>48</v>
      </c>
      <c r="AI666" t="s">
        <v>48</v>
      </c>
      <c r="AJ666" t="s">
        <v>48</v>
      </c>
      <c r="AK666" t="s">
        <v>62</v>
      </c>
      <c r="AL666" t="s">
        <v>63</v>
      </c>
      <c r="AM666" t="s">
        <v>61</v>
      </c>
      <c r="AN666" t="s">
        <v>64</v>
      </c>
      <c r="AO666" t="s">
        <v>565</v>
      </c>
      <c r="AP666">
        <v>1</v>
      </c>
      <c r="AQ666" t="s">
        <v>66</v>
      </c>
      <c r="AR666" t="s">
        <v>76</v>
      </c>
      <c r="AS666">
        <v>2019</v>
      </c>
      <c r="AT666" t="s">
        <v>49</v>
      </c>
      <c r="AU666" t="s">
        <v>48</v>
      </c>
      <c r="AV666" t="s">
        <v>48</v>
      </c>
      <c r="AW666" t="s">
        <v>48</v>
      </c>
    </row>
    <row r="667" spans="1:49" x14ac:dyDescent="0.3">
      <c r="A667" t="s">
        <v>430</v>
      </c>
      <c r="B667" t="s">
        <v>48</v>
      </c>
      <c r="C667" t="s">
        <v>49</v>
      </c>
      <c r="D667">
        <v>456.35</v>
      </c>
      <c r="E667">
        <v>0</v>
      </c>
      <c r="F667">
        <v>1.88</v>
      </c>
      <c r="G667" t="s">
        <v>431</v>
      </c>
      <c r="H667" t="s">
        <v>432</v>
      </c>
      <c r="I667" t="s">
        <v>52</v>
      </c>
      <c r="J667" t="s">
        <v>53</v>
      </c>
      <c r="K667">
        <v>600</v>
      </c>
      <c r="L667" t="s">
        <v>126</v>
      </c>
      <c r="M667">
        <f>DOWNLOAD_2kLRbPnDtawQopEJ_UKtt22ud9U57gk8mqebZIeugNk[[#This Row],[Standard Value]]</f>
        <v>600</v>
      </c>
      <c r="N667">
        <f>-LOG(DOWNLOAD_2kLRbPnDtawQopEJ_UKtt22ud9U57gk8mqebZIeugNk[[#This Row],[IC50]]*POWER(10, -9), 10)</f>
        <v>6.2218487496163553</v>
      </c>
      <c r="O667">
        <v>6.22</v>
      </c>
      <c r="P667" t="s">
        <v>48</v>
      </c>
      <c r="Q667">
        <v>302859</v>
      </c>
      <c r="R667" t="s">
        <v>127</v>
      </c>
      <c r="S667">
        <v>13.63</v>
      </c>
      <c r="T667">
        <v>0.27</v>
      </c>
      <c r="U667">
        <v>4.34</v>
      </c>
      <c r="V667">
        <v>5.47</v>
      </c>
      <c r="W667">
        <v>0</v>
      </c>
      <c r="X667" t="s">
        <v>251</v>
      </c>
      <c r="Y667" t="s">
        <v>252</v>
      </c>
      <c r="Z667" t="s">
        <v>58</v>
      </c>
      <c r="AA667" t="s">
        <v>59</v>
      </c>
      <c r="AB667" t="s">
        <v>60</v>
      </c>
      <c r="AC667" t="s">
        <v>61</v>
      </c>
      <c r="AD667" t="s">
        <v>49</v>
      </c>
      <c r="AE667" t="s">
        <v>49</v>
      </c>
      <c r="AF667" t="s">
        <v>49</v>
      </c>
      <c r="AG667" t="s">
        <v>49</v>
      </c>
      <c r="AH667" t="s">
        <v>48</v>
      </c>
      <c r="AI667" t="s">
        <v>48</v>
      </c>
      <c r="AJ667" t="s">
        <v>48</v>
      </c>
      <c r="AK667" t="s">
        <v>62</v>
      </c>
      <c r="AL667" t="s">
        <v>63</v>
      </c>
      <c r="AM667" t="s">
        <v>61</v>
      </c>
      <c r="AN667" t="s">
        <v>64</v>
      </c>
      <c r="AO667" t="s">
        <v>253</v>
      </c>
      <c r="AP667">
        <v>37</v>
      </c>
      <c r="AQ667" t="s">
        <v>254</v>
      </c>
      <c r="AR667" t="s">
        <v>48</v>
      </c>
      <c r="AS667">
        <v>2015</v>
      </c>
      <c r="AT667" t="s">
        <v>49</v>
      </c>
      <c r="AU667" t="s">
        <v>48</v>
      </c>
      <c r="AV667" t="s">
        <v>48</v>
      </c>
      <c r="AW667" t="s">
        <v>48</v>
      </c>
    </row>
    <row r="668" spans="1:49" x14ac:dyDescent="0.3">
      <c r="A668" t="s">
        <v>1861</v>
      </c>
      <c r="B668" t="s">
        <v>48</v>
      </c>
      <c r="C668" t="s">
        <v>49</v>
      </c>
      <c r="D668">
        <v>488.91</v>
      </c>
      <c r="E668">
        <v>0</v>
      </c>
      <c r="F668">
        <v>1.89</v>
      </c>
      <c r="G668" t="s">
        <v>1862</v>
      </c>
      <c r="H668" t="s">
        <v>1863</v>
      </c>
      <c r="I668" t="s">
        <v>52</v>
      </c>
      <c r="J668" t="s">
        <v>53</v>
      </c>
      <c r="K668">
        <v>700</v>
      </c>
      <c r="L668" t="s">
        <v>126</v>
      </c>
      <c r="M668">
        <f>DOWNLOAD_2kLRbPnDtawQopEJ_UKtt22ud9U57gk8mqebZIeugNk[[#This Row],[Standard Value]]</f>
        <v>700</v>
      </c>
      <c r="N668">
        <f>-LOG(DOWNLOAD_2kLRbPnDtawQopEJ_UKtt22ud9U57gk8mqebZIeugNk[[#This Row],[IC50]]*POWER(10, -9), 10)</f>
        <v>6.1549019599857431</v>
      </c>
      <c r="O668">
        <v>6.16</v>
      </c>
      <c r="P668" t="s">
        <v>48</v>
      </c>
      <c r="Q668">
        <v>302883</v>
      </c>
      <c r="R668" t="s">
        <v>127</v>
      </c>
      <c r="S668">
        <v>12.59</v>
      </c>
      <c r="T668">
        <v>0.25</v>
      </c>
      <c r="U668">
        <v>4.26</v>
      </c>
      <c r="V668">
        <v>4.41</v>
      </c>
      <c r="W668">
        <v>0</v>
      </c>
      <c r="X668" t="s">
        <v>251</v>
      </c>
      <c r="Y668" t="s">
        <v>252</v>
      </c>
      <c r="Z668" t="s">
        <v>58</v>
      </c>
      <c r="AA668" t="s">
        <v>59</v>
      </c>
      <c r="AB668" t="s">
        <v>60</v>
      </c>
      <c r="AC668" t="s">
        <v>61</v>
      </c>
      <c r="AD668" t="s">
        <v>49</v>
      </c>
      <c r="AE668" t="s">
        <v>49</v>
      </c>
      <c r="AF668" t="s">
        <v>49</v>
      </c>
      <c r="AG668" t="s">
        <v>49</v>
      </c>
      <c r="AH668" t="s">
        <v>48</v>
      </c>
      <c r="AI668" t="s">
        <v>48</v>
      </c>
      <c r="AJ668" t="s">
        <v>48</v>
      </c>
      <c r="AK668" t="s">
        <v>62</v>
      </c>
      <c r="AL668" t="s">
        <v>63</v>
      </c>
      <c r="AM668" t="s">
        <v>61</v>
      </c>
      <c r="AN668" t="s">
        <v>64</v>
      </c>
      <c r="AO668" t="s">
        <v>253</v>
      </c>
      <c r="AP668">
        <v>37</v>
      </c>
      <c r="AQ668" t="s">
        <v>254</v>
      </c>
      <c r="AR668" t="s">
        <v>48</v>
      </c>
      <c r="AS668">
        <v>2015</v>
      </c>
      <c r="AT668" t="s">
        <v>49</v>
      </c>
      <c r="AU668" t="s">
        <v>48</v>
      </c>
      <c r="AV668" t="s">
        <v>48</v>
      </c>
      <c r="AW668" t="s">
        <v>48</v>
      </c>
    </row>
    <row r="669" spans="1:49" x14ac:dyDescent="0.3">
      <c r="A669" t="s">
        <v>1864</v>
      </c>
      <c r="B669" t="s">
        <v>48</v>
      </c>
      <c r="C669" t="s">
        <v>49</v>
      </c>
      <c r="D669">
        <v>502.94</v>
      </c>
      <c r="E669">
        <v>1</v>
      </c>
      <c r="F669">
        <v>2.2000000000000002</v>
      </c>
      <c r="G669" t="s">
        <v>1865</v>
      </c>
      <c r="H669" t="s">
        <v>1866</v>
      </c>
      <c r="I669" t="s">
        <v>52</v>
      </c>
      <c r="J669" t="s">
        <v>53</v>
      </c>
      <c r="K669">
        <v>2500</v>
      </c>
      <c r="L669" t="s">
        <v>126</v>
      </c>
      <c r="M669">
        <f>DOWNLOAD_2kLRbPnDtawQopEJ_UKtt22ud9U57gk8mqebZIeugNk[[#This Row],[Standard Value]]</f>
        <v>2500</v>
      </c>
      <c r="N669">
        <f>-LOG(DOWNLOAD_2kLRbPnDtawQopEJ_UKtt22ud9U57gk8mqebZIeugNk[[#This Row],[IC50]]*POWER(10, -9), 10)</f>
        <v>5.6020599913279616</v>
      </c>
      <c r="O669">
        <v>5.6</v>
      </c>
      <c r="P669" t="s">
        <v>48</v>
      </c>
      <c r="Q669">
        <v>302886</v>
      </c>
      <c r="R669" t="s">
        <v>127</v>
      </c>
      <c r="S669">
        <v>11.14</v>
      </c>
      <c r="T669">
        <v>0.23</v>
      </c>
      <c r="U669">
        <v>3.4</v>
      </c>
      <c r="V669">
        <v>4.01</v>
      </c>
      <c r="W669">
        <v>0</v>
      </c>
      <c r="X669" t="s">
        <v>251</v>
      </c>
      <c r="Y669" t="s">
        <v>252</v>
      </c>
      <c r="Z669" t="s">
        <v>58</v>
      </c>
      <c r="AA669" t="s">
        <v>59</v>
      </c>
      <c r="AB669" t="s">
        <v>60</v>
      </c>
      <c r="AC669" t="s">
        <v>61</v>
      </c>
      <c r="AD669" t="s">
        <v>49</v>
      </c>
      <c r="AE669" t="s">
        <v>49</v>
      </c>
      <c r="AF669" t="s">
        <v>49</v>
      </c>
      <c r="AG669" t="s">
        <v>49</v>
      </c>
      <c r="AH669" t="s">
        <v>48</v>
      </c>
      <c r="AI669" t="s">
        <v>48</v>
      </c>
      <c r="AJ669" t="s">
        <v>48</v>
      </c>
      <c r="AK669" t="s">
        <v>62</v>
      </c>
      <c r="AL669" t="s">
        <v>63</v>
      </c>
      <c r="AM669" t="s">
        <v>61</v>
      </c>
      <c r="AN669" t="s">
        <v>64</v>
      </c>
      <c r="AO669" t="s">
        <v>253</v>
      </c>
      <c r="AP669">
        <v>37</v>
      </c>
      <c r="AQ669" t="s">
        <v>254</v>
      </c>
      <c r="AR669" t="s">
        <v>48</v>
      </c>
      <c r="AS669">
        <v>2015</v>
      </c>
      <c r="AT669" t="s">
        <v>49</v>
      </c>
      <c r="AU669" t="s">
        <v>48</v>
      </c>
      <c r="AV669" t="s">
        <v>48</v>
      </c>
      <c r="AW669" t="s">
        <v>48</v>
      </c>
    </row>
    <row r="670" spans="1:49" x14ac:dyDescent="0.3">
      <c r="A670" t="s">
        <v>1640</v>
      </c>
      <c r="B670" t="s">
        <v>48</v>
      </c>
      <c r="C670" t="s">
        <v>49</v>
      </c>
      <c r="D670">
        <v>445.41</v>
      </c>
      <c r="E670">
        <v>0</v>
      </c>
      <c r="F670">
        <v>0.22</v>
      </c>
      <c r="G670" t="s">
        <v>1641</v>
      </c>
      <c r="H670" t="s">
        <v>1642</v>
      </c>
      <c r="I670" t="s">
        <v>52</v>
      </c>
      <c r="J670" t="s">
        <v>53</v>
      </c>
      <c r="K670">
        <v>1100</v>
      </c>
      <c r="L670" t="s">
        <v>126</v>
      </c>
      <c r="M670">
        <f>DOWNLOAD_2kLRbPnDtawQopEJ_UKtt22ud9U57gk8mqebZIeugNk[[#This Row],[Standard Value]]</f>
        <v>1100</v>
      </c>
      <c r="N670">
        <f>-LOG(DOWNLOAD_2kLRbPnDtawQopEJ_UKtt22ud9U57gk8mqebZIeugNk[[#This Row],[IC50]]*POWER(10, -9), 10)</f>
        <v>5.9586073148417746</v>
      </c>
      <c r="O670">
        <v>5.96</v>
      </c>
      <c r="P670" t="s">
        <v>48</v>
      </c>
      <c r="Q670">
        <v>302912</v>
      </c>
      <c r="R670" t="s">
        <v>127</v>
      </c>
      <c r="S670">
        <v>13.38</v>
      </c>
      <c r="T670">
        <v>0.25</v>
      </c>
      <c r="U670">
        <v>5.74</v>
      </c>
      <c r="V670">
        <v>4.17</v>
      </c>
      <c r="W670">
        <v>0</v>
      </c>
      <c r="X670" t="s">
        <v>251</v>
      </c>
      <c r="Y670" t="s">
        <v>252</v>
      </c>
      <c r="Z670" t="s">
        <v>58</v>
      </c>
      <c r="AA670" t="s">
        <v>59</v>
      </c>
      <c r="AB670" t="s">
        <v>60</v>
      </c>
      <c r="AC670" t="s">
        <v>61</v>
      </c>
      <c r="AD670" t="s">
        <v>49</v>
      </c>
      <c r="AE670" t="s">
        <v>49</v>
      </c>
      <c r="AF670" t="s">
        <v>49</v>
      </c>
      <c r="AG670" t="s">
        <v>49</v>
      </c>
      <c r="AH670" t="s">
        <v>48</v>
      </c>
      <c r="AI670" t="s">
        <v>48</v>
      </c>
      <c r="AJ670" t="s">
        <v>48</v>
      </c>
      <c r="AK670" t="s">
        <v>62</v>
      </c>
      <c r="AL670" t="s">
        <v>63</v>
      </c>
      <c r="AM670" t="s">
        <v>61</v>
      </c>
      <c r="AN670" t="s">
        <v>64</v>
      </c>
      <c r="AO670" t="s">
        <v>253</v>
      </c>
      <c r="AP670">
        <v>37</v>
      </c>
      <c r="AQ670" t="s">
        <v>254</v>
      </c>
      <c r="AR670" t="s">
        <v>48</v>
      </c>
      <c r="AS670">
        <v>2015</v>
      </c>
      <c r="AT670" t="s">
        <v>49</v>
      </c>
      <c r="AU670" t="s">
        <v>48</v>
      </c>
      <c r="AV670" t="s">
        <v>48</v>
      </c>
      <c r="AW670" t="s">
        <v>48</v>
      </c>
    </row>
    <row r="671" spans="1:49" x14ac:dyDescent="0.3">
      <c r="A671" t="s">
        <v>1867</v>
      </c>
      <c r="B671" t="s">
        <v>48</v>
      </c>
      <c r="C671" t="s">
        <v>49</v>
      </c>
      <c r="D671">
        <v>739.78</v>
      </c>
      <c r="E671">
        <v>3</v>
      </c>
      <c r="F671">
        <v>0.62</v>
      </c>
      <c r="G671" t="s">
        <v>233</v>
      </c>
      <c r="H671" t="s">
        <v>1868</v>
      </c>
      <c r="I671" t="s">
        <v>52</v>
      </c>
      <c r="J671" t="s">
        <v>53</v>
      </c>
      <c r="K671">
        <v>4000</v>
      </c>
      <c r="L671" t="s">
        <v>126</v>
      </c>
      <c r="M671">
        <f>DOWNLOAD_2kLRbPnDtawQopEJ_UKtt22ud9U57gk8mqebZIeugNk[[#This Row],[Standard Value]]</f>
        <v>4000</v>
      </c>
      <c r="N671">
        <f>-LOG(DOWNLOAD_2kLRbPnDtawQopEJ_UKtt22ud9U57gk8mqebZIeugNk[[#This Row],[IC50]]*POWER(10, -9), 10)</f>
        <v>5.3979400086720366</v>
      </c>
      <c r="O671">
        <v>5.4</v>
      </c>
      <c r="P671" t="s">
        <v>48</v>
      </c>
      <c r="R671" t="s">
        <v>127</v>
      </c>
      <c r="S671">
        <v>7.3</v>
      </c>
      <c r="T671">
        <v>0.14000000000000001</v>
      </c>
      <c r="U671">
        <v>4.78</v>
      </c>
      <c r="V671">
        <v>2.5</v>
      </c>
      <c r="W671">
        <v>0</v>
      </c>
      <c r="X671" t="s">
        <v>926</v>
      </c>
      <c r="Y671" t="s">
        <v>927</v>
      </c>
      <c r="Z671" t="s">
        <v>58</v>
      </c>
      <c r="AA671" t="s">
        <v>59</v>
      </c>
      <c r="AB671" t="s">
        <v>60</v>
      </c>
      <c r="AC671" t="s">
        <v>61</v>
      </c>
      <c r="AD671" t="s">
        <v>49</v>
      </c>
      <c r="AE671" t="s">
        <v>49</v>
      </c>
      <c r="AF671" t="s">
        <v>49</v>
      </c>
      <c r="AG671" t="s">
        <v>49</v>
      </c>
      <c r="AH671" t="s">
        <v>48</v>
      </c>
      <c r="AI671" t="s">
        <v>48</v>
      </c>
      <c r="AJ671" t="s">
        <v>48</v>
      </c>
      <c r="AK671" t="s">
        <v>62</v>
      </c>
      <c r="AL671" t="s">
        <v>63</v>
      </c>
      <c r="AM671" t="s">
        <v>61</v>
      </c>
      <c r="AN671" t="s">
        <v>64</v>
      </c>
      <c r="AO671" t="s">
        <v>928</v>
      </c>
      <c r="AP671">
        <v>1</v>
      </c>
      <c r="AQ671" t="s">
        <v>66</v>
      </c>
      <c r="AR671" t="s">
        <v>67</v>
      </c>
      <c r="AS671">
        <v>2020</v>
      </c>
      <c r="AT671" t="s">
        <v>49</v>
      </c>
      <c r="AU671" t="s">
        <v>299</v>
      </c>
      <c r="AV671" t="s">
        <v>269</v>
      </c>
      <c r="AW671" t="s">
        <v>48</v>
      </c>
    </row>
    <row r="672" spans="1:49" x14ac:dyDescent="0.3">
      <c r="A672" t="s">
        <v>1869</v>
      </c>
      <c r="B672" t="s">
        <v>48</v>
      </c>
      <c r="C672" t="s">
        <v>49</v>
      </c>
      <c r="D672">
        <v>529.53</v>
      </c>
      <c r="E672">
        <v>1</v>
      </c>
      <c r="F672">
        <v>1.1100000000000001</v>
      </c>
      <c r="G672" t="s">
        <v>1870</v>
      </c>
      <c r="H672" t="s">
        <v>1871</v>
      </c>
      <c r="I672" t="s">
        <v>52</v>
      </c>
      <c r="J672" t="s">
        <v>53</v>
      </c>
      <c r="K672">
        <v>5500</v>
      </c>
      <c r="L672" t="s">
        <v>126</v>
      </c>
      <c r="M672">
        <f>DOWNLOAD_2kLRbPnDtawQopEJ_UKtt22ud9U57gk8mqebZIeugNk[[#This Row],[Standard Value]]</f>
        <v>5500</v>
      </c>
      <c r="N672">
        <f>-LOG(DOWNLOAD_2kLRbPnDtawQopEJ_UKtt22ud9U57gk8mqebZIeugNk[[#This Row],[IC50]]*POWER(10, -9), 10)</f>
        <v>5.259637310505755</v>
      </c>
      <c r="O672">
        <v>5.26</v>
      </c>
      <c r="P672" t="s">
        <v>48</v>
      </c>
      <c r="Q672">
        <v>302928</v>
      </c>
      <c r="R672" t="s">
        <v>127</v>
      </c>
      <c r="S672">
        <v>9.93</v>
      </c>
      <c r="T672">
        <v>0.19</v>
      </c>
      <c r="U672">
        <v>4.1500000000000004</v>
      </c>
      <c r="V672">
        <v>3.67</v>
      </c>
      <c r="W672">
        <v>0</v>
      </c>
      <c r="X672" t="s">
        <v>251</v>
      </c>
      <c r="Y672" t="s">
        <v>252</v>
      </c>
      <c r="Z672" t="s">
        <v>58</v>
      </c>
      <c r="AA672" t="s">
        <v>59</v>
      </c>
      <c r="AB672" t="s">
        <v>60</v>
      </c>
      <c r="AC672" t="s">
        <v>61</v>
      </c>
      <c r="AD672" t="s">
        <v>49</v>
      </c>
      <c r="AE672" t="s">
        <v>49</v>
      </c>
      <c r="AF672" t="s">
        <v>49</v>
      </c>
      <c r="AG672" t="s">
        <v>49</v>
      </c>
      <c r="AH672" t="s">
        <v>48</v>
      </c>
      <c r="AI672" t="s">
        <v>48</v>
      </c>
      <c r="AJ672" t="s">
        <v>48</v>
      </c>
      <c r="AK672" t="s">
        <v>62</v>
      </c>
      <c r="AL672" t="s">
        <v>63</v>
      </c>
      <c r="AM672" t="s">
        <v>61</v>
      </c>
      <c r="AN672" t="s">
        <v>64</v>
      </c>
      <c r="AO672" t="s">
        <v>253</v>
      </c>
      <c r="AP672">
        <v>37</v>
      </c>
      <c r="AQ672" t="s">
        <v>254</v>
      </c>
      <c r="AR672" t="s">
        <v>48</v>
      </c>
      <c r="AS672">
        <v>2015</v>
      </c>
      <c r="AT672" t="s">
        <v>49</v>
      </c>
      <c r="AU672" t="s">
        <v>48</v>
      </c>
      <c r="AV672" t="s">
        <v>48</v>
      </c>
      <c r="AW672" t="s">
        <v>48</v>
      </c>
    </row>
    <row r="673" spans="1:49" x14ac:dyDescent="0.3">
      <c r="A673" t="s">
        <v>1068</v>
      </c>
      <c r="B673" t="s">
        <v>48</v>
      </c>
      <c r="C673" t="s">
        <v>49</v>
      </c>
      <c r="D673">
        <v>422.8</v>
      </c>
      <c r="E673">
        <v>0</v>
      </c>
      <c r="F673">
        <v>1.51</v>
      </c>
      <c r="G673" t="s">
        <v>1872</v>
      </c>
      <c r="H673" t="s">
        <v>1070</v>
      </c>
      <c r="I673" t="s">
        <v>52</v>
      </c>
      <c r="J673" t="s">
        <v>53</v>
      </c>
      <c r="K673">
        <v>200</v>
      </c>
      <c r="L673" t="s">
        <v>126</v>
      </c>
      <c r="M673">
        <f>DOWNLOAD_2kLRbPnDtawQopEJ_UKtt22ud9U57gk8mqebZIeugNk[[#This Row],[Standard Value]]</f>
        <v>200</v>
      </c>
      <c r="N673">
        <f>-LOG(DOWNLOAD_2kLRbPnDtawQopEJ_UKtt22ud9U57gk8mqebZIeugNk[[#This Row],[IC50]]*POWER(10, -9), 10)</f>
        <v>6.6989700043360187</v>
      </c>
      <c r="O673">
        <v>6.7</v>
      </c>
      <c r="P673" t="s">
        <v>48</v>
      </c>
      <c r="Q673">
        <v>302959</v>
      </c>
      <c r="R673" t="s">
        <v>127</v>
      </c>
      <c r="S673">
        <v>15.84</v>
      </c>
      <c r="T673">
        <v>0.32</v>
      </c>
      <c r="U673">
        <v>5.19</v>
      </c>
      <c r="V673">
        <v>5.89</v>
      </c>
      <c r="W673">
        <v>0</v>
      </c>
      <c r="X673" t="s">
        <v>251</v>
      </c>
      <c r="Y673" t="s">
        <v>252</v>
      </c>
      <c r="Z673" t="s">
        <v>58</v>
      </c>
      <c r="AA673" t="s">
        <v>59</v>
      </c>
      <c r="AB673" t="s">
        <v>60</v>
      </c>
      <c r="AC673" t="s">
        <v>61</v>
      </c>
      <c r="AD673" t="s">
        <v>49</v>
      </c>
      <c r="AE673" t="s">
        <v>49</v>
      </c>
      <c r="AF673" t="s">
        <v>49</v>
      </c>
      <c r="AG673" t="s">
        <v>49</v>
      </c>
      <c r="AH673" t="s">
        <v>48</v>
      </c>
      <c r="AI673" t="s">
        <v>48</v>
      </c>
      <c r="AJ673" t="s">
        <v>48</v>
      </c>
      <c r="AK673" t="s">
        <v>62</v>
      </c>
      <c r="AL673" t="s">
        <v>63</v>
      </c>
      <c r="AM673" t="s">
        <v>61</v>
      </c>
      <c r="AN673" t="s">
        <v>64</v>
      </c>
      <c r="AO673" t="s">
        <v>253</v>
      </c>
      <c r="AP673">
        <v>37</v>
      </c>
      <c r="AQ673" t="s">
        <v>254</v>
      </c>
      <c r="AR673" t="s">
        <v>48</v>
      </c>
      <c r="AS673">
        <v>2015</v>
      </c>
      <c r="AT673" t="s">
        <v>49</v>
      </c>
      <c r="AU673" t="s">
        <v>48</v>
      </c>
      <c r="AV673" t="s">
        <v>48</v>
      </c>
      <c r="AW673" t="s">
        <v>48</v>
      </c>
    </row>
    <row r="674" spans="1:49" x14ac:dyDescent="0.3">
      <c r="A674" t="s">
        <v>1873</v>
      </c>
      <c r="B674" t="s">
        <v>48</v>
      </c>
      <c r="C674" t="s">
        <v>49</v>
      </c>
      <c r="D674">
        <v>450.45</v>
      </c>
      <c r="E674">
        <v>0</v>
      </c>
      <c r="F674">
        <v>0.6</v>
      </c>
      <c r="G674" t="s">
        <v>1874</v>
      </c>
      <c r="H674" t="s">
        <v>1875</v>
      </c>
      <c r="I674" t="s">
        <v>52</v>
      </c>
      <c r="J674" t="s">
        <v>53</v>
      </c>
      <c r="K674">
        <v>3300</v>
      </c>
      <c r="L674" t="s">
        <v>126</v>
      </c>
      <c r="M674">
        <f>DOWNLOAD_2kLRbPnDtawQopEJ_UKtt22ud9U57gk8mqebZIeugNk[[#This Row],[Standard Value]]</f>
        <v>3300</v>
      </c>
      <c r="N674">
        <f>-LOG(DOWNLOAD_2kLRbPnDtawQopEJ_UKtt22ud9U57gk8mqebZIeugNk[[#This Row],[IC50]]*POWER(10, -9), 10)</f>
        <v>5.481486060122112</v>
      </c>
      <c r="O674">
        <v>5.48</v>
      </c>
      <c r="P674" t="s">
        <v>48</v>
      </c>
      <c r="Q674">
        <v>302960</v>
      </c>
      <c r="R674" t="s">
        <v>127</v>
      </c>
      <c r="S674">
        <v>12.17</v>
      </c>
      <c r="T674">
        <v>0.24</v>
      </c>
      <c r="U674">
        <v>4.88</v>
      </c>
      <c r="V674">
        <v>4.01</v>
      </c>
      <c r="W674">
        <v>0</v>
      </c>
      <c r="X674" t="s">
        <v>251</v>
      </c>
      <c r="Y674" t="s">
        <v>252</v>
      </c>
      <c r="Z674" t="s">
        <v>58</v>
      </c>
      <c r="AA674" t="s">
        <v>59</v>
      </c>
      <c r="AB674" t="s">
        <v>60</v>
      </c>
      <c r="AC674" t="s">
        <v>61</v>
      </c>
      <c r="AD674" t="s">
        <v>49</v>
      </c>
      <c r="AE674" t="s">
        <v>49</v>
      </c>
      <c r="AF674" t="s">
        <v>49</v>
      </c>
      <c r="AG674" t="s">
        <v>49</v>
      </c>
      <c r="AH674" t="s">
        <v>48</v>
      </c>
      <c r="AI674" t="s">
        <v>48</v>
      </c>
      <c r="AJ674" t="s">
        <v>48</v>
      </c>
      <c r="AK674" t="s">
        <v>62</v>
      </c>
      <c r="AL674" t="s">
        <v>63</v>
      </c>
      <c r="AM674" t="s">
        <v>61</v>
      </c>
      <c r="AN674" t="s">
        <v>64</v>
      </c>
      <c r="AO674" t="s">
        <v>253</v>
      </c>
      <c r="AP674">
        <v>37</v>
      </c>
      <c r="AQ674" t="s">
        <v>254</v>
      </c>
      <c r="AR674" t="s">
        <v>48</v>
      </c>
      <c r="AS674">
        <v>2015</v>
      </c>
      <c r="AT674" t="s">
        <v>49</v>
      </c>
      <c r="AU674" t="s">
        <v>48</v>
      </c>
      <c r="AV674" t="s">
        <v>48</v>
      </c>
      <c r="AW674" t="s">
        <v>48</v>
      </c>
    </row>
    <row r="675" spans="1:49" x14ac:dyDescent="0.3">
      <c r="A675" t="s">
        <v>1876</v>
      </c>
      <c r="B675" t="s">
        <v>48</v>
      </c>
      <c r="C675" t="s">
        <v>49</v>
      </c>
      <c r="D675">
        <v>494.44</v>
      </c>
      <c r="E675">
        <v>0</v>
      </c>
      <c r="F675">
        <v>1.18</v>
      </c>
      <c r="G675" t="s">
        <v>1877</v>
      </c>
      <c r="H675" t="s">
        <v>1878</v>
      </c>
      <c r="I675" t="s">
        <v>52</v>
      </c>
      <c r="J675" t="s">
        <v>53</v>
      </c>
      <c r="K675">
        <v>1000</v>
      </c>
      <c r="L675" t="s">
        <v>126</v>
      </c>
      <c r="M675">
        <f>DOWNLOAD_2kLRbPnDtawQopEJ_UKtt22ud9U57gk8mqebZIeugNk[[#This Row],[Standard Value]]</f>
        <v>1000</v>
      </c>
      <c r="N675">
        <f>-LOG(DOWNLOAD_2kLRbPnDtawQopEJ_UKtt22ud9U57gk8mqebZIeugNk[[#This Row],[IC50]]*POWER(10, -9), 10)</f>
        <v>5.9999999999999991</v>
      </c>
      <c r="O675">
        <v>6</v>
      </c>
      <c r="P675" t="s">
        <v>48</v>
      </c>
      <c r="Q675">
        <v>302799</v>
      </c>
      <c r="R675" t="s">
        <v>127</v>
      </c>
      <c r="S675">
        <v>12.13</v>
      </c>
      <c r="T675">
        <v>0.23</v>
      </c>
      <c r="U675">
        <v>4.82</v>
      </c>
      <c r="V675">
        <v>3.7</v>
      </c>
      <c r="W675">
        <v>0</v>
      </c>
      <c r="X675" t="s">
        <v>251</v>
      </c>
      <c r="Y675" t="s">
        <v>252</v>
      </c>
      <c r="Z675" t="s">
        <v>58</v>
      </c>
      <c r="AA675" t="s">
        <v>59</v>
      </c>
      <c r="AB675" t="s">
        <v>60</v>
      </c>
      <c r="AC675" t="s">
        <v>61</v>
      </c>
      <c r="AD675" t="s">
        <v>49</v>
      </c>
      <c r="AE675" t="s">
        <v>49</v>
      </c>
      <c r="AF675" t="s">
        <v>49</v>
      </c>
      <c r="AG675" t="s">
        <v>49</v>
      </c>
      <c r="AH675" t="s">
        <v>48</v>
      </c>
      <c r="AI675" t="s">
        <v>48</v>
      </c>
      <c r="AJ675" t="s">
        <v>48</v>
      </c>
      <c r="AK675" t="s">
        <v>62</v>
      </c>
      <c r="AL675" t="s">
        <v>63</v>
      </c>
      <c r="AM675" t="s">
        <v>61</v>
      </c>
      <c r="AN675" t="s">
        <v>64</v>
      </c>
      <c r="AO675" t="s">
        <v>253</v>
      </c>
      <c r="AP675">
        <v>37</v>
      </c>
      <c r="AQ675" t="s">
        <v>254</v>
      </c>
      <c r="AR675" t="s">
        <v>48</v>
      </c>
      <c r="AS675">
        <v>2015</v>
      </c>
      <c r="AT675" t="s">
        <v>49</v>
      </c>
      <c r="AU675" t="s">
        <v>48</v>
      </c>
      <c r="AV675" t="s">
        <v>48</v>
      </c>
      <c r="AW675" t="s">
        <v>48</v>
      </c>
    </row>
    <row r="676" spans="1:49" x14ac:dyDescent="0.3">
      <c r="A676" t="s">
        <v>1879</v>
      </c>
      <c r="B676" t="s">
        <v>48</v>
      </c>
      <c r="C676" t="s">
        <v>49</v>
      </c>
      <c r="D676">
        <v>481.9</v>
      </c>
      <c r="E676">
        <v>0</v>
      </c>
      <c r="F676">
        <v>2.4300000000000002</v>
      </c>
      <c r="G676" t="s">
        <v>1880</v>
      </c>
      <c r="H676" t="s">
        <v>1881</v>
      </c>
      <c r="I676" t="s">
        <v>52</v>
      </c>
      <c r="J676" t="s">
        <v>53</v>
      </c>
      <c r="K676">
        <v>800</v>
      </c>
      <c r="L676" t="s">
        <v>126</v>
      </c>
      <c r="M676">
        <f>DOWNLOAD_2kLRbPnDtawQopEJ_UKtt22ud9U57gk8mqebZIeugNk[[#This Row],[Standard Value]]</f>
        <v>800</v>
      </c>
      <c r="N676">
        <f>-LOG(DOWNLOAD_2kLRbPnDtawQopEJ_UKtt22ud9U57gk8mqebZIeugNk[[#This Row],[IC50]]*POWER(10, -9), 10)</f>
        <v>6.0969100130080562</v>
      </c>
      <c r="O676">
        <v>6.1</v>
      </c>
      <c r="P676" t="s">
        <v>48</v>
      </c>
      <c r="Q676">
        <v>302804</v>
      </c>
      <c r="R676" t="s">
        <v>127</v>
      </c>
      <c r="S676">
        <v>12.65</v>
      </c>
      <c r="T676">
        <v>0.24</v>
      </c>
      <c r="U676">
        <v>3.67</v>
      </c>
      <c r="V676">
        <v>4.8099999999999996</v>
      </c>
      <c r="W676">
        <v>0</v>
      </c>
      <c r="X676" t="s">
        <v>251</v>
      </c>
      <c r="Y676" t="s">
        <v>252</v>
      </c>
      <c r="Z676" t="s">
        <v>58</v>
      </c>
      <c r="AA676" t="s">
        <v>59</v>
      </c>
      <c r="AB676" t="s">
        <v>60</v>
      </c>
      <c r="AC676" t="s">
        <v>61</v>
      </c>
      <c r="AD676" t="s">
        <v>49</v>
      </c>
      <c r="AE676" t="s">
        <v>49</v>
      </c>
      <c r="AF676" t="s">
        <v>49</v>
      </c>
      <c r="AG676" t="s">
        <v>49</v>
      </c>
      <c r="AH676" t="s">
        <v>48</v>
      </c>
      <c r="AI676" t="s">
        <v>48</v>
      </c>
      <c r="AJ676" t="s">
        <v>48</v>
      </c>
      <c r="AK676" t="s">
        <v>62</v>
      </c>
      <c r="AL676" t="s">
        <v>63</v>
      </c>
      <c r="AM676" t="s">
        <v>61</v>
      </c>
      <c r="AN676" t="s">
        <v>64</v>
      </c>
      <c r="AO676" t="s">
        <v>253</v>
      </c>
      <c r="AP676">
        <v>37</v>
      </c>
      <c r="AQ676" t="s">
        <v>254</v>
      </c>
      <c r="AR676" t="s">
        <v>48</v>
      </c>
      <c r="AS676">
        <v>2015</v>
      </c>
      <c r="AT676" t="s">
        <v>49</v>
      </c>
      <c r="AU676" t="s">
        <v>48</v>
      </c>
      <c r="AV676" t="s">
        <v>48</v>
      </c>
      <c r="AW676" t="s">
        <v>48</v>
      </c>
    </row>
    <row r="677" spans="1:49" x14ac:dyDescent="0.3">
      <c r="A677" t="s">
        <v>1882</v>
      </c>
      <c r="B677" t="s">
        <v>48</v>
      </c>
      <c r="C677" t="s">
        <v>49</v>
      </c>
      <c r="D677">
        <v>522.41999999999996</v>
      </c>
      <c r="E677">
        <v>1</v>
      </c>
      <c r="F677">
        <v>2.06</v>
      </c>
      <c r="G677" t="s">
        <v>1883</v>
      </c>
      <c r="H677" t="s">
        <v>1884</v>
      </c>
      <c r="I677" t="s">
        <v>52</v>
      </c>
      <c r="J677" t="s">
        <v>53</v>
      </c>
      <c r="K677">
        <v>6600</v>
      </c>
      <c r="L677" t="s">
        <v>126</v>
      </c>
      <c r="M677">
        <f>DOWNLOAD_2kLRbPnDtawQopEJ_UKtt22ud9U57gk8mqebZIeugNk[[#This Row],[Standard Value]]</f>
        <v>6600</v>
      </c>
      <c r="N677">
        <f>-LOG(DOWNLOAD_2kLRbPnDtawQopEJ_UKtt22ud9U57gk8mqebZIeugNk[[#This Row],[IC50]]*POWER(10, -9), 10)</f>
        <v>5.1804560644581308</v>
      </c>
      <c r="O677">
        <v>5.18</v>
      </c>
      <c r="P677" t="s">
        <v>48</v>
      </c>
      <c r="Q677">
        <v>302827</v>
      </c>
      <c r="R677" t="s">
        <v>127</v>
      </c>
      <c r="S677">
        <v>9.92</v>
      </c>
      <c r="T677">
        <v>0.19</v>
      </c>
      <c r="U677">
        <v>3.12</v>
      </c>
      <c r="V677">
        <v>3.94</v>
      </c>
      <c r="W677">
        <v>0</v>
      </c>
      <c r="X677" t="s">
        <v>251</v>
      </c>
      <c r="Y677" t="s">
        <v>252</v>
      </c>
      <c r="Z677" t="s">
        <v>58</v>
      </c>
      <c r="AA677" t="s">
        <v>59</v>
      </c>
      <c r="AB677" t="s">
        <v>60</v>
      </c>
      <c r="AC677" t="s">
        <v>61</v>
      </c>
      <c r="AD677" t="s">
        <v>49</v>
      </c>
      <c r="AE677" t="s">
        <v>49</v>
      </c>
      <c r="AF677" t="s">
        <v>49</v>
      </c>
      <c r="AG677" t="s">
        <v>49</v>
      </c>
      <c r="AH677" t="s">
        <v>48</v>
      </c>
      <c r="AI677" t="s">
        <v>48</v>
      </c>
      <c r="AJ677" t="s">
        <v>48</v>
      </c>
      <c r="AK677" t="s">
        <v>62</v>
      </c>
      <c r="AL677" t="s">
        <v>63</v>
      </c>
      <c r="AM677" t="s">
        <v>61</v>
      </c>
      <c r="AN677" t="s">
        <v>64</v>
      </c>
      <c r="AO677" t="s">
        <v>253</v>
      </c>
      <c r="AP677">
        <v>37</v>
      </c>
      <c r="AQ677" t="s">
        <v>254</v>
      </c>
      <c r="AR677" t="s">
        <v>48</v>
      </c>
      <c r="AS677">
        <v>2015</v>
      </c>
      <c r="AT677" t="s">
        <v>49</v>
      </c>
      <c r="AU677" t="s">
        <v>48</v>
      </c>
      <c r="AV677" t="s">
        <v>48</v>
      </c>
      <c r="AW677" t="s">
        <v>48</v>
      </c>
    </row>
    <row r="678" spans="1:49" x14ac:dyDescent="0.3">
      <c r="A678" t="s">
        <v>1885</v>
      </c>
      <c r="B678" t="s">
        <v>48</v>
      </c>
      <c r="C678" t="s">
        <v>49</v>
      </c>
      <c r="D678">
        <v>468.45</v>
      </c>
      <c r="E678">
        <v>0</v>
      </c>
      <c r="F678">
        <v>1.26</v>
      </c>
      <c r="G678" t="s">
        <v>1886</v>
      </c>
      <c r="H678" t="s">
        <v>1887</v>
      </c>
      <c r="I678" t="s">
        <v>52</v>
      </c>
      <c r="J678" t="s">
        <v>53</v>
      </c>
      <c r="K678">
        <v>700</v>
      </c>
      <c r="L678" t="s">
        <v>126</v>
      </c>
      <c r="M678">
        <f>DOWNLOAD_2kLRbPnDtawQopEJ_UKtt22ud9U57gk8mqebZIeugNk[[#This Row],[Standard Value]]</f>
        <v>700</v>
      </c>
      <c r="N678">
        <f>-LOG(DOWNLOAD_2kLRbPnDtawQopEJ_UKtt22ud9U57gk8mqebZIeugNk[[#This Row],[IC50]]*POWER(10, -9), 10)</f>
        <v>6.1549019599857431</v>
      </c>
      <c r="O678">
        <v>6.16</v>
      </c>
      <c r="P678" t="s">
        <v>48</v>
      </c>
      <c r="Q678">
        <v>302836</v>
      </c>
      <c r="R678" t="s">
        <v>127</v>
      </c>
      <c r="S678">
        <v>13.14</v>
      </c>
      <c r="T678">
        <v>0.25</v>
      </c>
      <c r="U678">
        <v>4.8899999999999997</v>
      </c>
      <c r="V678">
        <v>4.68</v>
      </c>
      <c r="W678">
        <v>0</v>
      </c>
      <c r="X678" t="s">
        <v>251</v>
      </c>
      <c r="Y678" t="s">
        <v>252</v>
      </c>
      <c r="Z678" t="s">
        <v>58</v>
      </c>
      <c r="AA678" t="s">
        <v>59</v>
      </c>
      <c r="AB678" t="s">
        <v>60</v>
      </c>
      <c r="AC678" t="s">
        <v>61</v>
      </c>
      <c r="AD678" t="s">
        <v>49</v>
      </c>
      <c r="AE678" t="s">
        <v>49</v>
      </c>
      <c r="AF678" t="s">
        <v>49</v>
      </c>
      <c r="AG678" t="s">
        <v>49</v>
      </c>
      <c r="AH678" t="s">
        <v>48</v>
      </c>
      <c r="AI678" t="s">
        <v>48</v>
      </c>
      <c r="AJ678" t="s">
        <v>48</v>
      </c>
      <c r="AK678" t="s">
        <v>62</v>
      </c>
      <c r="AL678" t="s">
        <v>63</v>
      </c>
      <c r="AM678" t="s">
        <v>61</v>
      </c>
      <c r="AN678" t="s">
        <v>64</v>
      </c>
      <c r="AO678" t="s">
        <v>253</v>
      </c>
      <c r="AP678">
        <v>37</v>
      </c>
      <c r="AQ678" t="s">
        <v>254</v>
      </c>
      <c r="AR678" t="s">
        <v>48</v>
      </c>
      <c r="AS678">
        <v>2015</v>
      </c>
      <c r="AT678" t="s">
        <v>49</v>
      </c>
      <c r="AU678" t="s">
        <v>48</v>
      </c>
      <c r="AV678" t="s">
        <v>48</v>
      </c>
      <c r="AW678" t="s">
        <v>48</v>
      </c>
    </row>
    <row r="679" spans="1:49" x14ac:dyDescent="0.3">
      <c r="A679" t="s">
        <v>1888</v>
      </c>
      <c r="B679" t="s">
        <v>48</v>
      </c>
      <c r="C679" t="s">
        <v>49</v>
      </c>
      <c r="D679">
        <v>432.41</v>
      </c>
      <c r="E679">
        <v>0</v>
      </c>
      <c r="F679">
        <v>0.79</v>
      </c>
      <c r="G679" t="s">
        <v>1889</v>
      </c>
      <c r="H679" t="s">
        <v>1890</v>
      </c>
      <c r="I679" t="s">
        <v>52</v>
      </c>
      <c r="J679" t="s">
        <v>53</v>
      </c>
      <c r="K679">
        <v>700</v>
      </c>
      <c r="L679" t="s">
        <v>126</v>
      </c>
      <c r="M679">
        <f>DOWNLOAD_2kLRbPnDtawQopEJ_UKtt22ud9U57gk8mqebZIeugNk[[#This Row],[Standard Value]]</f>
        <v>700</v>
      </c>
      <c r="N679">
        <f>-LOG(DOWNLOAD_2kLRbPnDtawQopEJ_UKtt22ud9U57gk8mqebZIeugNk[[#This Row],[IC50]]*POWER(10, -9), 10)</f>
        <v>6.1549019599857431</v>
      </c>
      <c r="O679">
        <v>6.16</v>
      </c>
      <c r="P679" t="s">
        <v>48</v>
      </c>
      <c r="Q679">
        <v>302877</v>
      </c>
      <c r="R679" t="s">
        <v>127</v>
      </c>
      <c r="S679">
        <v>14.23</v>
      </c>
      <c r="T679">
        <v>0.27</v>
      </c>
      <c r="U679">
        <v>5.36</v>
      </c>
      <c r="V679">
        <v>5</v>
      </c>
      <c r="W679">
        <v>0</v>
      </c>
      <c r="X679" t="s">
        <v>251</v>
      </c>
      <c r="Y679" t="s">
        <v>252</v>
      </c>
      <c r="Z679" t="s">
        <v>58</v>
      </c>
      <c r="AA679" t="s">
        <v>59</v>
      </c>
      <c r="AB679" t="s">
        <v>60</v>
      </c>
      <c r="AC679" t="s">
        <v>61</v>
      </c>
      <c r="AD679" t="s">
        <v>49</v>
      </c>
      <c r="AE679" t="s">
        <v>49</v>
      </c>
      <c r="AF679" t="s">
        <v>49</v>
      </c>
      <c r="AG679" t="s">
        <v>49</v>
      </c>
      <c r="AH679" t="s">
        <v>48</v>
      </c>
      <c r="AI679" t="s">
        <v>48</v>
      </c>
      <c r="AJ679" t="s">
        <v>48</v>
      </c>
      <c r="AK679" t="s">
        <v>62</v>
      </c>
      <c r="AL679" t="s">
        <v>63</v>
      </c>
      <c r="AM679" t="s">
        <v>61</v>
      </c>
      <c r="AN679" t="s">
        <v>64</v>
      </c>
      <c r="AO679" t="s">
        <v>253</v>
      </c>
      <c r="AP679">
        <v>37</v>
      </c>
      <c r="AQ679" t="s">
        <v>254</v>
      </c>
      <c r="AR679" t="s">
        <v>48</v>
      </c>
      <c r="AS679">
        <v>2015</v>
      </c>
      <c r="AT679" t="s">
        <v>49</v>
      </c>
      <c r="AU679" t="s">
        <v>48</v>
      </c>
      <c r="AV679" t="s">
        <v>48</v>
      </c>
      <c r="AW679" t="s">
        <v>48</v>
      </c>
    </row>
    <row r="680" spans="1:49" x14ac:dyDescent="0.3">
      <c r="A680" t="s">
        <v>1891</v>
      </c>
      <c r="B680" t="s">
        <v>48</v>
      </c>
      <c r="C680" t="s">
        <v>49</v>
      </c>
      <c r="D680">
        <v>557.79999999999995</v>
      </c>
      <c r="E680">
        <v>1</v>
      </c>
      <c r="F680">
        <v>3.2</v>
      </c>
      <c r="G680" t="s">
        <v>1892</v>
      </c>
      <c r="H680" t="s">
        <v>1893</v>
      </c>
      <c r="I680" t="s">
        <v>52</v>
      </c>
      <c r="J680" t="s">
        <v>53</v>
      </c>
      <c r="K680">
        <v>2000</v>
      </c>
      <c r="L680" t="s">
        <v>126</v>
      </c>
      <c r="M680">
        <f>DOWNLOAD_2kLRbPnDtawQopEJ_UKtt22ud9U57gk8mqebZIeugNk[[#This Row],[Standard Value]]</f>
        <v>2000</v>
      </c>
      <c r="N680">
        <f>-LOG(DOWNLOAD_2kLRbPnDtawQopEJ_UKtt22ud9U57gk8mqebZIeugNk[[#This Row],[IC50]]*POWER(10, -9), 10)</f>
        <v>5.6989700043360179</v>
      </c>
      <c r="O680">
        <v>5.7</v>
      </c>
      <c r="P680" t="s">
        <v>48</v>
      </c>
      <c r="Q680">
        <v>302889</v>
      </c>
      <c r="R680" t="s">
        <v>127</v>
      </c>
      <c r="S680">
        <v>10.220000000000001</v>
      </c>
      <c r="T680">
        <v>0.22</v>
      </c>
      <c r="U680">
        <v>2.5</v>
      </c>
      <c r="V680">
        <v>4.08</v>
      </c>
      <c r="W680">
        <v>0</v>
      </c>
      <c r="X680" t="s">
        <v>251</v>
      </c>
      <c r="Y680" t="s">
        <v>252</v>
      </c>
      <c r="Z680" t="s">
        <v>58</v>
      </c>
      <c r="AA680" t="s">
        <v>59</v>
      </c>
      <c r="AB680" t="s">
        <v>60</v>
      </c>
      <c r="AC680" t="s">
        <v>61</v>
      </c>
      <c r="AD680" t="s">
        <v>49</v>
      </c>
      <c r="AE680" t="s">
        <v>49</v>
      </c>
      <c r="AF680" t="s">
        <v>49</v>
      </c>
      <c r="AG680" t="s">
        <v>49</v>
      </c>
      <c r="AH680" t="s">
        <v>48</v>
      </c>
      <c r="AI680" t="s">
        <v>48</v>
      </c>
      <c r="AJ680" t="s">
        <v>48</v>
      </c>
      <c r="AK680" t="s">
        <v>62</v>
      </c>
      <c r="AL680" t="s">
        <v>63</v>
      </c>
      <c r="AM680" t="s">
        <v>61</v>
      </c>
      <c r="AN680" t="s">
        <v>64</v>
      </c>
      <c r="AO680" t="s">
        <v>253</v>
      </c>
      <c r="AP680">
        <v>37</v>
      </c>
      <c r="AQ680" t="s">
        <v>254</v>
      </c>
      <c r="AR680" t="s">
        <v>48</v>
      </c>
      <c r="AS680">
        <v>2015</v>
      </c>
      <c r="AT680" t="s">
        <v>49</v>
      </c>
      <c r="AU680" t="s">
        <v>48</v>
      </c>
      <c r="AV680" t="s">
        <v>48</v>
      </c>
      <c r="AW680" t="s">
        <v>48</v>
      </c>
    </row>
    <row r="681" spans="1:49" x14ac:dyDescent="0.3">
      <c r="A681" t="s">
        <v>1894</v>
      </c>
      <c r="B681" t="s">
        <v>48</v>
      </c>
      <c r="C681" t="s">
        <v>49</v>
      </c>
      <c r="D681">
        <v>385.23</v>
      </c>
      <c r="E681">
        <v>0</v>
      </c>
      <c r="F681">
        <v>3.61</v>
      </c>
      <c r="G681" t="s">
        <v>1416</v>
      </c>
      <c r="H681" t="s">
        <v>1895</v>
      </c>
      <c r="I681" t="s">
        <v>52</v>
      </c>
      <c r="J681" t="s">
        <v>53</v>
      </c>
      <c r="K681">
        <v>280</v>
      </c>
      <c r="L681" t="s">
        <v>126</v>
      </c>
      <c r="M681">
        <f>DOWNLOAD_2kLRbPnDtawQopEJ_UKtt22ud9U57gk8mqebZIeugNk[[#This Row],[Standard Value]]</f>
        <v>280</v>
      </c>
      <c r="N681">
        <f>-LOG(DOWNLOAD_2kLRbPnDtawQopEJ_UKtt22ud9U57gk8mqebZIeugNk[[#This Row],[IC50]]*POWER(10, -9), 10)</f>
        <v>6.5528419686577797</v>
      </c>
      <c r="O681">
        <v>6.55</v>
      </c>
      <c r="P681" t="s">
        <v>48</v>
      </c>
      <c r="R681" t="s">
        <v>127</v>
      </c>
      <c r="S681">
        <v>17.010000000000002</v>
      </c>
      <c r="T681">
        <v>0.37</v>
      </c>
      <c r="U681">
        <v>2.94</v>
      </c>
      <c r="V681">
        <v>6.12</v>
      </c>
      <c r="W681">
        <v>0</v>
      </c>
      <c r="X681" t="s">
        <v>296</v>
      </c>
      <c r="Y681" t="s">
        <v>297</v>
      </c>
      <c r="Z681" t="s">
        <v>58</v>
      </c>
      <c r="AA681" t="s">
        <v>59</v>
      </c>
      <c r="AB681" t="s">
        <v>60</v>
      </c>
      <c r="AC681" t="s">
        <v>61</v>
      </c>
      <c r="AD681" t="s">
        <v>49</v>
      </c>
      <c r="AE681" t="s">
        <v>49</v>
      </c>
      <c r="AF681" t="s">
        <v>49</v>
      </c>
      <c r="AG681" t="s">
        <v>49</v>
      </c>
      <c r="AH681" t="s">
        <v>48</v>
      </c>
      <c r="AI681" t="s">
        <v>48</v>
      </c>
      <c r="AJ681" t="s">
        <v>48</v>
      </c>
      <c r="AK681" t="s">
        <v>62</v>
      </c>
      <c r="AL681" t="s">
        <v>63</v>
      </c>
      <c r="AM681" t="s">
        <v>61</v>
      </c>
      <c r="AN681" t="s">
        <v>64</v>
      </c>
      <c r="AO681" t="s">
        <v>298</v>
      </c>
      <c r="AP681">
        <v>1</v>
      </c>
      <c r="AQ681" t="s">
        <v>66</v>
      </c>
      <c r="AR681" t="s">
        <v>131</v>
      </c>
      <c r="AS681">
        <v>2021</v>
      </c>
      <c r="AT681" t="s">
        <v>49</v>
      </c>
      <c r="AU681" t="s">
        <v>299</v>
      </c>
      <c r="AV681" t="s">
        <v>269</v>
      </c>
      <c r="AW681" t="s">
        <v>48</v>
      </c>
    </row>
    <row r="682" spans="1:49" x14ac:dyDescent="0.3">
      <c r="A682" t="s">
        <v>1896</v>
      </c>
      <c r="B682" t="s">
        <v>48</v>
      </c>
      <c r="C682" t="s">
        <v>49</v>
      </c>
      <c r="D682">
        <v>555.41999999999996</v>
      </c>
      <c r="E682">
        <v>1</v>
      </c>
      <c r="F682">
        <v>4.08</v>
      </c>
      <c r="G682" t="s">
        <v>1217</v>
      </c>
      <c r="H682" t="s">
        <v>1897</v>
      </c>
      <c r="I682" t="s">
        <v>52</v>
      </c>
      <c r="J682" t="s">
        <v>53</v>
      </c>
      <c r="K682">
        <v>92</v>
      </c>
      <c r="L682" t="s">
        <v>126</v>
      </c>
      <c r="M682">
        <f>DOWNLOAD_2kLRbPnDtawQopEJ_UKtt22ud9U57gk8mqebZIeugNk[[#This Row],[Standard Value]]</f>
        <v>92</v>
      </c>
      <c r="N682">
        <f>-LOG(DOWNLOAD_2kLRbPnDtawQopEJ_UKtt22ud9U57gk8mqebZIeugNk[[#This Row],[IC50]]*POWER(10, -9), 10)</f>
        <v>7.0362121726544435</v>
      </c>
      <c r="O682">
        <v>7.04</v>
      </c>
      <c r="P682" t="s">
        <v>48</v>
      </c>
      <c r="R682" t="s">
        <v>127</v>
      </c>
      <c r="S682">
        <v>12.67</v>
      </c>
      <c r="T682">
        <v>0.26</v>
      </c>
      <c r="U682">
        <v>2.96</v>
      </c>
      <c r="V682">
        <v>4.6900000000000004</v>
      </c>
      <c r="W682">
        <v>0</v>
      </c>
      <c r="X682" t="s">
        <v>716</v>
      </c>
      <c r="Y682" t="s">
        <v>717</v>
      </c>
      <c r="Z682" t="s">
        <v>58</v>
      </c>
      <c r="AA682" t="s">
        <v>59</v>
      </c>
      <c r="AB682" t="s">
        <v>60</v>
      </c>
      <c r="AC682" t="s">
        <v>61</v>
      </c>
      <c r="AD682" t="s">
        <v>49</v>
      </c>
      <c r="AE682" t="s">
        <v>49</v>
      </c>
      <c r="AF682" t="s">
        <v>49</v>
      </c>
      <c r="AG682" t="s">
        <v>49</v>
      </c>
      <c r="AH682" t="s">
        <v>48</v>
      </c>
      <c r="AI682" t="s">
        <v>48</v>
      </c>
      <c r="AJ682" t="s">
        <v>48</v>
      </c>
      <c r="AK682" t="s">
        <v>62</v>
      </c>
      <c r="AL682" t="s">
        <v>63</v>
      </c>
      <c r="AM682" t="s">
        <v>61</v>
      </c>
      <c r="AN682" t="s">
        <v>64</v>
      </c>
      <c r="AO682" t="s">
        <v>718</v>
      </c>
      <c r="AP682">
        <v>1</v>
      </c>
      <c r="AQ682" t="s">
        <v>66</v>
      </c>
      <c r="AR682" t="s">
        <v>131</v>
      </c>
      <c r="AS682">
        <v>2019</v>
      </c>
      <c r="AT682" t="s">
        <v>49</v>
      </c>
      <c r="AU682" t="s">
        <v>299</v>
      </c>
      <c r="AV682" t="s">
        <v>269</v>
      </c>
      <c r="AW682" t="s">
        <v>48</v>
      </c>
    </row>
    <row r="683" spans="1:49" x14ac:dyDescent="0.3">
      <c r="A683" t="s">
        <v>1898</v>
      </c>
      <c r="B683" t="s">
        <v>48</v>
      </c>
      <c r="C683" t="s">
        <v>49</v>
      </c>
      <c r="D683">
        <v>471.07</v>
      </c>
      <c r="E683">
        <v>0</v>
      </c>
      <c r="F683">
        <v>2.69</v>
      </c>
      <c r="G683" t="s">
        <v>1774</v>
      </c>
      <c r="H683" t="s">
        <v>1899</v>
      </c>
      <c r="I683" t="s">
        <v>52</v>
      </c>
      <c r="J683" t="s">
        <v>53</v>
      </c>
      <c r="K683">
        <v>600</v>
      </c>
      <c r="L683" t="s">
        <v>126</v>
      </c>
      <c r="M683">
        <f>DOWNLOAD_2kLRbPnDtawQopEJ_UKtt22ud9U57gk8mqebZIeugNk[[#This Row],[Standard Value]]</f>
        <v>600</v>
      </c>
      <c r="N683">
        <f>-LOG(DOWNLOAD_2kLRbPnDtawQopEJ_UKtt22ud9U57gk8mqebZIeugNk[[#This Row],[IC50]]*POWER(10, -9), 10)</f>
        <v>6.2218487496163553</v>
      </c>
      <c r="O683">
        <v>6.22</v>
      </c>
      <c r="P683" t="s">
        <v>48</v>
      </c>
      <c r="R683" t="s">
        <v>127</v>
      </c>
      <c r="S683">
        <v>13.21</v>
      </c>
      <c r="T683">
        <v>0.34</v>
      </c>
      <c r="U683">
        <v>3.53</v>
      </c>
      <c r="V683">
        <v>4.45</v>
      </c>
      <c r="W683">
        <v>0</v>
      </c>
      <c r="X683" t="s">
        <v>684</v>
      </c>
      <c r="Y683" t="s">
        <v>327</v>
      </c>
      <c r="Z683" t="s">
        <v>58</v>
      </c>
      <c r="AA683" t="s">
        <v>59</v>
      </c>
      <c r="AB683" t="s">
        <v>60</v>
      </c>
      <c r="AC683" t="s">
        <v>61</v>
      </c>
      <c r="AD683" t="s">
        <v>49</v>
      </c>
      <c r="AE683" t="s">
        <v>49</v>
      </c>
      <c r="AF683" t="s">
        <v>49</v>
      </c>
      <c r="AG683" t="s">
        <v>49</v>
      </c>
      <c r="AH683" t="s">
        <v>48</v>
      </c>
      <c r="AI683" t="s">
        <v>48</v>
      </c>
      <c r="AJ683" t="s">
        <v>48</v>
      </c>
      <c r="AK683" t="s">
        <v>62</v>
      </c>
      <c r="AL683" t="s">
        <v>63</v>
      </c>
      <c r="AM683" t="s">
        <v>61</v>
      </c>
      <c r="AN683" t="s">
        <v>64</v>
      </c>
      <c r="AO683" t="s">
        <v>685</v>
      </c>
      <c r="AP683">
        <v>1</v>
      </c>
      <c r="AQ683" t="s">
        <v>66</v>
      </c>
      <c r="AR683" t="s">
        <v>686</v>
      </c>
      <c r="AS683">
        <v>2020</v>
      </c>
      <c r="AT683" t="s">
        <v>49</v>
      </c>
      <c r="AU683" t="s">
        <v>299</v>
      </c>
      <c r="AV683" t="s">
        <v>269</v>
      </c>
      <c r="AW683" t="s">
        <v>48</v>
      </c>
    </row>
    <row r="684" spans="1:49" x14ac:dyDescent="0.3">
      <c r="A684" t="s">
        <v>1900</v>
      </c>
      <c r="B684" t="s">
        <v>48</v>
      </c>
      <c r="C684" t="s">
        <v>49</v>
      </c>
      <c r="D684">
        <v>517.62</v>
      </c>
      <c r="E684">
        <v>1</v>
      </c>
      <c r="F684">
        <v>4.6500000000000004</v>
      </c>
      <c r="G684" t="s">
        <v>1901</v>
      </c>
      <c r="H684" t="s">
        <v>1902</v>
      </c>
      <c r="I684" t="s">
        <v>52</v>
      </c>
      <c r="J684" t="s">
        <v>53</v>
      </c>
      <c r="K684">
        <v>4.0999999999999996</v>
      </c>
      <c r="L684" t="s">
        <v>126</v>
      </c>
      <c r="M684">
        <f>DOWNLOAD_2kLRbPnDtawQopEJ_UKtt22ud9U57gk8mqebZIeugNk[[#This Row],[Standard Value]]</f>
        <v>4.0999999999999996</v>
      </c>
      <c r="N684">
        <f>-LOG(DOWNLOAD_2kLRbPnDtawQopEJ_UKtt22ud9U57gk8mqebZIeugNk[[#This Row],[IC50]]*POWER(10, -9), 10)</f>
        <v>8.3872161432802628</v>
      </c>
      <c r="O684">
        <v>8.39</v>
      </c>
      <c r="P684" t="s">
        <v>48</v>
      </c>
      <c r="R684" t="s">
        <v>127</v>
      </c>
      <c r="S684">
        <v>16.2</v>
      </c>
      <c r="T684">
        <v>0.31</v>
      </c>
      <c r="U684">
        <v>3.74</v>
      </c>
      <c r="V684">
        <v>6.3</v>
      </c>
      <c r="W684">
        <v>0</v>
      </c>
      <c r="X684" t="s">
        <v>1903</v>
      </c>
      <c r="Y684" t="s">
        <v>1904</v>
      </c>
      <c r="Z684" t="s">
        <v>58</v>
      </c>
      <c r="AA684" t="s">
        <v>59</v>
      </c>
      <c r="AB684" t="s">
        <v>60</v>
      </c>
      <c r="AC684" t="s">
        <v>61</v>
      </c>
      <c r="AD684" t="s">
        <v>49</v>
      </c>
      <c r="AE684" t="s">
        <v>49</v>
      </c>
      <c r="AF684" t="s">
        <v>49</v>
      </c>
      <c r="AG684" t="s">
        <v>49</v>
      </c>
      <c r="AH684" t="s">
        <v>48</v>
      </c>
      <c r="AI684" t="s">
        <v>48</v>
      </c>
      <c r="AJ684" t="s">
        <v>48</v>
      </c>
      <c r="AK684" t="s">
        <v>62</v>
      </c>
      <c r="AL684" t="s">
        <v>63</v>
      </c>
      <c r="AM684" t="s">
        <v>61</v>
      </c>
      <c r="AN684" t="s">
        <v>64</v>
      </c>
      <c r="AO684" t="s">
        <v>718</v>
      </c>
      <c r="AP684">
        <v>1</v>
      </c>
      <c r="AQ684" t="s">
        <v>66</v>
      </c>
      <c r="AR684" t="s">
        <v>131</v>
      </c>
      <c r="AS684">
        <v>2019</v>
      </c>
      <c r="AT684" t="s">
        <v>49</v>
      </c>
      <c r="AU684" t="s">
        <v>268</v>
      </c>
      <c r="AV684" t="s">
        <v>269</v>
      </c>
      <c r="AW684" t="s">
        <v>48</v>
      </c>
    </row>
    <row r="685" spans="1:49" x14ac:dyDescent="0.3">
      <c r="A685" t="s">
        <v>1905</v>
      </c>
      <c r="B685" t="s">
        <v>48</v>
      </c>
      <c r="C685" t="s">
        <v>49</v>
      </c>
      <c r="D685">
        <v>332.79</v>
      </c>
      <c r="E685">
        <v>0</v>
      </c>
      <c r="F685">
        <v>3.44</v>
      </c>
      <c r="G685" t="s">
        <v>277</v>
      </c>
      <c r="H685" t="s">
        <v>1906</v>
      </c>
      <c r="I685" t="s">
        <v>52</v>
      </c>
      <c r="J685" t="s">
        <v>53</v>
      </c>
      <c r="K685">
        <v>7500</v>
      </c>
      <c r="L685" t="s">
        <v>126</v>
      </c>
      <c r="M685">
        <f>DOWNLOAD_2kLRbPnDtawQopEJ_UKtt22ud9U57gk8mqebZIeugNk[[#This Row],[Standard Value]]</f>
        <v>7500</v>
      </c>
      <c r="N685">
        <f>-LOG(DOWNLOAD_2kLRbPnDtawQopEJ_UKtt22ud9U57gk8mqebZIeugNk[[#This Row],[IC50]]*POWER(10, -9), 10)</f>
        <v>5.124938736608299</v>
      </c>
      <c r="O685">
        <v>5.12</v>
      </c>
      <c r="P685" t="s">
        <v>48</v>
      </c>
      <c r="R685" t="s">
        <v>127</v>
      </c>
      <c r="S685">
        <v>15.4</v>
      </c>
      <c r="T685">
        <v>0.3</v>
      </c>
      <c r="U685">
        <v>1.68</v>
      </c>
      <c r="V685">
        <v>6.17</v>
      </c>
      <c r="W685">
        <v>0</v>
      </c>
      <c r="X685" t="s">
        <v>128</v>
      </c>
      <c r="Y685" t="s">
        <v>129</v>
      </c>
      <c r="Z685" t="s">
        <v>58</v>
      </c>
      <c r="AA685" t="s">
        <v>59</v>
      </c>
      <c r="AB685" t="s">
        <v>60</v>
      </c>
      <c r="AC685" t="s">
        <v>61</v>
      </c>
      <c r="AD685" t="s">
        <v>49</v>
      </c>
      <c r="AE685" t="s">
        <v>49</v>
      </c>
      <c r="AF685" t="s">
        <v>49</v>
      </c>
      <c r="AG685" t="s">
        <v>49</v>
      </c>
      <c r="AH685" t="s">
        <v>48</v>
      </c>
      <c r="AI685" t="s">
        <v>48</v>
      </c>
      <c r="AJ685" t="s">
        <v>48</v>
      </c>
      <c r="AK685" t="s">
        <v>62</v>
      </c>
      <c r="AL685" t="s">
        <v>63</v>
      </c>
      <c r="AM685" t="s">
        <v>61</v>
      </c>
      <c r="AN685" t="s">
        <v>64</v>
      </c>
      <c r="AO685" t="s">
        <v>130</v>
      </c>
      <c r="AP685">
        <v>1</v>
      </c>
      <c r="AQ685" t="s">
        <v>66</v>
      </c>
      <c r="AR685" t="s">
        <v>131</v>
      </c>
      <c r="AS685">
        <v>2014</v>
      </c>
      <c r="AT685" t="s">
        <v>49</v>
      </c>
      <c r="AU685" t="s">
        <v>48</v>
      </c>
      <c r="AV685" t="s">
        <v>48</v>
      </c>
      <c r="AW685" t="s">
        <v>48</v>
      </c>
    </row>
    <row r="686" spans="1:49" x14ac:dyDescent="0.3">
      <c r="A686" t="s">
        <v>1907</v>
      </c>
      <c r="B686" t="s">
        <v>48</v>
      </c>
      <c r="C686" t="s">
        <v>49</v>
      </c>
      <c r="D686">
        <v>357.3</v>
      </c>
      <c r="E686">
        <v>0</v>
      </c>
      <c r="F686">
        <v>1.45</v>
      </c>
      <c r="G686" t="s">
        <v>470</v>
      </c>
      <c r="H686" t="s">
        <v>1908</v>
      </c>
      <c r="I686" t="s">
        <v>52</v>
      </c>
      <c r="J686" t="s">
        <v>53</v>
      </c>
      <c r="K686">
        <v>0.95</v>
      </c>
      <c r="L686" t="s">
        <v>126</v>
      </c>
      <c r="M686">
        <f>DOWNLOAD_2kLRbPnDtawQopEJ_UKtt22ud9U57gk8mqebZIeugNk[[#This Row],[Standard Value]]</f>
        <v>0.95</v>
      </c>
      <c r="N686">
        <f>-LOG(DOWNLOAD_2kLRbPnDtawQopEJ_UKtt22ud9U57gk8mqebZIeugNk[[#This Row],[IC50]]*POWER(10, -9), 10)</f>
        <v>9.0222763947111524</v>
      </c>
      <c r="O686">
        <v>9.02</v>
      </c>
      <c r="P686" t="s">
        <v>48</v>
      </c>
      <c r="R686" t="s">
        <v>127</v>
      </c>
      <c r="S686">
        <v>25.25</v>
      </c>
      <c r="T686">
        <v>0.47</v>
      </c>
      <c r="U686">
        <v>7.57</v>
      </c>
      <c r="V686">
        <v>6.58</v>
      </c>
      <c r="W686">
        <v>0</v>
      </c>
      <c r="X686" t="s">
        <v>264</v>
      </c>
      <c r="Y686" t="s">
        <v>265</v>
      </c>
      <c r="Z686" t="s">
        <v>58</v>
      </c>
      <c r="AA686" t="s">
        <v>59</v>
      </c>
      <c r="AB686" t="s">
        <v>60</v>
      </c>
      <c r="AC686" t="s">
        <v>61</v>
      </c>
      <c r="AD686" t="s">
        <v>49</v>
      </c>
      <c r="AE686" t="s">
        <v>49</v>
      </c>
      <c r="AF686" t="s">
        <v>49</v>
      </c>
      <c r="AG686" t="s">
        <v>49</v>
      </c>
      <c r="AH686" t="s">
        <v>48</v>
      </c>
      <c r="AI686" t="s">
        <v>48</v>
      </c>
      <c r="AJ686" t="s">
        <v>48</v>
      </c>
      <c r="AK686" t="s">
        <v>62</v>
      </c>
      <c r="AL686" t="s">
        <v>63</v>
      </c>
      <c r="AM686" t="s">
        <v>61</v>
      </c>
      <c r="AN686" t="s">
        <v>64</v>
      </c>
      <c r="AO686" t="s">
        <v>266</v>
      </c>
      <c r="AP686">
        <v>1</v>
      </c>
      <c r="AQ686" t="s">
        <v>66</v>
      </c>
      <c r="AR686" t="s">
        <v>267</v>
      </c>
      <c r="AS686">
        <v>2020</v>
      </c>
      <c r="AT686" t="s">
        <v>49</v>
      </c>
      <c r="AU686" t="s">
        <v>268</v>
      </c>
      <c r="AV686" t="s">
        <v>269</v>
      </c>
      <c r="AW686" t="s">
        <v>48</v>
      </c>
    </row>
    <row r="687" spans="1:49" x14ac:dyDescent="0.3">
      <c r="A687" t="s">
        <v>1909</v>
      </c>
      <c r="B687" t="s">
        <v>48</v>
      </c>
      <c r="C687" t="s">
        <v>49</v>
      </c>
      <c r="D687">
        <v>499.12</v>
      </c>
      <c r="E687">
        <v>0</v>
      </c>
      <c r="F687">
        <v>3.17</v>
      </c>
      <c r="G687" t="s">
        <v>607</v>
      </c>
      <c r="H687" t="s">
        <v>1910</v>
      </c>
      <c r="I687" t="s">
        <v>52</v>
      </c>
      <c r="J687" t="s">
        <v>53</v>
      </c>
      <c r="K687">
        <v>4000</v>
      </c>
      <c r="L687" t="s">
        <v>126</v>
      </c>
      <c r="M687">
        <f>DOWNLOAD_2kLRbPnDtawQopEJ_UKtt22ud9U57gk8mqebZIeugNk[[#This Row],[Standard Value]]</f>
        <v>4000</v>
      </c>
      <c r="N687">
        <f>-LOG(DOWNLOAD_2kLRbPnDtawQopEJ_UKtt22ud9U57gk8mqebZIeugNk[[#This Row],[IC50]]*POWER(10, -9), 10)</f>
        <v>5.3979400086720366</v>
      </c>
      <c r="O687">
        <v>5.4</v>
      </c>
      <c r="P687" t="s">
        <v>48</v>
      </c>
      <c r="R687" t="s">
        <v>127</v>
      </c>
      <c r="S687">
        <v>10.81</v>
      </c>
      <c r="T687">
        <v>0.27</v>
      </c>
      <c r="U687">
        <v>2.23</v>
      </c>
      <c r="V687">
        <v>4.1900000000000004</v>
      </c>
      <c r="W687">
        <v>0</v>
      </c>
      <c r="X687" t="s">
        <v>684</v>
      </c>
      <c r="Y687" t="s">
        <v>327</v>
      </c>
      <c r="Z687" t="s">
        <v>58</v>
      </c>
      <c r="AA687" t="s">
        <v>59</v>
      </c>
      <c r="AB687" t="s">
        <v>60</v>
      </c>
      <c r="AC687" t="s">
        <v>61</v>
      </c>
      <c r="AD687" t="s">
        <v>49</v>
      </c>
      <c r="AE687" t="s">
        <v>49</v>
      </c>
      <c r="AF687" t="s">
        <v>49</v>
      </c>
      <c r="AG687" t="s">
        <v>49</v>
      </c>
      <c r="AH687" t="s">
        <v>48</v>
      </c>
      <c r="AI687" t="s">
        <v>48</v>
      </c>
      <c r="AJ687" t="s">
        <v>48</v>
      </c>
      <c r="AK687" t="s">
        <v>62</v>
      </c>
      <c r="AL687" t="s">
        <v>63</v>
      </c>
      <c r="AM687" t="s">
        <v>61</v>
      </c>
      <c r="AN687" t="s">
        <v>64</v>
      </c>
      <c r="AO687" t="s">
        <v>685</v>
      </c>
      <c r="AP687">
        <v>1</v>
      </c>
      <c r="AQ687" t="s">
        <v>66</v>
      </c>
      <c r="AR687" t="s">
        <v>686</v>
      </c>
      <c r="AS687">
        <v>2020</v>
      </c>
      <c r="AT687" t="s">
        <v>49</v>
      </c>
      <c r="AU687" t="s">
        <v>299</v>
      </c>
      <c r="AV687" t="s">
        <v>269</v>
      </c>
      <c r="AW687" t="s">
        <v>48</v>
      </c>
    </row>
    <row r="688" spans="1:49" x14ac:dyDescent="0.3">
      <c r="A688" t="s">
        <v>1911</v>
      </c>
      <c r="B688" t="s">
        <v>48</v>
      </c>
      <c r="C688" t="s">
        <v>49</v>
      </c>
      <c r="D688">
        <v>445.09</v>
      </c>
      <c r="E688">
        <v>0</v>
      </c>
      <c r="F688">
        <v>4.0999999999999996</v>
      </c>
      <c r="G688" t="s">
        <v>113</v>
      </c>
      <c r="H688" t="s">
        <v>1912</v>
      </c>
      <c r="I688" t="s">
        <v>52</v>
      </c>
      <c r="J688" t="s">
        <v>53</v>
      </c>
      <c r="K688">
        <v>12</v>
      </c>
      <c r="L688" t="s">
        <v>126</v>
      </c>
      <c r="M688">
        <f>DOWNLOAD_2kLRbPnDtawQopEJ_UKtt22ud9U57gk8mqebZIeugNk[[#This Row],[Standard Value]]</f>
        <v>12</v>
      </c>
      <c r="N688">
        <f>-LOG(DOWNLOAD_2kLRbPnDtawQopEJ_UKtt22ud9U57gk8mqebZIeugNk[[#This Row],[IC50]]*POWER(10, -9), 10)</f>
        <v>7.9208187539523749</v>
      </c>
      <c r="O688">
        <v>7.92</v>
      </c>
      <c r="P688" t="s">
        <v>48</v>
      </c>
      <c r="R688" t="s">
        <v>127</v>
      </c>
      <c r="S688">
        <v>17.8</v>
      </c>
      <c r="T688">
        <v>0.49</v>
      </c>
      <c r="U688">
        <v>3.82</v>
      </c>
      <c r="V688">
        <v>8.33</v>
      </c>
      <c r="W688">
        <v>0</v>
      </c>
      <c r="X688" t="s">
        <v>296</v>
      </c>
      <c r="Y688" t="s">
        <v>297</v>
      </c>
      <c r="Z688" t="s">
        <v>58</v>
      </c>
      <c r="AA688" t="s">
        <v>59</v>
      </c>
      <c r="AB688" t="s">
        <v>60</v>
      </c>
      <c r="AC688" t="s">
        <v>61</v>
      </c>
      <c r="AD688" t="s">
        <v>49</v>
      </c>
      <c r="AE688" t="s">
        <v>49</v>
      </c>
      <c r="AF688" t="s">
        <v>49</v>
      </c>
      <c r="AG688" t="s">
        <v>49</v>
      </c>
      <c r="AH688" t="s">
        <v>48</v>
      </c>
      <c r="AI688" t="s">
        <v>48</v>
      </c>
      <c r="AJ688" t="s">
        <v>48</v>
      </c>
      <c r="AK688" t="s">
        <v>62</v>
      </c>
      <c r="AL688" t="s">
        <v>63</v>
      </c>
      <c r="AM688" t="s">
        <v>61</v>
      </c>
      <c r="AN688" t="s">
        <v>64</v>
      </c>
      <c r="AO688" t="s">
        <v>298</v>
      </c>
      <c r="AP688">
        <v>1</v>
      </c>
      <c r="AQ688" t="s">
        <v>66</v>
      </c>
      <c r="AR688" t="s">
        <v>131</v>
      </c>
      <c r="AS688">
        <v>2021</v>
      </c>
      <c r="AT688" t="s">
        <v>49</v>
      </c>
      <c r="AU688" t="s">
        <v>299</v>
      </c>
      <c r="AV688" t="s">
        <v>269</v>
      </c>
      <c r="AW688" t="s">
        <v>48</v>
      </c>
    </row>
    <row r="689" spans="1:49" x14ac:dyDescent="0.3">
      <c r="A689" t="s">
        <v>1913</v>
      </c>
      <c r="B689" t="s">
        <v>48</v>
      </c>
      <c r="C689" t="s">
        <v>49</v>
      </c>
      <c r="D689">
        <v>351.22</v>
      </c>
      <c r="E689">
        <v>0</v>
      </c>
      <c r="F689">
        <v>4.3600000000000003</v>
      </c>
      <c r="G689" t="s">
        <v>907</v>
      </c>
      <c r="H689" t="s">
        <v>1914</v>
      </c>
      <c r="I689" t="s">
        <v>52</v>
      </c>
      <c r="J689" t="s">
        <v>71</v>
      </c>
      <c r="K689">
        <v>1000</v>
      </c>
      <c r="L689" t="s">
        <v>126</v>
      </c>
      <c r="M689">
        <f>DOWNLOAD_2kLRbPnDtawQopEJ_UKtt22ud9U57gk8mqebZIeugNk[[#This Row],[Standard Value]]</f>
        <v>1000</v>
      </c>
      <c r="N689">
        <f>-LOG(DOWNLOAD_2kLRbPnDtawQopEJ_UKtt22ud9U57gk8mqebZIeugNk[[#This Row],[IC50]]*POWER(10, -9), 10)</f>
        <v>5.9999999999999991</v>
      </c>
      <c r="P689" t="s">
        <v>48</v>
      </c>
      <c r="R689" t="s">
        <v>127</v>
      </c>
      <c r="W689">
        <v>0</v>
      </c>
      <c r="X689" t="s">
        <v>296</v>
      </c>
      <c r="Y689" t="s">
        <v>297</v>
      </c>
      <c r="Z689" t="s">
        <v>58</v>
      </c>
      <c r="AA689" t="s">
        <v>59</v>
      </c>
      <c r="AB689" t="s">
        <v>60</v>
      </c>
      <c r="AC689" t="s">
        <v>61</v>
      </c>
      <c r="AD689" t="s">
        <v>49</v>
      </c>
      <c r="AE689" t="s">
        <v>49</v>
      </c>
      <c r="AF689" t="s">
        <v>49</v>
      </c>
      <c r="AG689" t="s">
        <v>49</v>
      </c>
      <c r="AH689" t="s">
        <v>48</v>
      </c>
      <c r="AI689" t="s">
        <v>48</v>
      </c>
      <c r="AJ689" t="s">
        <v>48</v>
      </c>
      <c r="AK689" t="s">
        <v>62</v>
      </c>
      <c r="AL689" t="s">
        <v>63</v>
      </c>
      <c r="AM689" t="s">
        <v>61</v>
      </c>
      <c r="AN689" t="s">
        <v>64</v>
      </c>
      <c r="AO689" t="s">
        <v>298</v>
      </c>
      <c r="AP689">
        <v>1</v>
      </c>
      <c r="AQ689" t="s">
        <v>66</v>
      </c>
      <c r="AR689" t="s">
        <v>131</v>
      </c>
      <c r="AS689">
        <v>2021</v>
      </c>
      <c r="AT689" t="s">
        <v>49</v>
      </c>
      <c r="AU689" t="s">
        <v>299</v>
      </c>
      <c r="AV689" t="s">
        <v>48</v>
      </c>
      <c r="AW689" t="s">
        <v>48</v>
      </c>
    </row>
    <row r="690" spans="1:49" x14ac:dyDescent="0.3">
      <c r="A690" t="s">
        <v>1915</v>
      </c>
      <c r="B690" t="s">
        <v>48</v>
      </c>
      <c r="C690" t="s">
        <v>49</v>
      </c>
      <c r="D690">
        <v>398.27</v>
      </c>
      <c r="E690">
        <v>0</v>
      </c>
      <c r="F690">
        <v>4.5999999999999996</v>
      </c>
      <c r="G690" t="s">
        <v>1916</v>
      </c>
      <c r="H690" t="s">
        <v>1917</v>
      </c>
      <c r="I690" t="s">
        <v>52</v>
      </c>
      <c r="J690" t="s">
        <v>295</v>
      </c>
      <c r="K690">
        <v>10</v>
      </c>
      <c r="L690" t="s">
        <v>126</v>
      </c>
      <c r="M690">
        <f>DOWNLOAD_2kLRbPnDtawQopEJ_UKtt22ud9U57gk8mqebZIeugNk[[#This Row],[Standard Value]]</f>
        <v>10</v>
      </c>
      <c r="N690">
        <f>-LOG(DOWNLOAD_2kLRbPnDtawQopEJ_UKtt22ud9U57gk8mqebZIeugNk[[#This Row],[IC50]]*POWER(10, -9), 10)</f>
        <v>8</v>
      </c>
      <c r="P690" t="s">
        <v>48</v>
      </c>
      <c r="R690" t="s">
        <v>127</v>
      </c>
      <c r="W690">
        <v>0</v>
      </c>
      <c r="X690" t="s">
        <v>296</v>
      </c>
      <c r="Y690" t="s">
        <v>297</v>
      </c>
      <c r="Z690" t="s">
        <v>58</v>
      </c>
      <c r="AA690" t="s">
        <v>59</v>
      </c>
      <c r="AB690" t="s">
        <v>60</v>
      </c>
      <c r="AC690" t="s">
        <v>61</v>
      </c>
      <c r="AD690" t="s">
        <v>49</v>
      </c>
      <c r="AE690" t="s">
        <v>49</v>
      </c>
      <c r="AF690" t="s">
        <v>49</v>
      </c>
      <c r="AG690" t="s">
        <v>49</v>
      </c>
      <c r="AH690" t="s">
        <v>48</v>
      </c>
      <c r="AI690" t="s">
        <v>48</v>
      </c>
      <c r="AJ690" t="s">
        <v>48</v>
      </c>
      <c r="AK690" t="s">
        <v>62</v>
      </c>
      <c r="AL690" t="s">
        <v>63</v>
      </c>
      <c r="AM690" t="s">
        <v>61</v>
      </c>
      <c r="AN690" t="s">
        <v>64</v>
      </c>
      <c r="AO690" t="s">
        <v>298</v>
      </c>
      <c r="AP690">
        <v>1</v>
      </c>
      <c r="AQ690" t="s">
        <v>66</v>
      </c>
      <c r="AR690" t="s">
        <v>131</v>
      </c>
      <c r="AS690">
        <v>2021</v>
      </c>
      <c r="AT690" t="s">
        <v>49</v>
      </c>
      <c r="AU690" t="s">
        <v>299</v>
      </c>
      <c r="AV690" t="s">
        <v>269</v>
      </c>
      <c r="AW690" t="s">
        <v>48</v>
      </c>
    </row>
    <row r="691" spans="1:49" x14ac:dyDescent="0.3">
      <c r="A691" t="s">
        <v>1918</v>
      </c>
      <c r="B691" t="s">
        <v>48</v>
      </c>
      <c r="C691" t="s">
        <v>49</v>
      </c>
      <c r="D691">
        <v>441.3</v>
      </c>
      <c r="E691">
        <v>0</v>
      </c>
      <c r="F691">
        <v>3.7</v>
      </c>
      <c r="G691" t="s">
        <v>1295</v>
      </c>
      <c r="H691" t="s">
        <v>1919</v>
      </c>
      <c r="I691" t="s">
        <v>52</v>
      </c>
      <c r="J691" t="s">
        <v>295</v>
      </c>
      <c r="K691">
        <v>10</v>
      </c>
      <c r="L691" t="s">
        <v>126</v>
      </c>
      <c r="M691">
        <f>DOWNLOAD_2kLRbPnDtawQopEJ_UKtt22ud9U57gk8mqebZIeugNk[[#This Row],[Standard Value]]</f>
        <v>10</v>
      </c>
      <c r="N691">
        <f>-LOG(DOWNLOAD_2kLRbPnDtawQopEJ_UKtt22ud9U57gk8mqebZIeugNk[[#This Row],[IC50]]*POWER(10, -9), 10)</f>
        <v>8</v>
      </c>
      <c r="P691" t="s">
        <v>48</v>
      </c>
      <c r="R691" t="s">
        <v>127</v>
      </c>
      <c r="W691">
        <v>0</v>
      </c>
      <c r="X691" t="s">
        <v>296</v>
      </c>
      <c r="Y691" t="s">
        <v>297</v>
      </c>
      <c r="Z691" t="s">
        <v>58</v>
      </c>
      <c r="AA691" t="s">
        <v>59</v>
      </c>
      <c r="AB691" t="s">
        <v>60</v>
      </c>
      <c r="AC691" t="s">
        <v>61</v>
      </c>
      <c r="AD691" t="s">
        <v>49</v>
      </c>
      <c r="AE691" t="s">
        <v>49</v>
      </c>
      <c r="AF691" t="s">
        <v>49</v>
      </c>
      <c r="AG691" t="s">
        <v>49</v>
      </c>
      <c r="AH691" t="s">
        <v>48</v>
      </c>
      <c r="AI691" t="s">
        <v>48</v>
      </c>
      <c r="AJ691" t="s">
        <v>48</v>
      </c>
      <c r="AK691" t="s">
        <v>62</v>
      </c>
      <c r="AL691" t="s">
        <v>63</v>
      </c>
      <c r="AM691" t="s">
        <v>61</v>
      </c>
      <c r="AN691" t="s">
        <v>64</v>
      </c>
      <c r="AO691" t="s">
        <v>298</v>
      </c>
      <c r="AP691">
        <v>1</v>
      </c>
      <c r="AQ691" t="s">
        <v>66</v>
      </c>
      <c r="AR691" t="s">
        <v>131</v>
      </c>
      <c r="AS691">
        <v>2021</v>
      </c>
      <c r="AT691" t="s">
        <v>49</v>
      </c>
      <c r="AU691" t="s">
        <v>299</v>
      </c>
      <c r="AV691" t="s">
        <v>269</v>
      </c>
      <c r="AW691" t="s">
        <v>48</v>
      </c>
    </row>
    <row r="692" spans="1:49" x14ac:dyDescent="0.3">
      <c r="A692" t="s">
        <v>1920</v>
      </c>
      <c r="B692" t="s">
        <v>48</v>
      </c>
      <c r="C692" t="s">
        <v>49</v>
      </c>
      <c r="D692">
        <v>386.22</v>
      </c>
      <c r="E692">
        <v>0</v>
      </c>
      <c r="F692">
        <v>3.9</v>
      </c>
      <c r="G692" t="s">
        <v>479</v>
      </c>
      <c r="H692" t="s">
        <v>1921</v>
      </c>
      <c r="I692" t="s">
        <v>52</v>
      </c>
      <c r="J692" t="s">
        <v>295</v>
      </c>
      <c r="K692">
        <v>10</v>
      </c>
      <c r="L692" t="s">
        <v>126</v>
      </c>
      <c r="M692">
        <f>DOWNLOAD_2kLRbPnDtawQopEJ_UKtt22ud9U57gk8mqebZIeugNk[[#This Row],[Standard Value]]</f>
        <v>10</v>
      </c>
      <c r="N692">
        <f>-LOG(DOWNLOAD_2kLRbPnDtawQopEJ_UKtt22ud9U57gk8mqebZIeugNk[[#This Row],[IC50]]*POWER(10, -9), 10)</f>
        <v>8</v>
      </c>
      <c r="P692" t="s">
        <v>48</v>
      </c>
      <c r="R692" t="s">
        <v>127</v>
      </c>
      <c r="W692">
        <v>0</v>
      </c>
      <c r="X692" t="s">
        <v>296</v>
      </c>
      <c r="Y692" t="s">
        <v>297</v>
      </c>
      <c r="Z692" t="s">
        <v>58</v>
      </c>
      <c r="AA692" t="s">
        <v>59</v>
      </c>
      <c r="AB692" t="s">
        <v>60</v>
      </c>
      <c r="AC692" t="s">
        <v>61</v>
      </c>
      <c r="AD692" t="s">
        <v>49</v>
      </c>
      <c r="AE692" t="s">
        <v>49</v>
      </c>
      <c r="AF692" t="s">
        <v>49</v>
      </c>
      <c r="AG692" t="s">
        <v>49</v>
      </c>
      <c r="AH692" t="s">
        <v>48</v>
      </c>
      <c r="AI692" t="s">
        <v>48</v>
      </c>
      <c r="AJ692" t="s">
        <v>48</v>
      </c>
      <c r="AK692" t="s">
        <v>62</v>
      </c>
      <c r="AL692" t="s">
        <v>63</v>
      </c>
      <c r="AM692" t="s">
        <v>61</v>
      </c>
      <c r="AN692" t="s">
        <v>64</v>
      </c>
      <c r="AO692" t="s">
        <v>298</v>
      </c>
      <c r="AP692">
        <v>1</v>
      </c>
      <c r="AQ692" t="s">
        <v>66</v>
      </c>
      <c r="AR692" t="s">
        <v>131</v>
      </c>
      <c r="AS692">
        <v>2021</v>
      </c>
      <c r="AT692" t="s">
        <v>49</v>
      </c>
      <c r="AU692" t="s">
        <v>299</v>
      </c>
      <c r="AV692" t="s">
        <v>269</v>
      </c>
      <c r="AW692" t="s">
        <v>48</v>
      </c>
    </row>
    <row r="693" spans="1:49" x14ac:dyDescent="0.3">
      <c r="A693" t="s">
        <v>1922</v>
      </c>
      <c r="B693" t="s">
        <v>48</v>
      </c>
      <c r="C693" t="s">
        <v>49</v>
      </c>
      <c r="D693">
        <v>520.35</v>
      </c>
      <c r="E693">
        <v>2</v>
      </c>
      <c r="F693">
        <v>5.47</v>
      </c>
      <c r="G693" t="s">
        <v>1923</v>
      </c>
      <c r="H693" t="s">
        <v>1924</v>
      </c>
      <c r="I693" t="s">
        <v>52</v>
      </c>
      <c r="J693" t="s">
        <v>295</v>
      </c>
      <c r="K693">
        <v>10</v>
      </c>
      <c r="L693" t="s">
        <v>126</v>
      </c>
      <c r="M693">
        <f>DOWNLOAD_2kLRbPnDtawQopEJ_UKtt22ud9U57gk8mqebZIeugNk[[#This Row],[Standard Value]]</f>
        <v>10</v>
      </c>
      <c r="N693">
        <f>-LOG(DOWNLOAD_2kLRbPnDtawQopEJ_UKtt22ud9U57gk8mqebZIeugNk[[#This Row],[IC50]]*POWER(10, -9), 10)</f>
        <v>8</v>
      </c>
      <c r="P693" t="s">
        <v>48</v>
      </c>
      <c r="R693" t="s">
        <v>127</v>
      </c>
      <c r="W693">
        <v>0</v>
      </c>
      <c r="X693" t="s">
        <v>296</v>
      </c>
      <c r="Y693" t="s">
        <v>297</v>
      </c>
      <c r="Z693" t="s">
        <v>58</v>
      </c>
      <c r="AA693" t="s">
        <v>59</v>
      </c>
      <c r="AB693" t="s">
        <v>60</v>
      </c>
      <c r="AC693" t="s">
        <v>61</v>
      </c>
      <c r="AD693" t="s">
        <v>49</v>
      </c>
      <c r="AE693" t="s">
        <v>49</v>
      </c>
      <c r="AF693" t="s">
        <v>49</v>
      </c>
      <c r="AG693" t="s">
        <v>49</v>
      </c>
      <c r="AH693" t="s">
        <v>48</v>
      </c>
      <c r="AI693" t="s">
        <v>48</v>
      </c>
      <c r="AJ693" t="s">
        <v>48</v>
      </c>
      <c r="AK693" t="s">
        <v>62</v>
      </c>
      <c r="AL693" t="s">
        <v>63</v>
      </c>
      <c r="AM693" t="s">
        <v>61</v>
      </c>
      <c r="AN693" t="s">
        <v>64</v>
      </c>
      <c r="AO693" t="s">
        <v>298</v>
      </c>
      <c r="AP693">
        <v>1</v>
      </c>
      <c r="AQ693" t="s">
        <v>66</v>
      </c>
      <c r="AR693" t="s">
        <v>131</v>
      </c>
      <c r="AS693">
        <v>2021</v>
      </c>
      <c r="AT693" t="s">
        <v>49</v>
      </c>
      <c r="AU693" t="s">
        <v>299</v>
      </c>
      <c r="AV693" t="s">
        <v>269</v>
      </c>
      <c r="AW693" t="s">
        <v>48</v>
      </c>
    </row>
    <row r="694" spans="1:49" x14ac:dyDescent="0.3">
      <c r="A694" t="s">
        <v>1925</v>
      </c>
      <c r="B694" t="s">
        <v>48</v>
      </c>
      <c r="C694" t="s">
        <v>49</v>
      </c>
      <c r="D694">
        <v>417.8</v>
      </c>
      <c r="E694">
        <v>0</v>
      </c>
      <c r="F694">
        <v>3.19</v>
      </c>
      <c r="G694" t="s">
        <v>405</v>
      </c>
      <c r="H694" t="s">
        <v>1926</v>
      </c>
      <c r="I694" t="s">
        <v>52</v>
      </c>
      <c r="J694" t="s">
        <v>53</v>
      </c>
      <c r="K694">
        <v>70000</v>
      </c>
      <c r="L694" t="s">
        <v>126</v>
      </c>
      <c r="M694">
        <f>DOWNLOAD_2kLRbPnDtawQopEJ_UKtt22ud9U57gk8mqebZIeugNk[[#This Row],[Standard Value]]</f>
        <v>70000</v>
      </c>
      <c r="N694">
        <f>-LOG(DOWNLOAD_2kLRbPnDtawQopEJ_UKtt22ud9U57gk8mqebZIeugNk[[#This Row],[IC50]]*POWER(10, -9), 10)</f>
        <v>4.1549019599857431</v>
      </c>
      <c r="O694">
        <v>4.16</v>
      </c>
      <c r="P694" t="s">
        <v>48</v>
      </c>
      <c r="R694" t="s">
        <v>127</v>
      </c>
      <c r="S694">
        <v>9.94</v>
      </c>
      <c r="T694">
        <v>0.2</v>
      </c>
      <c r="U694">
        <v>0.96</v>
      </c>
      <c r="V694">
        <v>3.3</v>
      </c>
      <c r="W694">
        <v>0</v>
      </c>
      <c r="X694" t="s">
        <v>645</v>
      </c>
      <c r="Y694" t="s">
        <v>646</v>
      </c>
      <c r="Z694" t="s">
        <v>58</v>
      </c>
      <c r="AA694" t="s">
        <v>59</v>
      </c>
      <c r="AB694" t="s">
        <v>60</v>
      </c>
      <c r="AC694" t="s">
        <v>61</v>
      </c>
      <c r="AD694" t="s">
        <v>49</v>
      </c>
      <c r="AE694" t="s">
        <v>49</v>
      </c>
      <c r="AF694" t="s">
        <v>49</v>
      </c>
      <c r="AG694" t="s">
        <v>49</v>
      </c>
      <c r="AH694" t="s">
        <v>48</v>
      </c>
      <c r="AI694" t="s">
        <v>48</v>
      </c>
      <c r="AJ694" t="s">
        <v>647</v>
      </c>
      <c r="AK694" t="s">
        <v>62</v>
      </c>
      <c r="AL694" t="s">
        <v>63</v>
      </c>
      <c r="AM694" t="s">
        <v>61</v>
      </c>
      <c r="AN694" t="s">
        <v>64</v>
      </c>
      <c r="AO694" t="s">
        <v>648</v>
      </c>
      <c r="AP694">
        <v>1</v>
      </c>
      <c r="AQ694" t="s">
        <v>66</v>
      </c>
      <c r="AR694" t="s">
        <v>329</v>
      </c>
      <c r="AS694">
        <v>2016</v>
      </c>
      <c r="AT694" t="s">
        <v>49</v>
      </c>
      <c r="AU694" t="s">
        <v>48</v>
      </c>
      <c r="AV694" t="s">
        <v>48</v>
      </c>
      <c r="AW694" t="s">
        <v>48</v>
      </c>
    </row>
    <row r="695" spans="1:49" x14ac:dyDescent="0.3">
      <c r="A695" t="s">
        <v>1927</v>
      </c>
      <c r="B695" t="s">
        <v>48</v>
      </c>
      <c r="C695" t="s">
        <v>49</v>
      </c>
      <c r="D695">
        <v>671.71</v>
      </c>
      <c r="E695">
        <v>1</v>
      </c>
      <c r="F695">
        <v>3.68</v>
      </c>
      <c r="G695" t="s">
        <v>1433</v>
      </c>
      <c r="H695" t="s">
        <v>1928</v>
      </c>
      <c r="I695" t="s">
        <v>52</v>
      </c>
      <c r="J695" t="s">
        <v>53</v>
      </c>
      <c r="K695">
        <v>550</v>
      </c>
      <c r="L695" t="s">
        <v>126</v>
      </c>
      <c r="M695">
        <f>DOWNLOAD_2kLRbPnDtawQopEJ_UKtt22ud9U57gk8mqebZIeugNk[[#This Row],[Standard Value]]</f>
        <v>550</v>
      </c>
      <c r="N695">
        <f>-LOG(DOWNLOAD_2kLRbPnDtawQopEJ_UKtt22ud9U57gk8mqebZIeugNk[[#This Row],[IC50]]*POWER(10, -9), 10)</f>
        <v>6.2596373105057559</v>
      </c>
      <c r="O695">
        <v>6.26</v>
      </c>
      <c r="P695" t="s">
        <v>48</v>
      </c>
      <c r="R695" t="s">
        <v>127</v>
      </c>
      <c r="S695">
        <v>9.32</v>
      </c>
      <c r="T695">
        <v>0.18</v>
      </c>
      <c r="U695">
        <v>2.58</v>
      </c>
      <c r="V695">
        <v>3.75</v>
      </c>
      <c r="W695">
        <v>0</v>
      </c>
      <c r="X695" t="s">
        <v>1497</v>
      </c>
      <c r="Y695" t="s">
        <v>1498</v>
      </c>
      <c r="Z695" t="s">
        <v>58</v>
      </c>
      <c r="AA695" t="s">
        <v>59</v>
      </c>
      <c r="AB695" t="s">
        <v>60</v>
      </c>
      <c r="AC695" t="s">
        <v>61</v>
      </c>
      <c r="AD695" t="s">
        <v>49</v>
      </c>
      <c r="AE695" t="s">
        <v>49</v>
      </c>
      <c r="AF695" t="s">
        <v>49</v>
      </c>
      <c r="AG695" t="s">
        <v>49</v>
      </c>
      <c r="AH695" t="s">
        <v>48</v>
      </c>
      <c r="AI695" t="s">
        <v>48</v>
      </c>
      <c r="AJ695" t="s">
        <v>48</v>
      </c>
      <c r="AK695" t="s">
        <v>62</v>
      </c>
      <c r="AL695" t="s">
        <v>63</v>
      </c>
      <c r="AM695" t="s">
        <v>61</v>
      </c>
      <c r="AN695" t="s">
        <v>64</v>
      </c>
      <c r="AO695" t="s">
        <v>1499</v>
      </c>
      <c r="AP695">
        <v>1</v>
      </c>
      <c r="AQ695" t="s">
        <v>66</v>
      </c>
      <c r="AR695" t="s">
        <v>131</v>
      </c>
      <c r="AS695">
        <v>2022</v>
      </c>
      <c r="AT695" t="s">
        <v>49</v>
      </c>
      <c r="AU695" t="s">
        <v>299</v>
      </c>
      <c r="AV695" t="s">
        <v>269</v>
      </c>
      <c r="AW695" t="s">
        <v>48</v>
      </c>
    </row>
    <row r="696" spans="1:49" x14ac:dyDescent="0.3">
      <c r="A696" t="s">
        <v>1929</v>
      </c>
      <c r="B696" t="s">
        <v>48</v>
      </c>
      <c r="C696" t="s">
        <v>49</v>
      </c>
      <c r="D696">
        <v>692.8</v>
      </c>
      <c r="E696">
        <v>2</v>
      </c>
      <c r="F696">
        <v>3.68</v>
      </c>
      <c r="G696" t="s">
        <v>561</v>
      </c>
      <c r="H696" t="s">
        <v>1930</v>
      </c>
      <c r="I696" t="s">
        <v>52</v>
      </c>
      <c r="J696" t="s">
        <v>53</v>
      </c>
      <c r="K696">
        <v>750</v>
      </c>
      <c r="L696" t="s">
        <v>126</v>
      </c>
      <c r="M696">
        <f>DOWNLOAD_2kLRbPnDtawQopEJ_UKtt22ud9U57gk8mqebZIeugNk[[#This Row],[Standard Value]]</f>
        <v>750</v>
      </c>
      <c r="N696">
        <f>-LOG(DOWNLOAD_2kLRbPnDtawQopEJ_UKtt22ud9U57gk8mqebZIeugNk[[#This Row],[IC50]]*POWER(10, -9), 10)</f>
        <v>6.1249387366082999</v>
      </c>
      <c r="O696">
        <v>6.12</v>
      </c>
      <c r="P696" t="s">
        <v>48</v>
      </c>
      <c r="R696" t="s">
        <v>127</v>
      </c>
      <c r="S696">
        <v>8.84</v>
      </c>
      <c r="T696">
        <v>0.16</v>
      </c>
      <c r="U696">
        <v>2.44</v>
      </c>
      <c r="V696">
        <v>5.46</v>
      </c>
      <c r="W696">
        <v>0</v>
      </c>
      <c r="X696" t="s">
        <v>877</v>
      </c>
      <c r="Y696" t="s">
        <v>878</v>
      </c>
      <c r="Z696" t="s">
        <v>58</v>
      </c>
      <c r="AA696" t="s">
        <v>59</v>
      </c>
      <c r="AB696" t="s">
        <v>60</v>
      </c>
      <c r="AC696" t="s">
        <v>61</v>
      </c>
      <c r="AD696" t="s">
        <v>49</v>
      </c>
      <c r="AE696" t="s">
        <v>49</v>
      </c>
      <c r="AF696" t="s">
        <v>49</v>
      </c>
      <c r="AG696" t="s">
        <v>49</v>
      </c>
      <c r="AH696" t="s">
        <v>48</v>
      </c>
      <c r="AI696" t="s">
        <v>48</v>
      </c>
      <c r="AJ696" t="s">
        <v>48</v>
      </c>
      <c r="AK696" t="s">
        <v>62</v>
      </c>
      <c r="AL696" t="s">
        <v>63</v>
      </c>
      <c r="AM696" t="s">
        <v>61</v>
      </c>
      <c r="AN696" t="s">
        <v>64</v>
      </c>
      <c r="AO696" t="s">
        <v>879</v>
      </c>
      <c r="AP696">
        <v>1</v>
      </c>
      <c r="AQ696" t="s">
        <v>66</v>
      </c>
      <c r="AR696" t="s">
        <v>131</v>
      </c>
      <c r="AS696">
        <v>2020</v>
      </c>
      <c r="AT696" t="s">
        <v>49</v>
      </c>
      <c r="AU696" t="s">
        <v>48</v>
      </c>
      <c r="AV696" t="s">
        <v>269</v>
      </c>
      <c r="AW696" t="s">
        <v>48</v>
      </c>
    </row>
    <row r="697" spans="1:49" x14ac:dyDescent="0.3">
      <c r="A697" t="s">
        <v>1931</v>
      </c>
      <c r="B697" t="s">
        <v>48</v>
      </c>
      <c r="C697" t="s">
        <v>49</v>
      </c>
      <c r="D697">
        <v>410.9</v>
      </c>
      <c r="E697">
        <v>0</v>
      </c>
      <c r="F697">
        <v>3.57</v>
      </c>
      <c r="G697" t="s">
        <v>672</v>
      </c>
      <c r="H697" t="s">
        <v>1932</v>
      </c>
      <c r="I697" t="s">
        <v>52</v>
      </c>
      <c r="J697" t="s">
        <v>53</v>
      </c>
      <c r="K697">
        <v>24000</v>
      </c>
      <c r="L697" t="s">
        <v>126</v>
      </c>
      <c r="M697">
        <f>DOWNLOAD_2kLRbPnDtawQopEJ_UKtt22ud9U57gk8mqebZIeugNk[[#This Row],[Standard Value]]</f>
        <v>24000</v>
      </c>
      <c r="N697">
        <f>-LOG(DOWNLOAD_2kLRbPnDtawQopEJ_UKtt22ud9U57gk8mqebZIeugNk[[#This Row],[IC50]]*POWER(10, -9), 10)</f>
        <v>4.6197887582883936</v>
      </c>
      <c r="O697">
        <v>4.62</v>
      </c>
      <c r="P697" t="s">
        <v>48</v>
      </c>
      <c r="R697" t="s">
        <v>127</v>
      </c>
      <c r="S697">
        <v>12.34</v>
      </c>
      <c r="T697">
        <v>0.23</v>
      </c>
      <c r="U697">
        <v>1.05</v>
      </c>
      <c r="V697">
        <v>5.67</v>
      </c>
      <c r="W697">
        <v>0</v>
      </c>
      <c r="X697" t="s">
        <v>1546</v>
      </c>
      <c r="Y697" t="s">
        <v>1547</v>
      </c>
      <c r="Z697" t="s">
        <v>58</v>
      </c>
      <c r="AA697" t="s">
        <v>59</v>
      </c>
      <c r="AB697" t="s">
        <v>60</v>
      </c>
      <c r="AC697" t="s">
        <v>61</v>
      </c>
      <c r="AD697" t="s">
        <v>49</v>
      </c>
      <c r="AE697" t="s">
        <v>49</v>
      </c>
      <c r="AF697" t="s">
        <v>49</v>
      </c>
      <c r="AG697" t="s">
        <v>49</v>
      </c>
      <c r="AH697" t="s">
        <v>48</v>
      </c>
      <c r="AI697" t="s">
        <v>48</v>
      </c>
      <c r="AJ697" t="s">
        <v>48</v>
      </c>
      <c r="AK697" t="s">
        <v>62</v>
      </c>
      <c r="AL697" t="s">
        <v>63</v>
      </c>
      <c r="AM697" t="s">
        <v>61</v>
      </c>
      <c r="AN697" t="s">
        <v>64</v>
      </c>
      <c r="AO697" t="s">
        <v>1548</v>
      </c>
      <c r="AP697">
        <v>1</v>
      </c>
      <c r="AQ697" t="s">
        <v>66</v>
      </c>
      <c r="AR697" t="s">
        <v>1549</v>
      </c>
      <c r="AS697">
        <v>2022</v>
      </c>
      <c r="AT697" t="s">
        <v>49</v>
      </c>
      <c r="AU697" t="s">
        <v>299</v>
      </c>
      <c r="AV697" t="s">
        <v>269</v>
      </c>
      <c r="AW697" t="s">
        <v>48</v>
      </c>
    </row>
    <row r="698" spans="1:49" x14ac:dyDescent="0.3">
      <c r="A698" t="s">
        <v>1933</v>
      </c>
      <c r="B698" t="s">
        <v>48</v>
      </c>
      <c r="C698" t="s">
        <v>49</v>
      </c>
      <c r="D698">
        <v>356.23</v>
      </c>
      <c r="E698">
        <v>0</v>
      </c>
      <c r="F698">
        <v>4.5</v>
      </c>
      <c r="G698" t="s">
        <v>1774</v>
      </c>
      <c r="H698" t="s">
        <v>1934</v>
      </c>
      <c r="I698" t="s">
        <v>52</v>
      </c>
      <c r="J698" t="s">
        <v>71</v>
      </c>
      <c r="K698">
        <v>1000</v>
      </c>
      <c r="L698" t="s">
        <v>126</v>
      </c>
      <c r="M698">
        <f>DOWNLOAD_2kLRbPnDtawQopEJ_UKtt22ud9U57gk8mqebZIeugNk[[#This Row],[Standard Value]]</f>
        <v>1000</v>
      </c>
      <c r="N698">
        <f>-LOG(DOWNLOAD_2kLRbPnDtawQopEJ_UKtt22ud9U57gk8mqebZIeugNk[[#This Row],[IC50]]*POWER(10, -9), 10)</f>
        <v>5.9999999999999991</v>
      </c>
      <c r="P698" t="s">
        <v>48</v>
      </c>
      <c r="R698" t="s">
        <v>127</v>
      </c>
      <c r="W698">
        <v>0</v>
      </c>
      <c r="X698" t="s">
        <v>296</v>
      </c>
      <c r="Y698" t="s">
        <v>297</v>
      </c>
      <c r="Z698" t="s">
        <v>58</v>
      </c>
      <c r="AA698" t="s">
        <v>59</v>
      </c>
      <c r="AB698" t="s">
        <v>60</v>
      </c>
      <c r="AC698" t="s">
        <v>61</v>
      </c>
      <c r="AD698" t="s">
        <v>49</v>
      </c>
      <c r="AE698" t="s">
        <v>49</v>
      </c>
      <c r="AF698" t="s">
        <v>49</v>
      </c>
      <c r="AG698" t="s">
        <v>49</v>
      </c>
      <c r="AH698" t="s">
        <v>48</v>
      </c>
      <c r="AI698" t="s">
        <v>48</v>
      </c>
      <c r="AJ698" t="s">
        <v>48</v>
      </c>
      <c r="AK698" t="s">
        <v>62</v>
      </c>
      <c r="AL698" t="s">
        <v>63</v>
      </c>
      <c r="AM698" t="s">
        <v>61</v>
      </c>
      <c r="AN698" t="s">
        <v>64</v>
      </c>
      <c r="AO698" t="s">
        <v>298</v>
      </c>
      <c r="AP698">
        <v>1</v>
      </c>
      <c r="AQ698" t="s">
        <v>66</v>
      </c>
      <c r="AR698" t="s">
        <v>131</v>
      </c>
      <c r="AS698">
        <v>2021</v>
      </c>
      <c r="AT698" t="s">
        <v>49</v>
      </c>
      <c r="AU698" t="s">
        <v>299</v>
      </c>
      <c r="AV698" t="s">
        <v>48</v>
      </c>
      <c r="AW698" t="s">
        <v>48</v>
      </c>
    </row>
    <row r="699" spans="1:49" x14ac:dyDescent="0.3">
      <c r="A699" t="s">
        <v>1935</v>
      </c>
      <c r="B699" t="s">
        <v>48</v>
      </c>
      <c r="C699" t="s">
        <v>49</v>
      </c>
      <c r="D699">
        <v>410.28</v>
      </c>
      <c r="E699">
        <v>0</v>
      </c>
      <c r="F699">
        <v>4.75</v>
      </c>
      <c r="G699" t="s">
        <v>1936</v>
      </c>
      <c r="H699" t="s">
        <v>1937</v>
      </c>
      <c r="I699" t="s">
        <v>52</v>
      </c>
      <c r="J699" t="s">
        <v>53</v>
      </c>
      <c r="K699">
        <v>24</v>
      </c>
      <c r="L699" t="s">
        <v>126</v>
      </c>
      <c r="M699">
        <f>DOWNLOAD_2kLRbPnDtawQopEJ_UKtt22ud9U57gk8mqebZIeugNk[[#This Row],[Standard Value]]</f>
        <v>24</v>
      </c>
      <c r="N699">
        <f>-LOG(DOWNLOAD_2kLRbPnDtawQopEJ_UKtt22ud9U57gk8mqebZIeugNk[[#This Row],[IC50]]*POWER(10, -9), 10)</f>
        <v>7.6197887582883927</v>
      </c>
      <c r="O699">
        <v>7.62</v>
      </c>
      <c r="P699" t="s">
        <v>48</v>
      </c>
      <c r="R699" t="s">
        <v>127</v>
      </c>
      <c r="S699">
        <v>18.57</v>
      </c>
      <c r="T699">
        <v>0.4</v>
      </c>
      <c r="U699">
        <v>2.87</v>
      </c>
      <c r="V699">
        <v>8.83</v>
      </c>
      <c r="W699">
        <v>0</v>
      </c>
      <c r="X699" t="s">
        <v>296</v>
      </c>
      <c r="Y699" t="s">
        <v>297</v>
      </c>
      <c r="Z699" t="s">
        <v>58</v>
      </c>
      <c r="AA699" t="s">
        <v>59</v>
      </c>
      <c r="AB699" t="s">
        <v>60</v>
      </c>
      <c r="AC699" t="s">
        <v>61</v>
      </c>
      <c r="AD699" t="s">
        <v>49</v>
      </c>
      <c r="AE699" t="s">
        <v>49</v>
      </c>
      <c r="AF699" t="s">
        <v>49</v>
      </c>
      <c r="AG699" t="s">
        <v>49</v>
      </c>
      <c r="AH699" t="s">
        <v>48</v>
      </c>
      <c r="AI699" t="s">
        <v>48</v>
      </c>
      <c r="AJ699" t="s">
        <v>48</v>
      </c>
      <c r="AK699" t="s">
        <v>62</v>
      </c>
      <c r="AL699" t="s">
        <v>63</v>
      </c>
      <c r="AM699" t="s">
        <v>61</v>
      </c>
      <c r="AN699" t="s">
        <v>64</v>
      </c>
      <c r="AO699" t="s">
        <v>298</v>
      </c>
      <c r="AP699">
        <v>1</v>
      </c>
      <c r="AQ699" t="s">
        <v>66</v>
      </c>
      <c r="AR699" t="s">
        <v>131</v>
      </c>
      <c r="AS699">
        <v>2021</v>
      </c>
      <c r="AT699" t="s">
        <v>49</v>
      </c>
      <c r="AU699" t="s">
        <v>299</v>
      </c>
      <c r="AV699" t="s">
        <v>269</v>
      </c>
      <c r="AW699" t="s">
        <v>48</v>
      </c>
    </row>
    <row r="700" spans="1:49" x14ac:dyDescent="0.3">
      <c r="A700" t="s">
        <v>1938</v>
      </c>
      <c r="B700" t="s">
        <v>48</v>
      </c>
      <c r="C700" t="s">
        <v>49</v>
      </c>
      <c r="D700">
        <v>412.3</v>
      </c>
      <c r="E700">
        <v>0</v>
      </c>
      <c r="F700">
        <v>4.99</v>
      </c>
      <c r="G700" t="s">
        <v>1939</v>
      </c>
      <c r="H700" t="s">
        <v>1940</v>
      </c>
      <c r="I700" t="s">
        <v>52</v>
      </c>
      <c r="J700" t="s">
        <v>53</v>
      </c>
      <c r="K700">
        <v>320</v>
      </c>
      <c r="L700" t="s">
        <v>126</v>
      </c>
      <c r="M700">
        <f>DOWNLOAD_2kLRbPnDtawQopEJ_UKtt22ud9U57gk8mqebZIeugNk[[#This Row],[Standard Value]]</f>
        <v>320</v>
      </c>
      <c r="N700">
        <f>-LOG(DOWNLOAD_2kLRbPnDtawQopEJ_UKtt22ud9U57gk8mqebZIeugNk[[#This Row],[IC50]]*POWER(10, -9), 10)</f>
        <v>6.4948500216800928</v>
      </c>
      <c r="O700">
        <v>6.5</v>
      </c>
      <c r="P700" t="s">
        <v>48</v>
      </c>
      <c r="R700" t="s">
        <v>127</v>
      </c>
      <c r="S700">
        <v>15.75</v>
      </c>
      <c r="T700">
        <v>0.34</v>
      </c>
      <c r="U700">
        <v>1.5</v>
      </c>
      <c r="V700">
        <v>7.53</v>
      </c>
      <c r="W700">
        <v>0</v>
      </c>
      <c r="X700" t="s">
        <v>296</v>
      </c>
      <c r="Y700" t="s">
        <v>297</v>
      </c>
      <c r="Z700" t="s">
        <v>58</v>
      </c>
      <c r="AA700" t="s">
        <v>59</v>
      </c>
      <c r="AB700" t="s">
        <v>60</v>
      </c>
      <c r="AC700" t="s">
        <v>61</v>
      </c>
      <c r="AD700" t="s">
        <v>49</v>
      </c>
      <c r="AE700" t="s">
        <v>49</v>
      </c>
      <c r="AF700" t="s">
        <v>49</v>
      </c>
      <c r="AG700" t="s">
        <v>49</v>
      </c>
      <c r="AH700" t="s">
        <v>48</v>
      </c>
      <c r="AI700" t="s">
        <v>48</v>
      </c>
      <c r="AJ700" t="s">
        <v>48</v>
      </c>
      <c r="AK700" t="s">
        <v>62</v>
      </c>
      <c r="AL700" t="s">
        <v>63</v>
      </c>
      <c r="AM700" t="s">
        <v>61</v>
      </c>
      <c r="AN700" t="s">
        <v>64</v>
      </c>
      <c r="AO700" t="s">
        <v>298</v>
      </c>
      <c r="AP700">
        <v>1</v>
      </c>
      <c r="AQ700" t="s">
        <v>66</v>
      </c>
      <c r="AR700" t="s">
        <v>131</v>
      </c>
      <c r="AS700">
        <v>2021</v>
      </c>
      <c r="AT700" t="s">
        <v>49</v>
      </c>
      <c r="AU700" t="s">
        <v>299</v>
      </c>
      <c r="AV700" t="s">
        <v>269</v>
      </c>
      <c r="AW700" t="s">
        <v>48</v>
      </c>
    </row>
    <row r="701" spans="1:49" x14ac:dyDescent="0.3">
      <c r="A701" t="s">
        <v>1941</v>
      </c>
      <c r="B701" t="s">
        <v>48</v>
      </c>
      <c r="C701" t="s">
        <v>49</v>
      </c>
      <c r="D701">
        <v>461.09</v>
      </c>
      <c r="E701">
        <v>0</v>
      </c>
      <c r="F701">
        <v>3.81</v>
      </c>
      <c r="G701" t="s">
        <v>1942</v>
      </c>
      <c r="H701" t="s">
        <v>1943</v>
      </c>
      <c r="I701" t="s">
        <v>52</v>
      </c>
      <c r="J701" t="s">
        <v>53</v>
      </c>
      <c r="K701">
        <v>46</v>
      </c>
      <c r="L701" t="s">
        <v>126</v>
      </c>
      <c r="M701">
        <f>DOWNLOAD_2kLRbPnDtawQopEJ_UKtt22ud9U57gk8mqebZIeugNk[[#This Row],[Standard Value]]</f>
        <v>46</v>
      </c>
      <c r="N701">
        <f>-LOG(DOWNLOAD_2kLRbPnDtawQopEJ_UKtt22ud9U57gk8mqebZIeugNk[[#This Row],[IC50]]*POWER(10, -9), 10)</f>
        <v>7.3372421683184257</v>
      </c>
      <c r="O701">
        <v>7.34</v>
      </c>
      <c r="P701" t="s">
        <v>48</v>
      </c>
      <c r="R701" t="s">
        <v>127</v>
      </c>
      <c r="S701">
        <v>15.91</v>
      </c>
      <c r="T701">
        <v>0.44</v>
      </c>
      <c r="U701">
        <v>3.53</v>
      </c>
      <c r="V701">
        <v>6.36</v>
      </c>
      <c r="W701">
        <v>0</v>
      </c>
      <c r="X701" t="s">
        <v>296</v>
      </c>
      <c r="Y701" t="s">
        <v>297</v>
      </c>
      <c r="Z701" t="s">
        <v>58</v>
      </c>
      <c r="AA701" t="s">
        <v>59</v>
      </c>
      <c r="AB701" t="s">
        <v>60</v>
      </c>
      <c r="AC701" t="s">
        <v>61</v>
      </c>
      <c r="AD701" t="s">
        <v>49</v>
      </c>
      <c r="AE701" t="s">
        <v>49</v>
      </c>
      <c r="AF701" t="s">
        <v>49</v>
      </c>
      <c r="AG701" t="s">
        <v>49</v>
      </c>
      <c r="AH701" t="s">
        <v>48</v>
      </c>
      <c r="AI701" t="s">
        <v>48</v>
      </c>
      <c r="AJ701" t="s">
        <v>48</v>
      </c>
      <c r="AK701" t="s">
        <v>62</v>
      </c>
      <c r="AL701" t="s">
        <v>63</v>
      </c>
      <c r="AM701" t="s">
        <v>61</v>
      </c>
      <c r="AN701" t="s">
        <v>64</v>
      </c>
      <c r="AO701" t="s">
        <v>298</v>
      </c>
      <c r="AP701">
        <v>1</v>
      </c>
      <c r="AQ701" t="s">
        <v>66</v>
      </c>
      <c r="AR701" t="s">
        <v>131</v>
      </c>
      <c r="AS701">
        <v>2021</v>
      </c>
      <c r="AT701" t="s">
        <v>49</v>
      </c>
      <c r="AU701" t="s">
        <v>299</v>
      </c>
      <c r="AV701" t="s">
        <v>269</v>
      </c>
      <c r="AW701" t="s">
        <v>48</v>
      </c>
    </row>
    <row r="702" spans="1:49" x14ac:dyDescent="0.3">
      <c r="A702" t="s">
        <v>1944</v>
      </c>
      <c r="B702" t="s">
        <v>48</v>
      </c>
      <c r="C702" t="s">
        <v>49</v>
      </c>
      <c r="D702">
        <v>388.21</v>
      </c>
      <c r="E702">
        <v>0</v>
      </c>
      <c r="F702">
        <v>4.33</v>
      </c>
      <c r="G702" t="s">
        <v>1945</v>
      </c>
      <c r="H702" t="s">
        <v>1946</v>
      </c>
      <c r="I702" t="s">
        <v>52</v>
      </c>
      <c r="J702" t="s">
        <v>295</v>
      </c>
      <c r="K702">
        <v>10</v>
      </c>
      <c r="L702" t="s">
        <v>126</v>
      </c>
      <c r="M702">
        <f>DOWNLOAD_2kLRbPnDtawQopEJ_UKtt22ud9U57gk8mqebZIeugNk[[#This Row],[Standard Value]]</f>
        <v>10</v>
      </c>
      <c r="N702">
        <f>-LOG(DOWNLOAD_2kLRbPnDtawQopEJ_UKtt22ud9U57gk8mqebZIeugNk[[#This Row],[IC50]]*POWER(10, -9), 10)</f>
        <v>8</v>
      </c>
      <c r="P702" t="s">
        <v>48</v>
      </c>
      <c r="R702" t="s">
        <v>127</v>
      </c>
      <c r="W702">
        <v>0</v>
      </c>
      <c r="X702" t="s">
        <v>296</v>
      </c>
      <c r="Y702" t="s">
        <v>297</v>
      </c>
      <c r="Z702" t="s">
        <v>58</v>
      </c>
      <c r="AA702" t="s">
        <v>59</v>
      </c>
      <c r="AB702" t="s">
        <v>60</v>
      </c>
      <c r="AC702" t="s">
        <v>61</v>
      </c>
      <c r="AD702" t="s">
        <v>49</v>
      </c>
      <c r="AE702" t="s">
        <v>49</v>
      </c>
      <c r="AF702" t="s">
        <v>49</v>
      </c>
      <c r="AG702" t="s">
        <v>49</v>
      </c>
      <c r="AH702" t="s">
        <v>48</v>
      </c>
      <c r="AI702" t="s">
        <v>48</v>
      </c>
      <c r="AJ702" t="s">
        <v>48</v>
      </c>
      <c r="AK702" t="s">
        <v>62</v>
      </c>
      <c r="AL702" t="s">
        <v>63</v>
      </c>
      <c r="AM702" t="s">
        <v>61</v>
      </c>
      <c r="AN702" t="s">
        <v>64</v>
      </c>
      <c r="AO702" t="s">
        <v>298</v>
      </c>
      <c r="AP702">
        <v>1</v>
      </c>
      <c r="AQ702" t="s">
        <v>66</v>
      </c>
      <c r="AR702" t="s">
        <v>131</v>
      </c>
      <c r="AS702">
        <v>2021</v>
      </c>
      <c r="AT702" t="s">
        <v>49</v>
      </c>
      <c r="AU702" t="s">
        <v>299</v>
      </c>
      <c r="AV702" t="s">
        <v>269</v>
      </c>
      <c r="AW702" t="s">
        <v>48</v>
      </c>
    </row>
    <row r="703" spans="1:49" x14ac:dyDescent="0.3">
      <c r="A703" t="s">
        <v>1947</v>
      </c>
      <c r="B703" t="s">
        <v>48</v>
      </c>
      <c r="C703" t="s">
        <v>49</v>
      </c>
      <c r="D703">
        <v>476.34</v>
      </c>
      <c r="E703">
        <v>1</v>
      </c>
      <c r="F703">
        <v>5.77</v>
      </c>
      <c r="G703" t="s">
        <v>1948</v>
      </c>
      <c r="H703" t="s">
        <v>1949</v>
      </c>
      <c r="I703" t="s">
        <v>52</v>
      </c>
      <c r="J703" t="s">
        <v>295</v>
      </c>
      <c r="K703">
        <v>10</v>
      </c>
      <c r="L703" t="s">
        <v>126</v>
      </c>
      <c r="M703">
        <f>DOWNLOAD_2kLRbPnDtawQopEJ_UKtt22ud9U57gk8mqebZIeugNk[[#This Row],[Standard Value]]</f>
        <v>10</v>
      </c>
      <c r="N703">
        <f>-LOG(DOWNLOAD_2kLRbPnDtawQopEJ_UKtt22ud9U57gk8mqebZIeugNk[[#This Row],[IC50]]*POWER(10, -9), 10)</f>
        <v>8</v>
      </c>
      <c r="P703" t="s">
        <v>48</v>
      </c>
      <c r="R703" t="s">
        <v>127</v>
      </c>
      <c r="W703">
        <v>0</v>
      </c>
      <c r="X703" t="s">
        <v>296</v>
      </c>
      <c r="Y703" t="s">
        <v>297</v>
      </c>
      <c r="Z703" t="s">
        <v>58</v>
      </c>
      <c r="AA703" t="s">
        <v>59</v>
      </c>
      <c r="AB703" t="s">
        <v>60</v>
      </c>
      <c r="AC703" t="s">
        <v>61</v>
      </c>
      <c r="AD703" t="s">
        <v>49</v>
      </c>
      <c r="AE703" t="s">
        <v>49</v>
      </c>
      <c r="AF703" t="s">
        <v>49</v>
      </c>
      <c r="AG703" t="s">
        <v>49</v>
      </c>
      <c r="AH703" t="s">
        <v>48</v>
      </c>
      <c r="AI703" t="s">
        <v>48</v>
      </c>
      <c r="AJ703" t="s">
        <v>48</v>
      </c>
      <c r="AK703" t="s">
        <v>62</v>
      </c>
      <c r="AL703" t="s">
        <v>63</v>
      </c>
      <c r="AM703" t="s">
        <v>61</v>
      </c>
      <c r="AN703" t="s">
        <v>64</v>
      </c>
      <c r="AO703" t="s">
        <v>298</v>
      </c>
      <c r="AP703">
        <v>1</v>
      </c>
      <c r="AQ703" t="s">
        <v>66</v>
      </c>
      <c r="AR703" t="s">
        <v>131</v>
      </c>
      <c r="AS703">
        <v>2021</v>
      </c>
      <c r="AT703" t="s">
        <v>49</v>
      </c>
      <c r="AU703" t="s">
        <v>299</v>
      </c>
      <c r="AV703" t="s">
        <v>269</v>
      </c>
      <c r="AW703" t="s">
        <v>48</v>
      </c>
    </row>
    <row r="704" spans="1:49" x14ac:dyDescent="0.3">
      <c r="A704" t="s">
        <v>181</v>
      </c>
      <c r="B704" t="s">
        <v>182</v>
      </c>
      <c r="C704" t="s">
        <v>112</v>
      </c>
      <c r="D704">
        <v>612.63</v>
      </c>
      <c r="E704">
        <v>2</v>
      </c>
      <c r="F704">
        <v>3.63</v>
      </c>
      <c r="G704" t="s">
        <v>183</v>
      </c>
      <c r="H704" t="s">
        <v>184</v>
      </c>
      <c r="I704" t="s">
        <v>52</v>
      </c>
      <c r="J704" t="s">
        <v>53</v>
      </c>
      <c r="K704">
        <v>170</v>
      </c>
      <c r="L704" t="s">
        <v>126</v>
      </c>
      <c r="M704">
        <f>DOWNLOAD_2kLRbPnDtawQopEJ_UKtt22ud9U57gk8mqebZIeugNk[[#This Row],[Standard Value]]</f>
        <v>170</v>
      </c>
      <c r="N704">
        <f>-LOG(DOWNLOAD_2kLRbPnDtawQopEJ_UKtt22ud9U57gk8mqebZIeugNk[[#This Row],[IC50]]*POWER(10, -9), 10)</f>
        <v>6.7695510786217259</v>
      </c>
      <c r="O704">
        <v>6.77</v>
      </c>
      <c r="P704" t="s">
        <v>48</v>
      </c>
      <c r="R704" t="s">
        <v>127</v>
      </c>
      <c r="S704">
        <v>11.05</v>
      </c>
      <c r="T704">
        <v>0.21</v>
      </c>
      <c r="U704">
        <v>3.14</v>
      </c>
      <c r="V704">
        <v>3.38</v>
      </c>
      <c r="W704">
        <v>1</v>
      </c>
      <c r="X704" t="s">
        <v>296</v>
      </c>
      <c r="Y704" t="s">
        <v>297</v>
      </c>
      <c r="Z704" t="s">
        <v>58</v>
      </c>
      <c r="AA704" t="s">
        <v>59</v>
      </c>
      <c r="AB704" t="s">
        <v>60</v>
      </c>
      <c r="AC704" t="s">
        <v>61</v>
      </c>
      <c r="AD704" t="s">
        <v>49</v>
      </c>
      <c r="AE704" t="s">
        <v>49</v>
      </c>
      <c r="AF704" t="s">
        <v>49</v>
      </c>
      <c r="AG704" t="s">
        <v>49</v>
      </c>
      <c r="AH704" t="s">
        <v>48</v>
      </c>
      <c r="AI704" t="s">
        <v>48</v>
      </c>
      <c r="AJ704" t="s">
        <v>48</v>
      </c>
      <c r="AK704" t="s">
        <v>62</v>
      </c>
      <c r="AL704" t="s">
        <v>63</v>
      </c>
      <c r="AM704" t="s">
        <v>61</v>
      </c>
      <c r="AN704" t="s">
        <v>64</v>
      </c>
      <c r="AO704" t="s">
        <v>298</v>
      </c>
      <c r="AP704">
        <v>1</v>
      </c>
      <c r="AQ704" t="s">
        <v>66</v>
      </c>
      <c r="AR704" t="s">
        <v>131</v>
      </c>
      <c r="AS704">
        <v>2021</v>
      </c>
      <c r="AT704" t="s">
        <v>49</v>
      </c>
      <c r="AU704" t="s">
        <v>299</v>
      </c>
      <c r="AV704" t="s">
        <v>269</v>
      </c>
      <c r="AW704" t="s">
        <v>48</v>
      </c>
    </row>
    <row r="705" spans="1:49" x14ac:dyDescent="0.3">
      <c r="A705" t="s">
        <v>1950</v>
      </c>
      <c r="B705" t="s">
        <v>48</v>
      </c>
      <c r="C705" t="s">
        <v>49</v>
      </c>
      <c r="D705">
        <v>500.37</v>
      </c>
      <c r="E705">
        <v>2</v>
      </c>
      <c r="F705">
        <v>5.25</v>
      </c>
      <c r="G705" t="s">
        <v>1587</v>
      </c>
      <c r="H705" t="s">
        <v>1951</v>
      </c>
      <c r="I705" t="s">
        <v>52</v>
      </c>
      <c r="J705" t="s">
        <v>295</v>
      </c>
      <c r="K705">
        <v>10</v>
      </c>
      <c r="L705" t="s">
        <v>126</v>
      </c>
      <c r="M705">
        <f>DOWNLOAD_2kLRbPnDtawQopEJ_UKtt22ud9U57gk8mqebZIeugNk[[#This Row],[Standard Value]]</f>
        <v>10</v>
      </c>
      <c r="N705">
        <f>-LOG(DOWNLOAD_2kLRbPnDtawQopEJ_UKtt22ud9U57gk8mqebZIeugNk[[#This Row],[IC50]]*POWER(10, -9), 10)</f>
        <v>8</v>
      </c>
      <c r="P705" t="s">
        <v>48</v>
      </c>
      <c r="R705" t="s">
        <v>127</v>
      </c>
      <c r="W705">
        <v>0</v>
      </c>
      <c r="X705" t="s">
        <v>296</v>
      </c>
      <c r="Y705" t="s">
        <v>297</v>
      </c>
      <c r="Z705" t="s">
        <v>58</v>
      </c>
      <c r="AA705" t="s">
        <v>59</v>
      </c>
      <c r="AB705" t="s">
        <v>60</v>
      </c>
      <c r="AC705" t="s">
        <v>61</v>
      </c>
      <c r="AD705" t="s">
        <v>49</v>
      </c>
      <c r="AE705" t="s">
        <v>49</v>
      </c>
      <c r="AF705" t="s">
        <v>49</v>
      </c>
      <c r="AG705" t="s">
        <v>49</v>
      </c>
      <c r="AH705" t="s">
        <v>48</v>
      </c>
      <c r="AI705" t="s">
        <v>48</v>
      </c>
      <c r="AJ705" t="s">
        <v>48</v>
      </c>
      <c r="AK705" t="s">
        <v>62</v>
      </c>
      <c r="AL705" t="s">
        <v>63</v>
      </c>
      <c r="AM705" t="s">
        <v>61</v>
      </c>
      <c r="AN705" t="s">
        <v>64</v>
      </c>
      <c r="AO705" t="s">
        <v>298</v>
      </c>
      <c r="AP705">
        <v>1</v>
      </c>
      <c r="AQ705" t="s">
        <v>66</v>
      </c>
      <c r="AR705" t="s">
        <v>131</v>
      </c>
      <c r="AS705">
        <v>2021</v>
      </c>
      <c r="AT705" t="s">
        <v>49</v>
      </c>
      <c r="AU705" t="s">
        <v>299</v>
      </c>
      <c r="AV705" t="s">
        <v>269</v>
      </c>
      <c r="AW705" t="s">
        <v>48</v>
      </c>
    </row>
    <row r="706" spans="1:49" x14ac:dyDescent="0.3">
      <c r="A706" t="s">
        <v>1952</v>
      </c>
      <c r="B706" t="s">
        <v>1953</v>
      </c>
      <c r="C706" t="s">
        <v>112</v>
      </c>
      <c r="D706">
        <v>289.55</v>
      </c>
      <c r="E706">
        <v>1</v>
      </c>
      <c r="F706">
        <v>5.14</v>
      </c>
      <c r="G706" t="s">
        <v>1954</v>
      </c>
      <c r="H706" t="s">
        <v>1955</v>
      </c>
      <c r="I706" t="s">
        <v>52</v>
      </c>
      <c r="J706" t="s">
        <v>71</v>
      </c>
      <c r="K706">
        <v>1000000</v>
      </c>
      <c r="L706" t="s">
        <v>126</v>
      </c>
      <c r="M706">
        <f>DOWNLOAD_2kLRbPnDtawQopEJ_UKtt22ud9U57gk8mqebZIeugNk[[#This Row],[Standard Value]]</f>
        <v>1000000</v>
      </c>
      <c r="N706">
        <f>-LOG(DOWNLOAD_2kLRbPnDtawQopEJ_UKtt22ud9U57gk8mqebZIeugNk[[#This Row],[IC50]]*POWER(10, -9), 10)</f>
        <v>2.9999999999999996</v>
      </c>
      <c r="P706" t="s">
        <v>72</v>
      </c>
      <c r="R706" t="s">
        <v>127</v>
      </c>
      <c r="W706">
        <v>0</v>
      </c>
      <c r="X706" t="s">
        <v>458</v>
      </c>
      <c r="Y706" t="s">
        <v>459</v>
      </c>
      <c r="Z706" t="s">
        <v>58</v>
      </c>
      <c r="AA706" t="s">
        <v>59</v>
      </c>
      <c r="AB706" t="s">
        <v>60</v>
      </c>
      <c r="AC706" t="s">
        <v>61</v>
      </c>
      <c r="AD706" t="s">
        <v>49</v>
      </c>
      <c r="AE706" t="s">
        <v>49</v>
      </c>
      <c r="AF706" t="s">
        <v>49</v>
      </c>
      <c r="AG706" t="s">
        <v>49</v>
      </c>
      <c r="AH706" t="s">
        <v>48</v>
      </c>
      <c r="AI706" t="s">
        <v>48</v>
      </c>
      <c r="AJ706" t="s">
        <v>48</v>
      </c>
      <c r="AK706" t="s">
        <v>62</v>
      </c>
      <c r="AL706" t="s">
        <v>63</v>
      </c>
      <c r="AM706" t="s">
        <v>61</v>
      </c>
      <c r="AN706" t="s">
        <v>64</v>
      </c>
      <c r="AO706" t="s">
        <v>460</v>
      </c>
      <c r="AP706">
        <v>1</v>
      </c>
      <c r="AQ706" t="s">
        <v>66</v>
      </c>
      <c r="AR706" t="s">
        <v>267</v>
      </c>
      <c r="AS706">
        <v>2019</v>
      </c>
      <c r="AT706" t="s">
        <v>49</v>
      </c>
      <c r="AU706" t="s">
        <v>48</v>
      </c>
      <c r="AV706" t="s">
        <v>48</v>
      </c>
      <c r="AW706" t="s">
        <v>48</v>
      </c>
    </row>
    <row r="707" spans="1:49" x14ac:dyDescent="0.3">
      <c r="A707" t="s">
        <v>181</v>
      </c>
      <c r="B707" t="s">
        <v>182</v>
      </c>
      <c r="C707" t="s">
        <v>112</v>
      </c>
      <c r="D707">
        <v>612.63</v>
      </c>
      <c r="E707">
        <v>2</v>
      </c>
      <c r="F707">
        <v>3.63</v>
      </c>
      <c r="G707" t="s">
        <v>183</v>
      </c>
      <c r="H707" t="s">
        <v>184</v>
      </c>
      <c r="I707" t="s">
        <v>52</v>
      </c>
      <c r="J707" t="s">
        <v>53</v>
      </c>
      <c r="K707">
        <v>23.88</v>
      </c>
      <c r="L707" t="s">
        <v>126</v>
      </c>
      <c r="M707">
        <f>DOWNLOAD_2kLRbPnDtawQopEJ_UKtt22ud9U57gk8mqebZIeugNk[[#This Row],[Standard Value]]</f>
        <v>23.88</v>
      </c>
      <c r="N707">
        <f>-LOG(DOWNLOAD_2kLRbPnDtawQopEJ_UKtt22ud9U57gk8mqebZIeugNk[[#This Row],[IC50]]*POWER(10, -9), 10)</f>
        <v>7.6219656775426667</v>
      </c>
      <c r="O707">
        <v>7.62</v>
      </c>
      <c r="P707" t="s">
        <v>48</v>
      </c>
      <c r="R707" t="s">
        <v>127</v>
      </c>
      <c r="S707">
        <v>12.44</v>
      </c>
      <c r="T707">
        <v>0.24</v>
      </c>
      <c r="U707">
        <v>3.99</v>
      </c>
      <c r="V707">
        <v>3.81</v>
      </c>
      <c r="W707">
        <v>0</v>
      </c>
      <c r="X707" t="s">
        <v>264</v>
      </c>
      <c r="Y707" t="s">
        <v>265</v>
      </c>
      <c r="Z707" t="s">
        <v>58</v>
      </c>
      <c r="AA707" t="s">
        <v>59</v>
      </c>
      <c r="AB707" t="s">
        <v>60</v>
      </c>
      <c r="AC707" t="s">
        <v>61</v>
      </c>
      <c r="AD707" t="s">
        <v>49</v>
      </c>
      <c r="AE707" t="s">
        <v>49</v>
      </c>
      <c r="AF707" t="s">
        <v>49</v>
      </c>
      <c r="AG707" t="s">
        <v>49</v>
      </c>
      <c r="AH707" t="s">
        <v>48</v>
      </c>
      <c r="AI707" t="s">
        <v>48</v>
      </c>
      <c r="AJ707" t="s">
        <v>48</v>
      </c>
      <c r="AK707" t="s">
        <v>62</v>
      </c>
      <c r="AL707" t="s">
        <v>63</v>
      </c>
      <c r="AM707" t="s">
        <v>61</v>
      </c>
      <c r="AN707" t="s">
        <v>64</v>
      </c>
      <c r="AO707" t="s">
        <v>266</v>
      </c>
      <c r="AP707">
        <v>1</v>
      </c>
      <c r="AQ707" t="s">
        <v>66</v>
      </c>
      <c r="AR707" t="s">
        <v>267</v>
      </c>
      <c r="AS707">
        <v>2020</v>
      </c>
      <c r="AT707" t="s">
        <v>49</v>
      </c>
      <c r="AU707" t="s">
        <v>268</v>
      </c>
      <c r="AV707" t="s">
        <v>269</v>
      </c>
      <c r="AW707" t="s">
        <v>48</v>
      </c>
    </row>
    <row r="708" spans="1:49" x14ac:dyDescent="0.3">
      <c r="A708" t="s">
        <v>1956</v>
      </c>
      <c r="B708" t="s">
        <v>48</v>
      </c>
      <c r="C708" t="s">
        <v>49</v>
      </c>
      <c r="D708">
        <v>517</v>
      </c>
      <c r="E708">
        <v>0</v>
      </c>
      <c r="F708">
        <v>4.42</v>
      </c>
      <c r="G708" t="s">
        <v>102</v>
      </c>
      <c r="H708" t="s">
        <v>1957</v>
      </c>
      <c r="I708" t="s">
        <v>52</v>
      </c>
      <c r="J708" t="s">
        <v>53</v>
      </c>
      <c r="K708">
        <v>0.53</v>
      </c>
      <c r="L708" t="s">
        <v>126</v>
      </c>
      <c r="M708">
        <f>DOWNLOAD_2kLRbPnDtawQopEJ_UKtt22ud9U57gk8mqebZIeugNk[[#This Row],[Standard Value]]</f>
        <v>0.53</v>
      </c>
      <c r="N708">
        <f>-LOG(DOWNLOAD_2kLRbPnDtawQopEJ_UKtt22ud9U57gk8mqebZIeugNk[[#This Row],[IC50]]*POWER(10, -9), 10)</f>
        <v>9.27572413039921</v>
      </c>
      <c r="O708">
        <v>9.2799999999999994</v>
      </c>
      <c r="P708" t="s">
        <v>48</v>
      </c>
      <c r="R708" t="s">
        <v>127</v>
      </c>
      <c r="S708">
        <v>19.3</v>
      </c>
      <c r="T708">
        <v>0.36</v>
      </c>
      <c r="U708">
        <v>4.8600000000000003</v>
      </c>
      <c r="V708">
        <v>8.1</v>
      </c>
      <c r="W708">
        <v>0</v>
      </c>
      <c r="X708" t="s">
        <v>264</v>
      </c>
      <c r="Y708" t="s">
        <v>265</v>
      </c>
      <c r="Z708" t="s">
        <v>58</v>
      </c>
      <c r="AA708" t="s">
        <v>59</v>
      </c>
      <c r="AB708" t="s">
        <v>60</v>
      </c>
      <c r="AC708" t="s">
        <v>61</v>
      </c>
      <c r="AD708" t="s">
        <v>49</v>
      </c>
      <c r="AE708" t="s">
        <v>49</v>
      </c>
      <c r="AF708" t="s">
        <v>49</v>
      </c>
      <c r="AG708" t="s">
        <v>49</v>
      </c>
      <c r="AH708" t="s">
        <v>48</v>
      </c>
      <c r="AI708" t="s">
        <v>48</v>
      </c>
      <c r="AJ708" t="s">
        <v>48</v>
      </c>
      <c r="AK708" t="s">
        <v>62</v>
      </c>
      <c r="AL708" t="s">
        <v>63</v>
      </c>
      <c r="AM708" t="s">
        <v>61</v>
      </c>
      <c r="AN708" t="s">
        <v>64</v>
      </c>
      <c r="AO708" t="s">
        <v>266</v>
      </c>
      <c r="AP708">
        <v>1</v>
      </c>
      <c r="AQ708" t="s">
        <v>66</v>
      </c>
      <c r="AR708" t="s">
        <v>267</v>
      </c>
      <c r="AS708">
        <v>2020</v>
      </c>
      <c r="AT708" t="s">
        <v>49</v>
      </c>
      <c r="AU708" t="s">
        <v>268</v>
      </c>
      <c r="AV708" t="s">
        <v>269</v>
      </c>
      <c r="AW708" t="s">
        <v>48</v>
      </c>
    </row>
    <row r="709" spans="1:49" x14ac:dyDescent="0.3">
      <c r="A709" t="s">
        <v>1958</v>
      </c>
      <c r="B709" t="s">
        <v>48</v>
      </c>
      <c r="C709" t="s">
        <v>49</v>
      </c>
      <c r="D709">
        <v>534.23</v>
      </c>
      <c r="E709">
        <v>1</v>
      </c>
      <c r="F709">
        <v>3.18</v>
      </c>
      <c r="G709" t="s">
        <v>479</v>
      </c>
      <c r="H709" t="s">
        <v>1959</v>
      </c>
      <c r="I709" t="s">
        <v>52</v>
      </c>
      <c r="J709" t="s">
        <v>53</v>
      </c>
      <c r="K709">
        <v>93</v>
      </c>
      <c r="L709" t="s">
        <v>126</v>
      </c>
      <c r="M709">
        <f>DOWNLOAD_2kLRbPnDtawQopEJ_UKtt22ud9U57gk8mqebZIeugNk[[#This Row],[Standard Value]]</f>
        <v>93</v>
      </c>
      <c r="N709">
        <f>-LOG(DOWNLOAD_2kLRbPnDtawQopEJ_UKtt22ud9U57gk8mqebZIeugNk[[#This Row],[IC50]]*POWER(10, -9), 10)</f>
        <v>7.0315170514460634</v>
      </c>
      <c r="O709">
        <v>7.03</v>
      </c>
      <c r="P709" t="s">
        <v>48</v>
      </c>
      <c r="R709" t="s">
        <v>127</v>
      </c>
      <c r="S709">
        <v>13.16</v>
      </c>
      <c r="T709">
        <v>0.34</v>
      </c>
      <c r="U709">
        <v>3.85</v>
      </c>
      <c r="V709">
        <v>6.21</v>
      </c>
      <c r="W709">
        <v>0</v>
      </c>
      <c r="X709" t="s">
        <v>144</v>
      </c>
      <c r="Y709" t="s">
        <v>145</v>
      </c>
      <c r="Z709" t="s">
        <v>58</v>
      </c>
      <c r="AA709" t="s">
        <v>59</v>
      </c>
      <c r="AB709" t="s">
        <v>60</v>
      </c>
      <c r="AC709" t="s">
        <v>61</v>
      </c>
      <c r="AD709" t="s">
        <v>49</v>
      </c>
      <c r="AE709" t="s">
        <v>49</v>
      </c>
      <c r="AF709" t="s">
        <v>49</v>
      </c>
      <c r="AG709" t="s">
        <v>49</v>
      </c>
      <c r="AH709" t="s">
        <v>48</v>
      </c>
      <c r="AI709" t="s">
        <v>48</v>
      </c>
      <c r="AJ709" t="s">
        <v>48</v>
      </c>
      <c r="AK709" t="s">
        <v>62</v>
      </c>
      <c r="AL709" t="s">
        <v>63</v>
      </c>
      <c r="AM709" t="s">
        <v>61</v>
      </c>
      <c r="AN709" t="s">
        <v>64</v>
      </c>
      <c r="AO709" t="s">
        <v>146</v>
      </c>
      <c r="AP709">
        <v>1</v>
      </c>
      <c r="AQ709" t="s">
        <v>66</v>
      </c>
      <c r="AR709" t="s">
        <v>67</v>
      </c>
      <c r="AS709">
        <v>2015</v>
      </c>
      <c r="AT709" t="s">
        <v>49</v>
      </c>
      <c r="AU709" t="s">
        <v>48</v>
      </c>
      <c r="AV709" t="s">
        <v>48</v>
      </c>
      <c r="AW709" t="s">
        <v>48</v>
      </c>
    </row>
    <row r="710" spans="1:49" x14ac:dyDescent="0.3">
      <c r="A710" t="s">
        <v>1960</v>
      </c>
      <c r="B710" t="s">
        <v>48</v>
      </c>
      <c r="C710" t="s">
        <v>49</v>
      </c>
      <c r="D710">
        <v>441.31</v>
      </c>
      <c r="E710">
        <v>0</v>
      </c>
      <c r="F710">
        <v>2.02</v>
      </c>
      <c r="G710" t="s">
        <v>396</v>
      </c>
      <c r="H710" t="s">
        <v>1961</v>
      </c>
      <c r="I710" t="s">
        <v>52</v>
      </c>
      <c r="J710" t="s">
        <v>53</v>
      </c>
      <c r="K710">
        <v>25000</v>
      </c>
      <c r="L710" t="s">
        <v>126</v>
      </c>
      <c r="M710">
        <f>DOWNLOAD_2kLRbPnDtawQopEJ_UKtt22ud9U57gk8mqebZIeugNk[[#This Row],[Standard Value]]</f>
        <v>25000</v>
      </c>
      <c r="N710">
        <f>-LOG(DOWNLOAD_2kLRbPnDtawQopEJ_UKtt22ud9U57gk8mqebZIeugNk[[#This Row],[IC50]]*POWER(10, -9), 10)</f>
        <v>4.6020599913279616</v>
      </c>
      <c r="O710">
        <v>4.5999999999999996</v>
      </c>
      <c r="P710" t="s">
        <v>48</v>
      </c>
      <c r="R710" t="s">
        <v>127</v>
      </c>
      <c r="S710">
        <v>10.43</v>
      </c>
      <c r="T710">
        <v>0.24</v>
      </c>
      <c r="U710">
        <v>2.58</v>
      </c>
      <c r="V710">
        <v>4.07</v>
      </c>
      <c r="W710">
        <v>0</v>
      </c>
      <c r="X710" t="s">
        <v>144</v>
      </c>
      <c r="Y710" t="s">
        <v>145</v>
      </c>
      <c r="Z710" t="s">
        <v>58</v>
      </c>
      <c r="AA710" t="s">
        <v>59</v>
      </c>
      <c r="AB710" t="s">
        <v>60</v>
      </c>
      <c r="AC710" t="s">
        <v>61</v>
      </c>
      <c r="AD710" t="s">
        <v>49</v>
      </c>
      <c r="AE710" t="s">
        <v>49</v>
      </c>
      <c r="AF710" t="s">
        <v>49</v>
      </c>
      <c r="AG710" t="s">
        <v>49</v>
      </c>
      <c r="AH710" t="s">
        <v>48</v>
      </c>
      <c r="AI710" t="s">
        <v>48</v>
      </c>
      <c r="AJ710" t="s">
        <v>48</v>
      </c>
      <c r="AK710" t="s">
        <v>62</v>
      </c>
      <c r="AL710" t="s">
        <v>63</v>
      </c>
      <c r="AM710" t="s">
        <v>61</v>
      </c>
      <c r="AN710" t="s">
        <v>64</v>
      </c>
      <c r="AO710" t="s">
        <v>146</v>
      </c>
      <c r="AP710">
        <v>1</v>
      </c>
      <c r="AQ710" t="s">
        <v>66</v>
      </c>
      <c r="AR710" t="s">
        <v>67</v>
      </c>
      <c r="AS710">
        <v>2015</v>
      </c>
      <c r="AT710" t="s">
        <v>49</v>
      </c>
      <c r="AU710" t="s">
        <v>48</v>
      </c>
      <c r="AV710" t="s">
        <v>48</v>
      </c>
      <c r="AW710" t="s">
        <v>48</v>
      </c>
    </row>
    <row r="711" spans="1:49" x14ac:dyDescent="0.3">
      <c r="A711" t="s">
        <v>1962</v>
      </c>
      <c r="B711" t="s">
        <v>48</v>
      </c>
      <c r="C711" t="s">
        <v>49</v>
      </c>
      <c r="D711">
        <v>312.39999999999998</v>
      </c>
      <c r="E711">
        <v>0</v>
      </c>
      <c r="F711">
        <v>2.4900000000000002</v>
      </c>
      <c r="G711" t="s">
        <v>760</v>
      </c>
      <c r="H711" t="s">
        <v>1963</v>
      </c>
      <c r="I711" t="s">
        <v>52</v>
      </c>
      <c r="J711" t="s">
        <v>53</v>
      </c>
      <c r="K711">
        <v>21000</v>
      </c>
      <c r="L711" t="s">
        <v>126</v>
      </c>
      <c r="M711">
        <f>DOWNLOAD_2kLRbPnDtawQopEJ_UKtt22ud9U57gk8mqebZIeugNk[[#This Row],[Standard Value]]</f>
        <v>21000</v>
      </c>
      <c r="N711">
        <f>-LOG(DOWNLOAD_2kLRbPnDtawQopEJ_UKtt22ud9U57gk8mqebZIeugNk[[#This Row],[IC50]]*POWER(10, -9), 10)</f>
        <v>4.6777807052660805</v>
      </c>
      <c r="O711">
        <v>4.68</v>
      </c>
      <c r="P711" t="s">
        <v>48</v>
      </c>
      <c r="R711" t="s">
        <v>127</v>
      </c>
      <c r="S711">
        <v>14.97</v>
      </c>
      <c r="T711">
        <v>0.28999999999999998</v>
      </c>
      <c r="U711">
        <v>2.19</v>
      </c>
      <c r="V711">
        <v>5.58</v>
      </c>
      <c r="W711">
        <v>0</v>
      </c>
      <c r="X711" t="s">
        <v>144</v>
      </c>
      <c r="Y711" t="s">
        <v>145</v>
      </c>
      <c r="Z711" t="s">
        <v>58</v>
      </c>
      <c r="AA711" t="s">
        <v>59</v>
      </c>
      <c r="AB711" t="s">
        <v>60</v>
      </c>
      <c r="AC711" t="s">
        <v>61</v>
      </c>
      <c r="AD711" t="s">
        <v>49</v>
      </c>
      <c r="AE711" t="s">
        <v>49</v>
      </c>
      <c r="AF711" t="s">
        <v>49</v>
      </c>
      <c r="AG711" t="s">
        <v>49</v>
      </c>
      <c r="AH711" t="s">
        <v>48</v>
      </c>
      <c r="AI711" t="s">
        <v>48</v>
      </c>
      <c r="AJ711" t="s">
        <v>48</v>
      </c>
      <c r="AK711" t="s">
        <v>62</v>
      </c>
      <c r="AL711" t="s">
        <v>63</v>
      </c>
      <c r="AM711" t="s">
        <v>61</v>
      </c>
      <c r="AN711" t="s">
        <v>64</v>
      </c>
      <c r="AO711" t="s">
        <v>146</v>
      </c>
      <c r="AP711">
        <v>1</v>
      </c>
      <c r="AQ711" t="s">
        <v>66</v>
      </c>
      <c r="AR711" t="s">
        <v>67</v>
      </c>
      <c r="AS711">
        <v>2015</v>
      </c>
      <c r="AT711" t="s">
        <v>49</v>
      </c>
      <c r="AU711" t="s">
        <v>48</v>
      </c>
      <c r="AV711" t="s">
        <v>48</v>
      </c>
      <c r="AW711" t="s">
        <v>48</v>
      </c>
    </row>
    <row r="712" spans="1:49" x14ac:dyDescent="0.3">
      <c r="A712" t="s">
        <v>1964</v>
      </c>
      <c r="B712" t="s">
        <v>48</v>
      </c>
      <c r="C712" t="s">
        <v>49</v>
      </c>
      <c r="D712">
        <v>445.33</v>
      </c>
      <c r="E712">
        <v>0</v>
      </c>
      <c r="F712">
        <v>2.96</v>
      </c>
      <c r="G712" t="s">
        <v>500</v>
      </c>
      <c r="H712" t="s">
        <v>1965</v>
      </c>
      <c r="I712" t="s">
        <v>52</v>
      </c>
      <c r="J712" t="s">
        <v>53</v>
      </c>
      <c r="K712">
        <v>890</v>
      </c>
      <c r="L712" t="s">
        <v>126</v>
      </c>
      <c r="M712">
        <f>DOWNLOAD_2kLRbPnDtawQopEJ_UKtt22ud9U57gk8mqebZIeugNk[[#This Row],[Standard Value]]</f>
        <v>890</v>
      </c>
      <c r="N712">
        <f>-LOG(DOWNLOAD_2kLRbPnDtawQopEJ_UKtt22ud9U57gk8mqebZIeugNk[[#This Row],[IC50]]*POWER(10, -9), 10)</f>
        <v>6.0506099933550868</v>
      </c>
      <c r="O712">
        <v>6.05</v>
      </c>
      <c r="P712" t="s">
        <v>48</v>
      </c>
      <c r="R712" t="s">
        <v>127</v>
      </c>
      <c r="S712">
        <v>13.59</v>
      </c>
      <c r="T712">
        <v>0.3</v>
      </c>
      <c r="U712">
        <v>3.09</v>
      </c>
      <c r="V712">
        <v>5.35</v>
      </c>
      <c r="W712">
        <v>0</v>
      </c>
      <c r="X712" t="s">
        <v>144</v>
      </c>
      <c r="Y712" t="s">
        <v>145</v>
      </c>
      <c r="Z712" t="s">
        <v>58</v>
      </c>
      <c r="AA712" t="s">
        <v>59</v>
      </c>
      <c r="AB712" t="s">
        <v>60</v>
      </c>
      <c r="AC712" t="s">
        <v>61</v>
      </c>
      <c r="AD712" t="s">
        <v>49</v>
      </c>
      <c r="AE712" t="s">
        <v>49</v>
      </c>
      <c r="AF712" t="s">
        <v>49</v>
      </c>
      <c r="AG712" t="s">
        <v>49</v>
      </c>
      <c r="AH712" t="s">
        <v>48</v>
      </c>
      <c r="AI712" t="s">
        <v>48</v>
      </c>
      <c r="AJ712" t="s">
        <v>48</v>
      </c>
      <c r="AK712" t="s">
        <v>62</v>
      </c>
      <c r="AL712" t="s">
        <v>63</v>
      </c>
      <c r="AM712" t="s">
        <v>61</v>
      </c>
      <c r="AN712" t="s">
        <v>64</v>
      </c>
      <c r="AO712" t="s">
        <v>146</v>
      </c>
      <c r="AP712">
        <v>1</v>
      </c>
      <c r="AQ712" t="s">
        <v>66</v>
      </c>
      <c r="AR712" t="s">
        <v>67</v>
      </c>
      <c r="AS712">
        <v>2015</v>
      </c>
      <c r="AT712" t="s">
        <v>49</v>
      </c>
      <c r="AU712" t="s">
        <v>48</v>
      </c>
      <c r="AV712" t="s">
        <v>48</v>
      </c>
      <c r="AW712" t="s">
        <v>48</v>
      </c>
    </row>
    <row r="713" spans="1:49" x14ac:dyDescent="0.3">
      <c r="A713" t="s">
        <v>1966</v>
      </c>
      <c r="B713" t="s">
        <v>1967</v>
      </c>
      <c r="C713" t="s">
        <v>49</v>
      </c>
      <c r="D713">
        <v>359.4</v>
      </c>
      <c r="E713">
        <v>0</v>
      </c>
      <c r="F713">
        <v>2.06</v>
      </c>
      <c r="G713" t="s">
        <v>102</v>
      </c>
      <c r="H713" t="s">
        <v>1968</v>
      </c>
      <c r="I713" t="s">
        <v>52</v>
      </c>
      <c r="J713" t="s">
        <v>53</v>
      </c>
      <c r="K713">
        <v>10000</v>
      </c>
      <c r="L713" t="s">
        <v>126</v>
      </c>
      <c r="M713">
        <f>DOWNLOAD_2kLRbPnDtawQopEJ_UKtt22ud9U57gk8mqebZIeugNk[[#This Row],[Standard Value]]</f>
        <v>10000</v>
      </c>
      <c r="N713">
        <f>-LOG(DOWNLOAD_2kLRbPnDtawQopEJ_UKtt22ud9U57gk8mqebZIeugNk[[#This Row],[IC50]]*POWER(10, -9), 10)</f>
        <v>5</v>
      </c>
      <c r="O713">
        <v>5</v>
      </c>
      <c r="P713" t="s">
        <v>48</v>
      </c>
      <c r="R713" t="s">
        <v>127</v>
      </c>
      <c r="S713">
        <v>13.91</v>
      </c>
      <c r="T713">
        <v>0.26</v>
      </c>
      <c r="U713">
        <v>2.94</v>
      </c>
      <c r="V713">
        <v>7.87</v>
      </c>
      <c r="W713">
        <v>0</v>
      </c>
      <c r="X713" t="s">
        <v>1969</v>
      </c>
      <c r="Y713" t="s">
        <v>1970</v>
      </c>
      <c r="Z713" t="s">
        <v>58</v>
      </c>
      <c r="AA713" t="s">
        <v>59</v>
      </c>
      <c r="AB713" t="s">
        <v>60</v>
      </c>
      <c r="AC713" t="s">
        <v>61</v>
      </c>
      <c r="AD713" t="s">
        <v>49</v>
      </c>
      <c r="AE713" t="s">
        <v>49</v>
      </c>
      <c r="AF713" t="s">
        <v>49</v>
      </c>
      <c r="AG713" t="s">
        <v>49</v>
      </c>
      <c r="AH713" t="s">
        <v>48</v>
      </c>
      <c r="AI713" t="s">
        <v>48</v>
      </c>
      <c r="AJ713" t="s">
        <v>48</v>
      </c>
      <c r="AK713" t="s">
        <v>62</v>
      </c>
      <c r="AL713" t="s">
        <v>63</v>
      </c>
      <c r="AM713" t="s">
        <v>61</v>
      </c>
      <c r="AN713" t="s">
        <v>64</v>
      </c>
      <c r="AO713" t="s">
        <v>648</v>
      </c>
      <c r="AP713">
        <v>1</v>
      </c>
      <c r="AQ713" t="s">
        <v>66</v>
      </c>
      <c r="AR713" t="s">
        <v>329</v>
      </c>
      <c r="AS713">
        <v>2016</v>
      </c>
      <c r="AT713" t="s">
        <v>49</v>
      </c>
      <c r="AU713" t="s">
        <v>48</v>
      </c>
      <c r="AV713" t="s">
        <v>48</v>
      </c>
      <c r="AW713" t="s">
        <v>48</v>
      </c>
    </row>
    <row r="714" spans="1:49" x14ac:dyDescent="0.3">
      <c r="A714" t="s">
        <v>1971</v>
      </c>
      <c r="B714" t="s">
        <v>48</v>
      </c>
      <c r="C714" t="s">
        <v>49</v>
      </c>
      <c r="D714">
        <v>392.85</v>
      </c>
      <c r="E714">
        <v>0</v>
      </c>
      <c r="F714">
        <v>3.53</v>
      </c>
      <c r="G714" t="s">
        <v>119</v>
      </c>
      <c r="H714" t="s">
        <v>1972</v>
      </c>
      <c r="I714" t="s">
        <v>52</v>
      </c>
      <c r="J714" t="s">
        <v>53</v>
      </c>
      <c r="K714">
        <v>6350</v>
      </c>
      <c r="L714" t="s">
        <v>126</v>
      </c>
      <c r="M714">
        <f>DOWNLOAD_2kLRbPnDtawQopEJ_UKtt22ud9U57gk8mqebZIeugNk[[#This Row],[Standard Value]]</f>
        <v>6350</v>
      </c>
      <c r="N714">
        <f>-LOG(DOWNLOAD_2kLRbPnDtawQopEJ_UKtt22ud9U57gk8mqebZIeugNk[[#This Row],[IC50]]*POWER(10, -9), 10)</f>
        <v>5.197226274708024</v>
      </c>
      <c r="O714">
        <v>5.2</v>
      </c>
      <c r="P714" t="s">
        <v>48</v>
      </c>
      <c r="R714" t="s">
        <v>127</v>
      </c>
      <c r="S714">
        <v>13.23</v>
      </c>
      <c r="T714">
        <v>0.25</v>
      </c>
      <c r="U714">
        <v>1.67</v>
      </c>
      <c r="V714">
        <v>7.6</v>
      </c>
      <c r="W714">
        <v>0</v>
      </c>
      <c r="X714" t="s">
        <v>740</v>
      </c>
      <c r="Y714" t="s">
        <v>741</v>
      </c>
      <c r="Z714" t="s">
        <v>58</v>
      </c>
      <c r="AA714" t="s">
        <v>59</v>
      </c>
      <c r="AB714" t="s">
        <v>60</v>
      </c>
      <c r="AC714" t="s">
        <v>61</v>
      </c>
      <c r="AD714" t="s">
        <v>49</v>
      </c>
      <c r="AE714" t="s">
        <v>49</v>
      </c>
      <c r="AF714" t="s">
        <v>49</v>
      </c>
      <c r="AG714" t="s">
        <v>49</v>
      </c>
      <c r="AH714" t="s">
        <v>48</v>
      </c>
      <c r="AI714" t="s">
        <v>48</v>
      </c>
      <c r="AJ714" t="s">
        <v>48</v>
      </c>
      <c r="AK714" t="s">
        <v>62</v>
      </c>
      <c r="AL714" t="s">
        <v>63</v>
      </c>
      <c r="AM714" t="s">
        <v>61</v>
      </c>
      <c r="AN714" t="s">
        <v>64</v>
      </c>
      <c r="AO714" t="s">
        <v>742</v>
      </c>
      <c r="AP714">
        <v>1</v>
      </c>
      <c r="AQ714" t="s">
        <v>66</v>
      </c>
      <c r="AR714" t="s">
        <v>67</v>
      </c>
      <c r="AS714">
        <v>2018</v>
      </c>
      <c r="AT714" t="s">
        <v>49</v>
      </c>
      <c r="AU714" t="s">
        <v>48</v>
      </c>
      <c r="AV714" t="s">
        <v>48</v>
      </c>
      <c r="AW714" t="s">
        <v>48</v>
      </c>
    </row>
    <row r="715" spans="1:49" x14ac:dyDescent="0.3">
      <c r="A715" t="s">
        <v>281</v>
      </c>
      <c r="B715" t="s">
        <v>282</v>
      </c>
      <c r="C715" t="s">
        <v>112</v>
      </c>
      <c r="D715">
        <v>331.35</v>
      </c>
      <c r="E715">
        <v>0</v>
      </c>
      <c r="F715">
        <v>1.58</v>
      </c>
      <c r="G715" t="s">
        <v>283</v>
      </c>
      <c r="H715" t="s">
        <v>284</v>
      </c>
      <c r="I715" t="s">
        <v>52</v>
      </c>
      <c r="J715" t="s">
        <v>53</v>
      </c>
      <c r="K715">
        <v>310</v>
      </c>
      <c r="L715" t="s">
        <v>126</v>
      </c>
      <c r="M715">
        <f>DOWNLOAD_2kLRbPnDtawQopEJ_UKtt22ud9U57gk8mqebZIeugNk[[#This Row],[Standard Value]]</f>
        <v>310</v>
      </c>
      <c r="N715">
        <f>-LOG(DOWNLOAD_2kLRbPnDtawQopEJ_UKtt22ud9U57gk8mqebZIeugNk[[#This Row],[IC50]]*POWER(10, -9), 10)</f>
        <v>6.5086383061657269</v>
      </c>
      <c r="O715">
        <v>6.51</v>
      </c>
      <c r="P715" t="s">
        <v>48</v>
      </c>
      <c r="R715" t="s">
        <v>127</v>
      </c>
      <c r="S715">
        <v>19.64</v>
      </c>
      <c r="T715">
        <v>0.37</v>
      </c>
      <c r="U715">
        <v>4.93</v>
      </c>
      <c r="V715">
        <v>8.73</v>
      </c>
      <c r="W715">
        <v>0</v>
      </c>
      <c r="X715" t="s">
        <v>740</v>
      </c>
      <c r="Y715" t="s">
        <v>741</v>
      </c>
      <c r="Z715" t="s">
        <v>58</v>
      </c>
      <c r="AA715" t="s">
        <v>59</v>
      </c>
      <c r="AB715" t="s">
        <v>60</v>
      </c>
      <c r="AC715" t="s">
        <v>61</v>
      </c>
      <c r="AD715" t="s">
        <v>49</v>
      </c>
      <c r="AE715" t="s">
        <v>49</v>
      </c>
      <c r="AF715" t="s">
        <v>49</v>
      </c>
      <c r="AG715" t="s">
        <v>49</v>
      </c>
      <c r="AH715" t="s">
        <v>48</v>
      </c>
      <c r="AI715" t="s">
        <v>48</v>
      </c>
      <c r="AJ715" t="s">
        <v>48</v>
      </c>
      <c r="AK715" t="s">
        <v>62</v>
      </c>
      <c r="AL715" t="s">
        <v>63</v>
      </c>
      <c r="AM715" t="s">
        <v>61</v>
      </c>
      <c r="AN715" t="s">
        <v>64</v>
      </c>
      <c r="AO715" t="s">
        <v>742</v>
      </c>
      <c r="AP715">
        <v>1</v>
      </c>
      <c r="AQ715" t="s">
        <v>66</v>
      </c>
      <c r="AR715" t="s">
        <v>67</v>
      </c>
      <c r="AS715">
        <v>2018</v>
      </c>
      <c r="AT715" t="s">
        <v>49</v>
      </c>
      <c r="AU715" t="s">
        <v>48</v>
      </c>
      <c r="AV715" t="s">
        <v>48</v>
      </c>
      <c r="AW715" t="s">
        <v>48</v>
      </c>
    </row>
    <row r="716" spans="1:49" x14ac:dyDescent="0.3">
      <c r="A716" t="s">
        <v>1973</v>
      </c>
      <c r="B716" t="s">
        <v>48</v>
      </c>
      <c r="C716" t="s">
        <v>49</v>
      </c>
      <c r="D716">
        <v>447.42</v>
      </c>
      <c r="E716">
        <v>0</v>
      </c>
      <c r="F716">
        <v>2.19</v>
      </c>
      <c r="G716" t="s">
        <v>1974</v>
      </c>
      <c r="H716" t="s">
        <v>1975</v>
      </c>
      <c r="I716" t="s">
        <v>52</v>
      </c>
      <c r="J716" t="s">
        <v>53</v>
      </c>
      <c r="K716">
        <v>7.8E-2</v>
      </c>
      <c r="L716" t="s">
        <v>54</v>
      </c>
      <c r="M716">
        <f>DOWNLOAD_2kLRbPnDtawQopEJ_UKtt22ud9U57gk8mqebZIeugNk[[#This Row],[Standard Value]]/DOWNLOAD_2kLRbPnDtawQopEJ_UKtt22ud9U57gk8mqebZIeugNk[[#This Row],[Molecular Weight]]*1000*1000</f>
        <v>174.33284162531848</v>
      </c>
      <c r="N716">
        <f>-LOG(DOWNLOAD_2kLRbPnDtawQopEJ_UKtt22ud9U57gk8mqebZIeugNk[[#This Row],[IC50]]*POWER(10, -9), 10)</f>
        <v>6.7586207907838141</v>
      </c>
      <c r="P716" t="s">
        <v>48</v>
      </c>
      <c r="R716" t="s">
        <v>55</v>
      </c>
      <c r="W716">
        <v>0</v>
      </c>
      <c r="X716" t="s">
        <v>245</v>
      </c>
      <c r="Y716" t="s">
        <v>246</v>
      </c>
      <c r="Z716" t="s">
        <v>58</v>
      </c>
      <c r="AA716" t="s">
        <v>59</v>
      </c>
      <c r="AB716" t="s">
        <v>60</v>
      </c>
      <c r="AC716" t="s">
        <v>61</v>
      </c>
      <c r="AD716" t="s">
        <v>49</v>
      </c>
      <c r="AE716" t="s">
        <v>49</v>
      </c>
      <c r="AF716" t="s">
        <v>49</v>
      </c>
      <c r="AG716" t="s">
        <v>49</v>
      </c>
      <c r="AH716" t="s">
        <v>48</v>
      </c>
      <c r="AI716" t="s">
        <v>48</v>
      </c>
      <c r="AJ716" t="s">
        <v>48</v>
      </c>
      <c r="AK716" t="s">
        <v>62</v>
      </c>
      <c r="AL716" t="s">
        <v>63</v>
      </c>
      <c r="AM716" t="s">
        <v>61</v>
      </c>
      <c r="AN716" t="s">
        <v>64</v>
      </c>
      <c r="AO716" t="s">
        <v>247</v>
      </c>
      <c r="AP716">
        <v>1</v>
      </c>
      <c r="AQ716" t="s">
        <v>66</v>
      </c>
      <c r="AR716" t="s">
        <v>131</v>
      </c>
      <c r="AS716">
        <v>2015</v>
      </c>
      <c r="AT716" t="s">
        <v>49</v>
      </c>
      <c r="AU716" t="s">
        <v>48</v>
      </c>
      <c r="AV716" t="s">
        <v>48</v>
      </c>
      <c r="AW716" t="s">
        <v>48</v>
      </c>
    </row>
    <row r="717" spans="1:49" x14ac:dyDescent="0.3">
      <c r="A717" t="s">
        <v>181</v>
      </c>
      <c r="B717" t="s">
        <v>182</v>
      </c>
      <c r="C717" t="s">
        <v>112</v>
      </c>
      <c r="D717">
        <v>612.63</v>
      </c>
      <c r="E717">
        <v>2</v>
      </c>
      <c r="F717">
        <v>3.63</v>
      </c>
      <c r="G717" t="s">
        <v>183</v>
      </c>
      <c r="H717" t="s">
        <v>184</v>
      </c>
      <c r="I717" t="s">
        <v>52</v>
      </c>
      <c r="J717" t="s">
        <v>53</v>
      </c>
      <c r="K717">
        <v>170</v>
      </c>
      <c r="L717" t="s">
        <v>126</v>
      </c>
      <c r="M717">
        <f>DOWNLOAD_2kLRbPnDtawQopEJ_UKtt22ud9U57gk8mqebZIeugNk[[#This Row],[Standard Value]]</f>
        <v>170</v>
      </c>
      <c r="N717">
        <f>-LOG(DOWNLOAD_2kLRbPnDtawQopEJ_UKtt22ud9U57gk8mqebZIeugNk[[#This Row],[IC50]]*POWER(10, -9), 10)</f>
        <v>6.7695510786217259</v>
      </c>
      <c r="O717">
        <v>6.77</v>
      </c>
      <c r="P717" t="s">
        <v>48</v>
      </c>
      <c r="R717" t="s">
        <v>127</v>
      </c>
      <c r="S717">
        <v>11.05</v>
      </c>
      <c r="T717">
        <v>0.21</v>
      </c>
      <c r="U717">
        <v>3.14</v>
      </c>
      <c r="V717">
        <v>3.38</v>
      </c>
      <c r="W717">
        <v>1</v>
      </c>
      <c r="X717" t="s">
        <v>326</v>
      </c>
      <c r="Y717" t="s">
        <v>327</v>
      </c>
      <c r="Z717" t="s">
        <v>58</v>
      </c>
      <c r="AA717" t="s">
        <v>59</v>
      </c>
      <c r="AB717" t="s">
        <v>60</v>
      </c>
      <c r="AC717" t="s">
        <v>61</v>
      </c>
      <c r="AD717" t="s">
        <v>49</v>
      </c>
      <c r="AE717" t="s">
        <v>49</v>
      </c>
      <c r="AF717" t="s">
        <v>49</v>
      </c>
      <c r="AG717" t="s">
        <v>49</v>
      </c>
      <c r="AH717" t="s">
        <v>48</v>
      </c>
      <c r="AI717" t="s">
        <v>48</v>
      </c>
      <c r="AJ717" t="s">
        <v>48</v>
      </c>
      <c r="AK717" t="s">
        <v>62</v>
      </c>
      <c r="AL717" t="s">
        <v>63</v>
      </c>
      <c r="AM717" t="s">
        <v>61</v>
      </c>
      <c r="AN717" t="s">
        <v>64</v>
      </c>
      <c r="AO717" t="s">
        <v>328</v>
      </c>
      <c r="AP717">
        <v>1</v>
      </c>
      <c r="AQ717" t="s">
        <v>66</v>
      </c>
      <c r="AR717" t="s">
        <v>329</v>
      </c>
      <c r="AS717">
        <v>2019</v>
      </c>
      <c r="AT717" t="s">
        <v>49</v>
      </c>
      <c r="AU717" t="s">
        <v>48</v>
      </c>
      <c r="AV717" t="s">
        <v>48</v>
      </c>
      <c r="AW717" t="s">
        <v>48</v>
      </c>
    </row>
    <row r="718" spans="1:49" x14ac:dyDescent="0.3">
      <c r="A718" t="s">
        <v>1976</v>
      </c>
      <c r="B718" t="s">
        <v>48</v>
      </c>
      <c r="C718" t="s">
        <v>49</v>
      </c>
      <c r="D718">
        <v>541.16</v>
      </c>
      <c r="E718">
        <v>1</v>
      </c>
      <c r="F718">
        <v>2.4700000000000002</v>
      </c>
      <c r="G718" t="s">
        <v>142</v>
      </c>
      <c r="H718" t="s">
        <v>1977</v>
      </c>
      <c r="I718" t="s">
        <v>52</v>
      </c>
      <c r="J718" t="s">
        <v>53</v>
      </c>
      <c r="K718">
        <v>140</v>
      </c>
      <c r="L718" t="s">
        <v>126</v>
      </c>
      <c r="M718">
        <f>DOWNLOAD_2kLRbPnDtawQopEJ_UKtt22ud9U57gk8mqebZIeugNk[[#This Row],[Standard Value]]</f>
        <v>140</v>
      </c>
      <c r="N718">
        <f>-LOG(DOWNLOAD_2kLRbPnDtawQopEJ_UKtt22ud9U57gk8mqebZIeugNk[[#This Row],[IC50]]*POWER(10, -9), 10)</f>
        <v>6.8538719643217609</v>
      </c>
      <c r="O718">
        <v>6.85</v>
      </c>
      <c r="P718" t="s">
        <v>48</v>
      </c>
      <c r="R718" t="s">
        <v>127</v>
      </c>
      <c r="S718">
        <v>12.67</v>
      </c>
      <c r="T718">
        <v>0.31</v>
      </c>
      <c r="U718">
        <v>4.38</v>
      </c>
      <c r="V718">
        <v>4.08</v>
      </c>
      <c r="W718">
        <v>0</v>
      </c>
      <c r="X718" t="s">
        <v>326</v>
      </c>
      <c r="Y718" t="s">
        <v>327</v>
      </c>
      <c r="Z718" t="s">
        <v>58</v>
      </c>
      <c r="AA718" t="s">
        <v>59</v>
      </c>
      <c r="AB718" t="s">
        <v>60</v>
      </c>
      <c r="AC718" t="s">
        <v>61</v>
      </c>
      <c r="AD718" t="s">
        <v>49</v>
      </c>
      <c r="AE718" t="s">
        <v>49</v>
      </c>
      <c r="AF718" t="s">
        <v>49</v>
      </c>
      <c r="AG718" t="s">
        <v>49</v>
      </c>
      <c r="AH718" t="s">
        <v>48</v>
      </c>
      <c r="AI718" t="s">
        <v>48</v>
      </c>
      <c r="AJ718" t="s">
        <v>48</v>
      </c>
      <c r="AK718" t="s">
        <v>62</v>
      </c>
      <c r="AL718" t="s">
        <v>63</v>
      </c>
      <c r="AM718" t="s">
        <v>61</v>
      </c>
      <c r="AN718" t="s">
        <v>64</v>
      </c>
      <c r="AO718" t="s">
        <v>328</v>
      </c>
      <c r="AP718">
        <v>1</v>
      </c>
      <c r="AQ718" t="s">
        <v>66</v>
      </c>
      <c r="AR718" t="s">
        <v>329</v>
      </c>
      <c r="AS718">
        <v>2019</v>
      </c>
      <c r="AT718" t="s">
        <v>49</v>
      </c>
      <c r="AU718" t="s">
        <v>48</v>
      </c>
      <c r="AV718" t="s">
        <v>48</v>
      </c>
      <c r="AW718" t="s">
        <v>48</v>
      </c>
    </row>
    <row r="719" spans="1:49" x14ac:dyDescent="0.3">
      <c r="A719" t="s">
        <v>1978</v>
      </c>
      <c r="B719" t="s">
        <v>48</v>
      </c>
      <c r="C719" t="s">
        <v>49</v>
      </c>
      <c r="D719">
        <v>466.56</v>
      </c>
      <c r="E719">
        <v>0</v>
      </c>
      <c r="F719">
        <v>4.22</v>
      </c>
      <c r="G719" t="s">
        <v>211</v>
      </c>
      <c r="H719" t="s">
        <v>1979</v>
      </c>
      <c r="I719" t="s">
        <v>52</v>
      </c>
      <c r="J719" t="s">
        <v>53</v>
      </c>
      <c r="K719">
        <v>1.92</v>
      </c>
      <c r="L719" t="s">
        <v>126</v>
      </c>
      <c r="M719">
        <f>DOWNLOAD_2kLRbPnDtawQopEJ_UKtt22ud9U57gk8mqebZIeugNk[[#This Row],[Standard Value]]</f>
        <v>1.92</v>
      </c>
      <c r="N719">
        <f>-LOG(DOWNLOAD_2kLRbPnDtawQopEJ_UKtt22ud9U57gk8mqebZIeugNk[[#This Row],[IC50]]*POWER(10, -9), 10)</f>
        <v>8.7166987712964499</v>
      </c>
      <c r="O719">
        <v>8.7200000000000006</v>
      </c>
      <c r="P719" t="s">
        <v>48</v>
      </c>
      <c r="R719" t="s">
        <v>127</v>
      </c>
      <c r="S719">
        <v>18.68</v>
      </c>
      <c r="T719">
        <v>0.35</v>
      </c>
      <c r="U719">
        <v>4.5</v>
      </c>
      <c r="V719">
        <v>8.94</v>
      </c>
      <c r="W719">
        <v>0</v>
      </c>
      <c r="X719" t="s">
        <v>264</v>
      </c>
      <c r="Y719" t="s">
        <v>265</v>
      </c>
      <c r="Z719" t="s">
        <v>58</v>
      </c>
      <c r="AA719" t="s">
        <v>59</v>
      </c>
      <c r="AB719" t="s">
        <v>60</v>
      </c>
      <c r="AC719" t="s">
        <v>61</v>
      </c>
      <c r="AD719" t="s">
        <v>49</v>
      </c>
      <c r="AE719" t="s">
        <v>49</v>
      </c>
      <c r="AF719" t="s">
        <v>49</v>
      </c>
      <c r="AG719" t="s">
        <v>49</v>
      </c>
      <c r="AH719" t="s">
        <v>48</v>
      </c>
      <c r="AI719" t="s">
        <v>48</v>
      </c>
      <c r="AJ719" t="s">
        <v>48</v>
      </c>
      <c r="AK719" t="s">
        <v>62</v>
      </c>
      <c r="AL719" t="s">
        <v>63</v>
      </c>
      <c r="AM719" t="s">
        <v>61</v>
      </c>
      <c r="AN719" t="s">
        <v>64</v>
      </c>
      <c r="AO719" t="s">
        <v>266</v>
      </c>
      <c r="AP719">
        <v>1</v>
      </c>
      <c r="AQ719" t="s">
        <v>66</v>
      </c>
      <c r="AR719" t="s">
        <v>267</v>
      </c>
      <c r="AS719">
        <v>2020</v>
      </c>
      <c r="AT719" t="s">
        <v>49</v>
      </c>
      <c r="AU719" t="s">
        <v>268</v>
      </c>
      <c r="AV719" t="s">
        <v>269</v>
      </c>
      <c r="AW719" t="s">
        <v>48</v>
      </c>
    </row>
    <row r="720" spans="1:49" x14ac:dyDescent="0.3">
      <c r="A720" t="s">
        <v>1980</v>
      </c>
      <c r="B720" t="s">
        <v>48</v>
      </c>
      <c r="C720" t="s">
        <v>49</v>
      </c>
      <c r="D720">
        <v>376.89</v>
      </c>
      <c r="E720">
        <v>1</v>
      </c>
      <c r="F720">
        <v>5.01</v>
      </c>
      <c r="G720" t="s">
        <v>197</v>
      </c>
      <c r="H720" t="s">
        <v>1981</v>
      </c>
      <c r="I720" t="s">
        <v>52</v>
      </c>
      <c r="J720" t="s">
        <v>53</v>
      </c>
      <c r="K720">
        <v>7900</v>
      </c>
      <c r="L720" t="s">
        <v>126</v>
      </c>
      <c r="M720">
        <f>DOWNLOAD_2kLRbPnDtawQopEJ_UKtt22ud9U57gk8mqebZIeugNk[[#This Row],[Standard Value]]</f>
        <v>7900</v>
      </c>
      <c r="N720">
        <f>-LOG(DOWNLOAD_2kLRbPnDtawQopEJ_UKtt22ud9U57gk8mqebZIeugNk[[#This Row],[IC50]]*POWER(10, -9), 10)</f>
        <v>5.1023729087095582</v>
      </c>
      <c r="O720">
        <v>5.0999999999999996</v>
      </c>
      <c r="P720" t="s">
        <v>48</v>
      </c>
      <c r="R720" t="s">
        <v>127</v>
      </c>
      <c r="S720">
        <v>13.54</v>
      </c>
      <c r="T720">
        <v>0.26</v>
      </c>
      <c r="U720">
        <v>0.09</v>
      </c>
      <c r="V720">
        <v>9.1300000000000008</v>
      </c>
      <c r="W720">
        <v>0</v>
      </c>
      <c r="X720" t="s">
        <v>563</v>
      </c>
      <c r="Y720" t="s">
        <v>564</v>
      </c>
      <c r="Z720" t="s">
        <v>58</v>
      </c>
      <c r="AA720" t="s">
        <v>59</v>
      </c>
      <c r="AB720" t="s">
        <v>60</v>
      </c>
      <c r="AC720" t="s">
        <v>61</v>
      </c>
      <c r="AD720" t="s">
        <v>49</v>
      </c>
      <c r="AE720" t="s">
        <v>49</v>
      </c>
      <c r="AF720" t="s">
        <v>49</v>
      </c>
      <c r="AG720" t="s">
        <v>49</v>
      </c>
      <c r="AH720" t="s">
        <v>48</v>
      </c>
      <c r="AI720" t="s">
        <v>48</v>
      </c>
      <c r="AJ720" t="s">
        <v>48</v>
      </c>
      <c r="AK720" t="s">
        <v>62</v>
      </c>
      <c r="AL720" t="s">
        <v>63</v>
      </c>
      <c r="AM720" t="s">
        <v>61</v>
      </c>
      <c r="AN720" t="s">
        <v>64</v>
      </c>
      <c r="AO720" t="s">
        <v>565</v>
      </c>
      <c r="AP720">
        <v>1</v>
      </c>
      <c r="AQ720" t="s">
        <v>66</v>
      </c>
      <c r="AR720" t="s">
        <v>76</v>
      </c>
      <c r="AS720">
        <v>2019</v>
      </c>
      <c r="AT720" t="s">
        <v>49</v>
      </c>
      <c r="AU720" t="s">
        <v>48</v>
      </c>
      <c r="AV720" t="s">
        <v>48</v>
      </c>
      <c r="AW720" t="s">
        <v>48</v>
      </c>
    </row>
    <row r="721" spans="1:49" x14ac:dyDescent="0.3">
      <c r="A721" t="s">
        <v>1982</v>
      </c>
      <c r="B721" t="s">
        <v>48</v>
      </c>
      <c r="C721" t="s">
        <v>49</v>
      </c>
      <c r="D721">
        <v>482.47</v>
      </c>
      <c r="E721">
        <v>0</v>
      </c>
      <c r="F721">
        <v>1.66</v>
      </c>
      <c r="G721" t="s">
        <v>1983</v>
      </c>
      <c r="H721" t="s">
        <v>1984</v>
      </c>
      <c r="I721" t="s">
        <v>52</v>
      </c>
      <c r="J721" t="s">
        <v>53</v>
      </c>
      <c r="K721">
        <v>2700</v>
      </c>
      <c r="L721" t="s">
        <v>126</v>
      </c>
      <c r="M721">
        <f>DOWNLOAD_2kLRbPnDtawQopEJ_UKtt22ud9U57gk8mqebZIeugNk[[#This Row],[Standard Value]]</f>
        <v>2700</v>
      </c>
      <c r="N721">
        <f>-LOG(DOWNLOAD_2kLRbPnDtawQopEJ_UKtt22ud9U57gk8mqebZIeugNk[[#This Row],[IC50]]*POWER(10, -9), 10)</f>
        <v>5.5686362358410122</v>
      </c>
      <c r="O721">
        <v>5.57</v>
      </c>
      <c r="P721" t="s">
        <v>48</v>
      </c>
      <c r="Q721">
        <v>302831</v>
      </c>
      <c r="R721" t="s">
        <v>127</v>
      </c>
      <c r="S721">
        <v>11.54</v>
      </c>
      <c r="T721">
        <v>0.22</v>
      </c>
      <c r="U721">
        <v>3.91</v>
      </c>
      <c r="V721">
        <v>4.2300000000000004</v>
      </c>
      <c r="W721">
        <v>0</v>
      </c>
      <c r="X721" t="s">
        <v>251</v>
      </c>
      <c r="Y721" t="s">
        <v>252</v>
      </c>
      <c r="Z721" t="s">
        <v>58</v>
      </c>
      <c r="AA721" t="s">
        <v>59</v>
      </c>
      <c r="AB721" t="s">
        <v>60</v>
      </c>
      <c r="AC721" t="s">
        <v>61</v>
      </c>
      <c r="AD721" t="s">
        <v>49</v>
      </c>
      <c r="AE721" t="s">
        <v>49</v>
      </c>
      <c r="AF721" t="s">
        <v>49</v>
      </c>
      <c r="AG721" t="s">
        <v>49</v>
      </c>
      <c r="AH721" t="s">
        <v>48</v>
      </c>
      <c r="AI721" t="s">
        <v>48</v>
      </c>
      <c r="AJ721" t="s">
        <v>48</v>
      </c>
      <c r="AK721" t="s">
        <v>62</v>
      </c>
      <c r="AL721" t="s">
        <v>63</v>
      </c>
      <c r="AM721" t="s">
        <v>61</v>
      </c>
      <c r="AN721" t="s">
        <v>64</v>
      </c>
      <c r="AO721" t="s">
        <v>253</v>
      </c>
      <c r="AP721">
        <v>37</v>
      </c>
      <c r="AQ721" t="s">
        <v>254</v>
      </c>
      <c r="AR721" t="s">
        <v>48</v>
      </c>
      <c r="AS721">
        <v>2015</v>
      </c>
      <c r="AT721" t="s">
        <v>49</v>
      </c>
      <c r="AU721" t="s">
        <v>48</v>
      </c>
      <c r="AV721" t="s">
        <v>48</v>
      </c>
      <c r="AW721" t="s">
        <v>48</v>
      </c>
    </row>
    <row r="722" spans="1:49" x14ac:dyDescent="0.3">
      <c r="A722" t="s">
        <v>1985</v>
      </c>
      <c r="B722" t="s">
        <v>48</v>
      </c>
      <c r="C722" t="s">
        <v>49</v>
      </c>
      <c r="D722">
        <v>476.88</v>
      </c>
      <c r="E722">
        <v>0</v>
      </c>
      <c r="F722">
        <v>0.52</v>
      </c>
      <c r="G722" t="s">
        <v>1986</v>
      </c>
      <c r="H722" t="s">
        <v>1987</v>
      </c>
      <c r="I722" t="s">
        <v>52</v>
      </c>
      <c r="J722" t="s">
        <v>53</v>
      </c>
      <c r="K722">
        <v>500</v>
      </c>
      <c r="L722" t="s">
        <v>126</v>
      </c>
      <c r="M722">
        <f>DOWNLOAD_2kLRbPnDtawQopEJ_UKtt22ud9U57gk8mqebZIeugNk[[#This Row],[Standard Value]]</f>
        <v>500</v>
      </c>
      <c r="N722">
        <f>-LOG(DOWNLOAD_2kLRbPnDtawQopEJ_UKtt22ud9U57gk8mqebZIeugNk[[#This Row],[IC50]]*POWER(10, -9), 10)</f>
        <v>6.3010299956639804</v>
      </c>
      <c r="O722">
        <v>6.3</v>
      </c>
      <c r="P722" t="s">
        <v>48</v>
      </c>
      <c r="Q722">
        <v>302898</v>
      </c>
      <c r="R722" t="s">
        <v>127</v>
      </c>
      <c r="S722">
        <v>13.21</v>
      </c>
      <c r="T722">
        <v>0.26</v>
      </c>
      <c r="U722">
        <v>5.78</v>
      </c>
      <c r="V722">
        <v>4.05</v>
      </c>
      <c r="W722">
        <v>0</v>
      </c>
      <c r="X722" t="s">
        <v>251</v>
      </c>
      <c r="Y722" t="s">
        <v>252</v>
      </c>
      <c r="Z722" t="s">
        <v>58</v>
      </c>
      <c r="AA722" t="s">
        <v>59</v>
      </c>
      <c r="AB722" t="s">
        <v>60</v>
      </c>
      <c r="AC722" t="s">
        <v>61</v>
      </c>
      <c r="AD722" t="s">
        <v>49</v>
      </c>
      <c r="AE722" t="s">
        <v>49</v>
      </c>
      <c r="AF722" t="s">
        <v>49</v>
      </c>
      <c r="AG722" t="s">
        <v>49</v>
      </c>
      <c r="AH722" t="s">
        <v>48</v>
      </c>
      <c r="AI722" t="s">
        <v>48</v>
      </c>
      <c r="AJ722" t="s">
        <v>48</v>
      </c>
      <c r="AK722" t="s">
        <v>62</v>
      </c>
      <c r="AL722" t="s">
        <v>63</v>
      </c>
      <c r="AM722" t="s">
        <v>61</v>
      </c>
      <c r="AN722" t="s">
        <v>64</v>
      </c>
      <c r="AO722" t="s">
        <v>253</v>
      </c>
      <c r="AP722">
        <v>37</v>
      </c>
      <c r="AQ722" t="s">
        <v>254</v>
      </c>
      <c r="AR722" t="s">
        <v>48</v>
      </c>
      <c r="AS722">
        <v>2015</v>
      </c>
      <c r="AT722" t="s">
        <v>49</v>
      </c>
      <c r="AU722" t="s">
        <v>48</v>
      </c>
      <c r="AV722" t="s">
        <v>48</v>
      </c>
      <c r="AW722" t="s">
        <v>48</v>
      </c>
    </row>
    <row r="723" spans="1:49" x14ac:dyDescent="0.3">
      <c r="A723" t="s">
        <v>1988</v>
      </c>
      <c r="B723" t="s">
        <v>48</v>
      </c>
      <c r="C723" t="s">
        <v>49</v>
      </c>
      <c r="D723">
        <v>356.19</v>
      </c>
      <c r="E723">
        <v>0</v>
      </c>
      <c r="F723">
        <v>3.88</v>
      </c>
      <c r="G723" t="s">
        <v>306</v>
      </c>
      <c r="H723" t="s">
        <v>1989</v>
      </c>
      <c r="I723" t="s">
        <v>52</v>
      </c>
      <c r="J723" t="s">
        <v>53</v>
      </c>
      <c r="K723">
        <v>19</v>
      </c>
      <c r="L723" t="s">
        <v>126</v>
      </c>
      <c r="M723">
        <f>DOWNLOAD_2kLRbPnDtawQopEJ_UKtt22ud9U57gk8mqebZIeugNk[[#This Row],[Standard Value]]</f>
        <v>19</v>
      </c>
      <c r="N723">
        <f>-LOG(DOWNLOAD_2kLRbPnDtawQopEJ_UKtt22ud9U57gk8mqebZIeugNk[[#This Row],[IC50]]*POWER(10, -9), 10)</f>
        <v>7.7212463990471711</v>
      </c>
      <c r="O723">
        <v>7.72</v>
      </c>
      <c r="P723" t="s">
        <v>48</v>
      </c>
      <c r="R723" t="s">
        <v>127</v>
      </c>
      <c r="S723">
        <v>21.68</v>
      </c>
      <c r="T723">
        <v>0.48</v>
      </c>
      <c r="U723">
        <v>3.84</v>
      </c>
      <c r="V723">
        <v>8.1199999999999992</v>
      </c>
      <c r="W723">
        <v>0</v>
      </c>
      <c r="X723" t="s">
        <v>296</v>
      </c>
      <c r="Y723" t="s">
        <v>297</v>
      </c>
      <c r="Z723" t="s">
        <v>58</v>
      </c>
      <c r="AA723" t="s">
        <v>59</v>
      </c>
      <c r="AB723" t="s">
        <v>60</v>
      </c>
      <c r="AC723" t="s">
        <v>61</v>
      </c>
      <c r="AD723" t="s">
        <v>49</v>
      </c>
      <c r="AE723" t="s">
        <v>49</v>
      </c>
      <c r="AF723" t="s">
        <v>49</v>
      </c>
      <c r="AG723" t="s">
        <v>49</v>
      </c>
      <c r="AH723" t="s">
        <v>48</v>
      </c>
      <c r="AI723" t="s">
        <v>48</v>
      </c>
      <c r="AJ723" t="s">
        <v>48</v>
      </c>
      <c r="AK723" t="s">
        <v>62</v>
      </c>
      <c r="AL723" t="s">
        <v>63</v>
      </c>
      <c r="AM723" t="s">
        <v>61</v>
      </c>
      <c r="AN723" t="s">
        <v>64</v>
      </c>
      <c r="AO723" t="s">
        <v>298</v>
      </c>
      <c r="AP723">
        <v>1</v>
      </c>
      <c r="AQ723" t="s">
        <v>66</v>
      </c>
      <c r="AR723" t="s">
        <v>131</v>
      </c>
      <c r="AS723">
        <v>2021</v>
      </c>
      <c r="AT723" t="s">
        <v>49</v>
      </c>
      <c r="AU723" t="s">
        <v>299</v>
      </c>
      <c r="AV723" t="s">
        <v>269</v>
      </c>
      <c r="AW723" t="s">
        <v>48</v>
      </c>
    </row>
    <row r="724" spans="1:49" x14ac:dyDescent="0.3">
      <c r="A724" t="s">
        <v>1990</v>
      </c>
      <c r="B724" t="s">
        <v>48</v>
      </c>
      <c r="C724" t="s">
        <v>49</v>
      </c>
      <c r="D724">
        <v>386.22</v>
      </c>
      <c r="E724">
        <v>0</v>
      </c>
      <c r="F724">
        <v>3.9</v>
      </c>
      <c r="G724" t="s">
        <v>1991</v>
      </c>
      <c r="H724" t="s">
        <v>1992</v>
      </c>
      <c r="I724" t="s">
        <v>52</v>
      </c>
      <c r="J724" t="s">
        <v>295</v>
      </c>
      <c r="K724">
        <v>10</v>
      </c>
      <c r="L724" t="s">
        <v>126</v>
      </c>
      <c r="M724">
        <f>DOWNLOAD_2kLRbPnDtawQopEJ_UKtt22ud9U57gk8mqebZIeugNk[[#This Row],[Standard Value]]</f>
        <v>10</v>
      </c>
      <c r="N724">
        <f>-LOG(DOWNLOAD_2kLRbPnDtawQopEJ_UKtt22ud9U57gk8mqebZIeugNk[[#This Row],[IC50]]*POWER(10, -9), 10)</f>
        <v>8</v>
      </c>
      <c r="P724" t="s">
        <v>48</v>
      </c>
      <c r="R724" t="s">
        <v>127</v>
      </c>
      <c r="W724">
        <v>0</v>
      </c>
      <c r="X724" t="s">
        <v>296</v>
      </c>
      <c r="Y724" t="s">
        <v>297</v>
      </c>
      <c r="Z724" t="s">
        <v>58</v>
      </c>
      <c r="AA724" t="s">
        <v>59</v>
      </c>
      <c r="AB724" t="s">
        <v>60</v>
      </c>
      <c r="AC724" t="s">
        <v>61</v>
      </c>
      <c r="AD724" t="s">
        <v>49</v>
      </c>
      <c r="AE724" t="s">
        <v>49</v>
      </c>
      <c r="AF724" t="s">
        <v>49</v>
      </c>
      <c r="AG724" t="s">
        <v>49</v>
      </c>
      <c r="AH724" t="s">
        <v>48</v>
      </c>
      <c r="AI724" t="s">
        <v>48</v>
      </c>
      <c r="AJ724" t="s">
        <v>48</v>
      </c>
      <c r="AK724" t="s">
        <v>62</v>
      </c>
      <c r="AL724" t="s">
        <v>63</v>
      </c>
      <c r="AM724" t="s">
        <v>61</v>
      </c>
      <c r="AN724" t="s">
        <v>64</v>
      </c>
      <c r="AO724" t="s">
        <v>298</v>
      </c>
      <c r="AP724">
        <v>1</v>
      </c>
      <c r="AQ724" t="s">
        <v>66</v>
      </c>
      <c r="AR724" t="s">
        <v>131</v>
      </c>
      <c r="AS724">
        <v>2021</v>
      </c>
      <c r="AT724" t="s">
        <v>49</v>
      </c>
      <c r="AU724" t="s">
        <v>299</v>
      </c>
      <c r="AV724" t="s">
        <v>269</v>
      </c>
      <c r="AW724" t="s">
        <v>48</v>
      </c>
    </row>
    <row r="725" spans="1:49" x14ac:dyDescent="0.3">
      <c r="A725" t="s">
        <v>1993</v>
      </c>
      <c r="B725" t="s">
        <v>48</v>
      </c>
      <c r="C725" t="s">
        <v>49</v>
      </c>
      <c r="D725">
        <v>482.44</v>
      </c>
      <c r="E725">
        <v>0</v>
      </c>
      <c r="F725">
        <v>2.66</v>
      </c>
      <c r="G725" t="s">
        <v>1994</v>
      </c>
      <c r="H725" t="s">
        <v>1995</v>
      </c>
      <c r="I725" t="s">
        <v>52</v>
      </c>
      <c r="J725" t="s">
        <v>53</v>
      </c>
      <c r="K725">
        <v>400</v>
      </c>
      <c r="L725" t="s">
        <v>126</v>
      </c>
      <c r="M725">
        <f>DOWNLOAD_2kLRbPnDtawQopEJ_UKtt22ud9U57gk8mqebZIeugNk[[#This Row],[Standard Value]]</f>
        <v>400</v>
      </c>
      <c r="N725">
        <f>-LOG(DOWNLOAD_2kLRbPnDtawQopEJ_UKtt22ud9U57gk8mqebZIeugNk[[#This Row],[IC50]]*POWER(10, -9), 10)</f>
        <v>6.3979400086720375</v>
      </c>
      <c r="O725">
        <v>6.4</v>
      </c>
      <c r="P725" t="s">
        <v>48</v>
      </c>
      <c r="Q725">
        <v>302871</v>
      </c>
      <c r="R725" t="s">
        <v>127</v>
      </c>
      <c r="S725">
        <v>13.26</v>
      </c>
      <c r="T725">
        <v>0.25</v>
      </c>
      <c r="U725">
        <v>3.74</v>
      </c>
      <c r="V725">
        <v>5.62</v>
      </c>
      <c r="W725">
        <v>0</v>
      </c>
      <c r="X725" t="s">
        <v>251</v>
      </c>
      <c r="Y725" t="s">
        <v>252</v>
      </c>
      <c r="Z725" t="s">
        <v>58</v>
      </c>
      <c r="AA725" t="s">
        <v>59</v>
      </c>
      <c r="AB725" t="s">
        <v>60</v>
      </c>
      <c r="AC725" t="s">
        <v>61</v>
      </c>
      <c r="AD725" t="s">
        <v>49</v>
      </c>
      <c r="AE725" t="s">
        <v>49</v>
      </c>
      <c r="AF725" t="s">
        <v>49</v>
      </c>
      <c r="AG725" t="s">
        <v>49</v>
      </c>
      <c r="AH725" t="s">
        <v>48</v>
      </c>
      <c r="AI725" t="s">
        <v>48</v>
      </c>
      <c r="AJ725" t="s">
        <v>48</v>
      </c>
      <c r="AK725" t="s">
        <v>62</v>
      </c>
      <c r="AL725" t="s">
        <v>63</v>
      </c>
      <c r="AM725" t="s">
        <v>61</v>
      </c>
      <c r="AN725" t="s">
        <v>64</v>
      </c>
      <c r="AO725" t="s">
        <v>253</v>
      </c>
      <c r="AP725">
        <v>37</v>
      </c>
      <c r="AQ725" t="s">
        <v>254</v>
      </c>
      <c r="AR725" t="s">
        <v>48</v>
      </c>
      <c r="AS725">
        <v>2015</v>
      </c>
      <c r="AT725" t="s">
        <v>49</v>
      </c>
      <c r="AU725" t="s">
        <v>48</v>
      </c>
      <c r="AV725" t="s">
        <v>48</v>
      </c>
      <c r="AW725" t="s">
        <v>48</v>
      </c>
    </row>
    <row r="726" spans="1:49" x14ac:dyDescent="0.3">
      <c r="A726" t="s">
        <v>1996</v>
      </c>
      <c r="B726" t="s">
        <v>48</v>
      </c>
      <c r="C726" t="s">
        <v>49</v>
      </c>
      <c r="D726">
        <v>212.29</v>
      </c>
      <c r="E726">
        <v>0</v>
      </c>
      <c r="F726">
        <v>3.72</v>
      </c>
      <c r="G726" t="s">
        <v>1997</v>
      </c>
      <c r="H726" t="s">
        <v>1998</v>
      </c>
      <c r="I726" t="s">
        <v>52</v>
      </c>
      <c r="J726" t="s">
        <v>53</v>
      </c>
      <c r="K726">
        <v>390000</v>
      </c>
      <c r="L726" t="s">
        <v>126</v>
      </c>
      <c r="M726">
        <f>DOWNLOAD_2kLRbPnDtawQopEJ_UKtt22ud9U57gk8mqebZIeugNk[[#This Row],[Standard Value]]</f>
        <v>390000</v>
      </c>
      <c r="N726">
        <f>-LOG(DOWNLOAD_2kLRbPnDtawQopEJ_UKtt22ud9U57gk8mqebZIeugNk[[#This Row],[IC50]]*POWER(10, -9), 10)</f>
        <v>3.4089353929735</v>
      </c>
      <c r="O726">
        <v>3.41</v>
      </c>
      <c r="P726" t="s">
        <v>48</v>
      </c>
      <c r="R726" t="s">
        <v>127</v>
      </c>
      <c r="S726">
        <v>16.059999999999999</v>
      </c>
      <c r="T726">
        <v>0.28999999999999998</v>
      </c>
      <c r="U726">
        <v>-0.31</v>
      </c>
      <c r="V726">
        <v>16.850000000000001</v>
      </c>
      <c r="W726">
        <v>0</v>
      </c>
      <c r="X726" t="s">
        <v>774</v>
      </c>
      <c r="Y726" t="s">
        <v>775</v>
      </c>
      <c r="Z726" t="s">
        <v>58</v>
      </c>
      <c r="AA726" t="s">
        <v>59</v>
      </c>
      <c r="AB726" t="s">
        <v>60</v>
      </c>
      <c r="AC726" t="s">
        <v>61</v>
      </c>
      <c r="AD726" t="s">
        <v>49</v>
      </c>
      <c r="AE726" t="s">
        <v>49</v>
      </c>
      <c r="AF726" t="s">
        <v>49</v>
      </c>
      <c r="AG726" t="s">
        <v>49</v>
      </c>
      <c r="AH726" t="s">
        <v>48</v>
      </c>
      <c r="AI726" t="s">
        <v>48</v>
      </c>
      <c r="AJ726" t="s">
        <v>48</v>
      </c>
      <c r="AK726" t="s">
        <v>62</v>
      </c>
      <c r="AL726" t="s">
        <v>63</v>
      </c>
      <c r="AM726" t="s">
        <v>61</v>
      </c>
      <c r="AN726" t="s">
        <v>64</v>
      </c>
      <c r="AO726" t="s">
        <v>776</v>
      </c>
      <c r="AP726">
        <v>1</v>
      </c>
      <c r="AQ726" t="s">
        <v>66</v>
      </c>
      <c r="AR726" t="s">
        <v>329</v>
      </c>
      <c r="AS726">
        <v>2018</v>
      </c>
      <c r="AT726" t="s">
        <v>49</v>
      </c>
      <c r="AU726" t="s">
        <v>48</v>
      </c>
      <c r="AV726" t="s">
        <v>48</v>
      </c>
      <c r="AW726" t="s">
        <v>48</v>
      </c>
    </row>
    <row r="727" spans="1:49" x14ac:dyDescent="0.3">
      <c r="A727" t="s">
        <v>1999</v>
      </c>
      <c r="B727" t="s">
        <v>48</v>
      </c>
      <c r="C727" t="s">
        <v>49</v>
      </c>
      <c r="D727">
        <v>457.34</v>
      </c>
      <c r="E727">
        <v>1</v>
      </c>
      <c r="F727">
        <v>5.94</v>
      </c>
      <c r="G727" t="s">
        <v>2000</v>
      </c>
      <c r="H727" t="s">
        <v>2001</v>
      </c>
      <c r="I727" t="s">
        <v>52</v>
      </c>
      <c r="J727" t="s">
        <v>71</v>
      </c>
      <c r="K727">
        <v>1000</v>
      </c>
      <c r="L727" t="s">
        <v>126</v>
      </c>
      <c r="M727">
        <f>DOWNLOAD_2kLRbPnDtawQopEJ_UKtt22ud9U57gk8mqebZIeugNk[[#This Row],[Standard Value]]</f>
        <v>1000</v>
      </c>
      <c r="N727">
        <f>-LOG(DOWNLOAD_2kLRbPnDtawQopEJ_UKtt22ud9U57gk8mqebZIeugNk[[#This Row],[IC50]]*POWER(10, -9), 10)</f>
        <v>5.9999999999999991</v>
      </c>
      <c r="P727" t="s">
        <v>48</v>
      </c>
      <c r="R727" t="s">
        <v>127</v>
      </c>
      <c r="W727">
        <v>0</v>
      </c>
      <c r="X727" t="s">
        <v>296</v>
      </c>
      <c r="Y727" t="s">
        <v>297</v>
      </c>
      <c r="Z727" t="s">
        <v>58</v>
      </c>
      <c r="AA727" t="s">
        <v>59</v>
      </c>
      <c r="AB727" t="s">
        <v>60</v>
      </c>
      <c r="AC727" t="s">
        <v>61</v>
      </c>
      <c r="AD727" t="s">
        <v>49</v>
      </c>
      <c r="AE727" t="s">
        <v>49</v>
      </c>
      <c r="AF727" t="s">
        <v>49</v>
      </c>
      <c r="AG727" t="s">
        <v>49</v>
      </c>
      <c r="AH727" t="s">
        <v>48</v>
      </c>
      <c r="AI727" t="s">
        <v>48</v>
      </c>
      <c r="AJ727" t="s">
        <v>48</v>
      </c>
      <c r="AK727" t="s">
        <v>62</v>
      </c>
      <c r="AL727" t="s">
        <v>63</v>
      </c>
      <c r="AM727" t="s">
        <v>61</v>
      </c>
      <c r="AN727" t="s">
        <v>64</v>
      </c>
      <c r="AO727" t="s">
        <v>298</v>
      </c>
      <c r="AP727">
        <v>1</v>
      </c>
      <c r="AQ727" t="s">
        <v>66</v>
      </c>
      <c r="AR727" t="s">
        <v>131</v>
      </c>
      <c r="AS727">
        <v>2021</v>
      </c>
      <c r="AT727" t="s">
        <v>49</v>
      </c>
      <c r="AU727" t="s">
        <v>299</v>
      </c>
      <c r="AV727" t="s">
        <v>48</v>
      </c>
      <c r="AW727" t="s">
        <v>48</v>
      </c>
    </row>
    <row r="728" spans="1:49" x14ac:dyDescent="0.3">
      <c r="A728" t="s">
        <v>2002</v>
      </c>
      <c r="B728" t="s">
        <v>48</v>
      </c>
      <c r="C728" t="s">
        <v>49</v>
      </c>
      <c r="D728">
        <v>413.24</v>
      </c>
      <c r="E728">
        <v>0</v>
      </c>
      <c r="F728">
        <v>3.52</v>
      </c>
      <c r="G728" t="s">
        <v>531</v>
      </c>
      <c r="H728" t="s">
        <v>2003</v>
      </c>
      <c r="I728" t="s">
        <v>52</v>
      </c>
      <c r="J728" t="s">
        <v>53</v>
      </c>
      <c r="K728">
        <v>4.8</v>
      </c>
      <c r="L728" t="s">
        <v>126</v>
      </c>
      <c r="M728">
        <f>DOWNLOAD_2kLRbPnDtawQopEJ_UKtt22ud9U57gk8mqebZIeugNk[[#This Row],[Standard Value]]</f>
        <v>4.8</v>
      </c>
      <c r="N728">
        <f>-LOG(DOWNLOAD_2kLRbPnDtawQopEJ_UKtt22ud9U57gk8mqebZIeugNk[[#This Row],[IC50]]*POWER(10, -9), 10)</f>
        <v>8.3187587626244106</v>
      </c>
      <c r="O728">
        <v>8.32</v>
      </c>
      <c r="P728" t="s">
        <v>48</v>
      </c>
      <c r="R728" t="s">
        <v>127</v>
      </c>
      <c r="S728">
        <v>20.13</v>
      </c>
      <c r="T728">
        <v>0.44</v>
      </c>
      <c r="U728">
        <v>4.8</v>
      </c>
      <c r="V728">
        <v>6.7</v>
      </c>
      <c r="W728">
        <v>0</v>
      </c>
      <c r="X728" t="s">
        <v>684</v>
      </c>
      <c r="Y728" t="s">
        <v>327</v>
      </c>
      <c r="Z728" t="s">
        <v>58</v>
      </c>
      <c r="AA728" t="s">
        <v>59</v>
      </c>
      <c r="AB728" t="s">
        <v>60</v>
      </c>
      <c r="AC728" t="s">
        <v>61</v>
      </c>
      <c r="AD728" t="s">
        <v>49</v>
      </c>
      <c r="AE728" t="s">
        <v>49</v>
      </c>
      <c r="AF728" t="s">
        <v>49</v>
      </c>
      <c r="AG728" t="s">
        <v>49</v>
      </c>
      <c r="AH728" t="s">
        <v>48</v>
      </c>
      <c r="AI728" t="s">
        <v>48</v>
      </c>
      <c r="AJ728" t="s">
        <v>48</v>
      </c>
      <c r="AK728" t="s">
        <v>62</v>
      </c>
      <c r="AL728" t="s">
        <v>63</v>
      </c>
      <c r="AM728" t="s">
        <v>61</v>
      </c>
      <c r="AN728" t="s">
        <v>64</v>
      </c>
      <c r="AO728" t="s">
        <v>685</v>
      </c>
      <c r="AP728">
        <v>1</v>
      </c>
      <c r="AQ728" t="s">
        <v>66</v>
      </c>
      <c r="AR728" t="s">
        <v>686</v>
      </c>
      <c r="AS728">
        <v>2020</v>
      </c>
      <c r="AT728" t="s">
        <v>49</v>
      </c>
      <c r="AU728" t="s">
        <v>299</v>
      </c>
      <c r="AV728" t="s">
        <v>269</v>
      </c>
      <c r="AW728" t="s">
        <v>48</v>
      </c>
    </row>
    <row r="729" spans="1:49" x14ac:dyDescent="0.3">
      <c r="A729" t="s">
        <v>2004</v>
      </c>
      <c r="B729" t="s">
        <v>48</v>
      </c>
      <c r="C729" t="s">
        <v>49</v>
      </c>
      <c r="D729">
        <v>499.12</v>
      </c>
      <c r="E729">
        <v>0</v>
      </c>
      <c r="F729">
        <v>3.17</v>
      </c>
      <c r="G729" t="s">
        <v>1410</v>
      </c>
      <c r="H729" t="s">
        <v>2005</v>
      </c>
      <c r="I729" t="s">
        <v>52</v>
      </c>
      <c r="J729" t="s">
        <v>53</v>
      </c>
      <c r="K729">
        <v>7000</v>
      </c>
      <c r="L729" t="s">
        <v>126</v>
      </c>
      <c r="M729">
        <f>DOWNLOAD_2kLRbPnDtawQopEJ_UKtt22ud9U57gk8mqebZIeugNk[[#This Row],[Standard Value]]</f>
        <v>7000</v>
      </c>
      <c r="N729">
        <f>-LOG(DOWNLOAD_2kLRbPnDtawQopEJ_UKtt22ud9U57gk8mqebZIeugNk[[#This Row],[IC50]]*POWER(10, -9), 10)</f>
        <v>5.1549019599857422</v>
      </c>
      <c r="O729">
        <v>5.16</v>
      </c>
      <c r="P729" t="s">
        <v>48</v>
      </c>
      <c r="R729" t="s">
        <v>127</v>
      </c>
      <c r="S729">
        <v>10.33</v>
      </c>
      <c r="T729">
        <v>0.26</v>
      </c>
      <c r="U729">
        <v>1.98</v>
      </c>
      <c r="V729">
        <v>4</v>
      </c>
      <c r="W729">
        <v>0</v>
      </c>
      <c r="X729" t="s">
        <v>684</v>
      </c>
      <c r="Y729" t="s">
        <v>327</v>
      </c>
      <c r="Z729" t="s">
        <v>58</v>
      </c>
      <c r="AA729" t="s">
        <v>59</v>
      </c>
      <c r="AB729" t="s">
        <v>60</v>
      </c>
      <c r="AC729" t="s">
        <v>61</v>
      </c>
      <c r="AD729" t="s">
        <v>49</v>
      </c>
      <c r="AE729" t="s">
        <v>49</v>
      </c>
      <c r="AF729" t="s">
        <v>49</v>
      </c>
      <c r="AG729" t="s">
        <v>49</v>
      </c>
      <c r="AH729" t="s">
        <v>48</v>
      </c>
      <c r="AI729" t="s">
        <v>48</v>
      </c>
      <c r="AJ729" t="s">
        <v>48</v>
      </c>
      <c r="AK729" t="s">
        <v>62</v>
      </c>
      <c r="AL729" t="s">
        <v>63</v>
      </c>
      <c r="AM729" t="s">
        <v>61</v>
      </c>
      <c r="AN729" t="s">
        <v>64</v>
      </c>
      <c r="AO729" t="s">
        <v>685</v>
      </c>
      <c r="AP729">
        <v>1</v>
      </c>
      <c r="AQ729" t="s">
        <v>66</v>
      </c>
      <c r="AR729" t="s">
        <v>686</v>
      </c>
      <c r="AS729">
        <v>2020</v>
      </c>
      <c r="AT729" t="s">
        <v>49</v>
      </c>
      <c r="AU729" t="s">
        <v>299</v>
      </c>
      <c r="AV729" t="s">
        <v>269</v>
      </c>
      <c r="AW729" t="s">
        <v>48</v>
      </c>
    </row>
    <row r="730" spans="1:49" x14ac:dyDescent="0.3">
      <c r="A730" t="s">
        <v>2006</v>
      </c>
      <c r="B730" t="s">
        <v>48</v>
      </c>
      <c r="C730" t="s">
        <v>49</v>
      </c>
      <c r="D730">
        <v>448.76</v>
      </c>
      <c r="E730">
        <v>0</v>
      </c>
      <c r="F730">
        <v>3.78</v>
      </c>
      <c r="G730" t="s">
        <v>2007</v>
      </c>
      <c r="H730" t="s">
        <v>2008</v>
      </c>
      <c r="I730" t="s">
        <v>52</v>
      </c>
      <c r="J730" t="s">
        <v>53</v>
      </c>
      <c r="K730">
        <v>110</v>
      </c>
      <c r="L730" t="s">
        <v>126</v>
      </c>
      <c r="M730">
        <f>DOWNLOAD_2kLRbPnDtawQopEJ_UKtt22ud9U57gk8mqebZIeugNk[[#This Row],[Standard Value]]</f>
        <v>110</v>
      </c>
      <c r="N730">
        <f>-LOG(DOWNLOAD_2kLRbPnDtawQopEJ_UKtt22ud9U57gk8mqebZIeugNk[[#This Row],[IC50]]*POWER(10, -9), 10)</f>
        <v>6.9586073148417746</v>
      </c>
      <c r="O730">
        <v>6.96</v>
      </c>
      <c r="P730" t="s">
        <v>48</v>
      </c>
      <c r="R730" t="s">
        <v>127</v>
      </c>
      <c r="S730">
        <v>16.88</v>
      </c>
      <c r="T730">
        <v>0.37</v>
      </c>
      <c r="U730">
        <v>3.18</v>
      </c>
      <c r="V730">
        <v>6.16</v>
      </c>
      <c r="W730">
        <v>0</v>
      </c>
      <c r="X730" t="s">
        <v>684</v>
      </c>
      <c r="Y730" t="s">
        <v>327</v>
      </c>
      <c r="Z730" t="s">
        <v>58</v>
      </c>
      <c r="AA730" t="s">
        <v>59</v>
      </c>
      <c r="AB730" t="s">
        <v>60</v>
      </c>
      <c r="AC730" t="s">
        <v>61</v>
      </c>
      <c r="AD730" t="s">
        <v>49</v>
      </c>
      <c r="AE730" t="s">
        <v>49</v>
      </c>
      <c r="AF730" t="s">
        <v>49</v>
      </c>
      <c r="AG730" t="s">
        <v>49</v>
      </c>
      <c r="AH730" t="s">
        <v>48</v>
      </c>
      <c r="AI730" t="s">
        <v>48</v>
      </c>
      <c r="AJ730" t="s">
        <v>48</v>
      </c>
      <c r="AK730" t="s">
        <v>62</v>
      </c>
      <c r="AL730" t="s">
        <v>63</v>
      </c>
      <c r="AM730" t="s">
        <v>61</v>
      </c>
      <c r="AN730" t="s">
        <v>64</v>
      </c>
      <c r="AO730" t="s">
        <v>685</v>
      </c>
      <c r="AP730">
        <v>1</v>
      </c>
      <c r="AQ730" t="s">
        <v>66</v>
      </c>
      <c r="AR730" t="s">
        <v>686</v>
      </c>
      <c r="AS730">
        <v>2020</v>
      </c>
      <c r="AT730" t="s">
        <v>49</v>
      </c>
      <c r="AU730" t="s">
        <v>299</v>
      </c>
      <c r="AV730" t="s">
        <v>269</v>
      </c>
      <c r="AW730" t="s">
        <v>48</v>
      </c>
    </row>
    <row r="731" spans="1:49" x14ac:dyDescent="0.3">
      <c r="A731" t="s">
        <v>2009</v>
      </c>
      <c r="B731" t="s">
        <v>48</v>
      </c>
      <c r="C731" t="s">
        <v>49</v>
      </c>
      <c r="D731">
        <v>401.44</v>
      </c>
      <c r="E731">
        <v>0</v>
      </c>
      <c r="F731">
        <v>1.77</v>
      </c>
      <c r="G731" t="s">
        <v>2010</v>
      </c>
      <c r="H731" t="s">
        <v>2011</v>
      </c>
      <c r="I731" t="s">
        <v>52</v>
      </c>
      <c r="J731" t="s">
        <v>71</v>
      </c>
      <c r="K731">
        <v>50000</v>
      </c>
      <c r="L731" t="s">
        <v>126</v>
      </c>
      <c r="M731">
        <f>DOWNLOAD_2kLRbPnDtawQopEJ_UKtt22ud9U57gk8mqebZIeugNk[[#This Row],[Standard Value]]</f>
        <v>50000</v>
      </c>
      <c r="N731">
        <f>-LOG(DOWNLOAD_2kLRbPnDtawQopEJ_UKtt22ud9U57gk8mqebZIeugNk[[#This Row],[IC50]]*POWER(10, -9), 10)</f>
        <v>4.3010299956639804</v>
      </c>
      <c r="P731" t="s">
        <v>48</v>
      </c>
      <c r="R731" t="s">
        <v>127</v>
      </c>
      <c r="W731">
        <v>0</v>
      </c>
      <c r="X731" t="s">
        <v>652</v>
      </c>
      <c r="Y731" t="s">
        <v>653</v>
      </c>
      <c r="Z731" t="s">
        <v>58</v>
      </c>
      <c r="AA731" t="s">
        <v>59</v>
      </c>
      <c r="AB731" t="s">
        <v>60</v>
      </c>
      <c r="AC731" t="s">
        <v>61</v>
      </c>
      <c r="AD731" t="s">
        <v>49</v>
      </c>
      <c r="AE731" t="s">
        <v>49</v>
      </c>
      <c r="AF731" t="s">
        <v>49</v>
      </c>
      <c r="AG731" t="s">
        <v>49</v>
      </c>
      <c r="AH731" t="s">
        <v>48</v>
      </c>
      <c r="AI731" t="s">
        <v>48</v>
      </c>
      <c r="AJ731" t="s">
        <v>48</v>
      </c>
      <c r="AK731" t="s">
        <v>62</v>
      </c>
      <c r="AL731" t="s">
        <v>63</v>
      </c>
      <c r="AM731" t="s">
        <v>61</v>
      </c>
      <c r="AN731" t="s">
        <v>64</v>
      </c>
      <c r="AO731" t="s">
        <v>654</v>
      </c>
      <c r="AP731">
        <v>1</v>
      </c>
      <c r="AQ731" t="s">
        <v>66</v>
      </c>
      <c r="AR731" t="s">
        <v>267</v>
      </c>
      <c r="AS731">
        <v>2020</v>
      </c>
      <c r="AT731" t="s">
        <v>49</v>
      </c>
      <c r="AU731" t="s">
        <v>48</v>
      </c>
      <c r="AV731" t="s">
        <v>48</v>
      </c>
      <c r="AW731" t="s">
        <v>48</v>
      </c>
    </row>
    <row r="732" spans="1:49" x14ac:dyDescent="0.3">
      <c r="A732" t="s">
        <v>2012</v>
      </c>
      <c r="B732" t="s">
        <v>48</v>
      </c>
      <c r="C732" t="s">
        <v>49</v>
      </c>
      <c r="D732">
        <v>688.57</v>
      </c>
      <c r="E732">
        <v>2</v>
      </c>
      <c r="F732">
        <v>5.23</v>
      </c>
      <c r="G732" t="s">
        <v>2013</v>
      </c>
      <c r="H732" t="s">
        <v>2014</v>
      </c>
      <c r="I732" t="s">
        <v>52</v>
      </c>
      <c r="J732" t="s">
        <v>53</v>
      </c>
      <c r="K732">
        <v>6280</v>
      </c>
      <c r="L732" t="s">
        <v>126</v>
      </c>
      <c r="M732">
        <f>DOWNLOAD_2kLRbPnDtawQopEJ_UKtt22ud9U57gk8mqebZIeugNk[[#This Row],[Standard Value]]</f>
        <v>6280</v>
      </c>
      <c r="N732">
        <f>-LOG(DOWNLOAD_2kLRbPnDtawQopEJ_UKtt22ud9U57gk8mqebZIeugNk[[#This Row],[IC50]]*POWER(10, -9), 10)</f>
        <v>5.2020403562628035</v>
      </c>
      <c r="O732">
        <v>5.2</v>
      </c>
      <c r="P732" t="s">
        <v>48</v>
      </c>
      <c r="R732" t="s">
        <v>127</v>
      </c>
      <c r="S732">
        <v>7.55</v>
      </c>
      <c r="T732">
        <v>0.17</v>
      </c>
      <c r="U732">
        <v>-0.03</v>
      </c>
      <c r="V732">
        <v>5.88</v>
      </c>
      <c r="W732">
        <v>0</v>
      </c>
      <c r="X732" t="s">
        <v>585</v>
      </c>
      <c r="Y732" t="s">
        <v>586</v>
      </c>
      <c r="Z732" t="s">
        <v>58</v>
      </c>
      <c r="AA732" t="s">
        <v>59</v>
      </c>
      <c r="AB732" t="s">
        <v>60</v>
      </c>
      <c r="AC732" t="s">
        <v>61</v>
      </c>
      <c r="AD732" t="s">
        <v>49</v>
      </c>
      <c r="AE732" t="s">
        <v>49</v>
      </c>
      <c r="AF732" t="s">
        <v>49</v>
      </c>
      <c r="AG732" t="s">
        <v>49</v>
      </c>
      <c r="AH732" t="s">
        <v>48</v>
      </c>
      <c r="AI732" t="s">
        <v>48</v>
      </c>
      <c r="AJ732" t="s">
        <v>48</v>
      </c>
      <c r="AK732" t="s">
        <v>62</v>
      </c>
      <c r="AL732" t="s">
        <v>63</v>
      </c>
      <c r="AM732" t="s">
        <v>61</v>
      </c>
      <c r="AN732" t="s">
        <v>64</v>
      </c>
      <c r="AO732" t="s">
        <v>587</v>
      </c>
      <c r="AP732">
        <v>1</v>
      </c>
      <c r="AQ732" t="s">
        <v>66</v>
      </c>
      <c r="AR732" t="s">
        <v>131</v>
      </c>
      <c r="AS732">
        <v>2015</v>
      </c>
      <c r="AT732" t="s">
        <v>49</v>
      </c>
      <c r="AU732" t="s">
        <v>48</v>
      </c>
      <c r="AV732" t="s">
        <v>48</v>
      </c>
      <c r="AW732" t="s">
        <v>48</v>
      </c>
    </row>
    <row r="733" spans="1:49" x14ac:dyDescent="0.3">
      <c r="A733" t="s">
        <v>2015</v>
      </c>
      <c r="B733" t="s">
        <v>48</v>
      </c>
      <c r="C733" t="s">
        <v>49</v>
      </c>
      <c r="D733">
        <v>482.43</v>
      </c>
      <c r="E733">
        <v>0</v>
      </c>
      <c r="F733">
        <v>0.06</v>
      </c>
      <c r="G733" t="s">
        <v>2016</v>
      </c>
      <c r="H733" t="s">
        <v>2017</v>
      </c>
      <c r="I733" t="s">
        <v>52</v>
      </c>
      <c r="J733" t="s">
        <v>53</v>
      </c>
      <c r="K733">
        <v>1200</v>
      </c>
      <c r="L733" t="s">
        <v>126</v>
      </c>
      <c r="M733">
        <f>DOWNLOAD_2kLRbPnDtawQopEJ_UKtt22ud9U57gk8mqebZIeugNk[[#This Row],[Standard Value]]</f>
        <v>1200</v>
      </c>
      <c r="N733">
        <f>-LOG(DOWNLOAD_2kLRbPnDtawQopEJ_UKtt22ud9U57gk8mqebZIeugNk[[#This Row],[IC50]]*POWER(10, -9), 10)</f>
        <v>5.920818753952374</v>
      </c>
      <c r="O733">
        <v>5.92</v>
      </c>
      <c r="P733" t="s">
        <v>48</v>
      </c>
      <c r="Q733">
        <v>302941</v>
      </c>
      <c r="R733" t="s">
        <v>127</v>
      </c>
      <c r="S733">
        <v>12.27</v>
      </c>
      <c r="T733">
        <v>0.23</v>
      </c>
      <c r="U733">
        <v>5.86</v>
      </c>
      <c r="V733">
        <v>3.75</v>
      </c>
      <c r="W733">
        <v>0</v>
      </c>
      <c r="X733" t="s">
        <v>251</v>
      </c>
      <c r="Y733" t="s">
        <v>252</v>
      </c>
      <c r="Z733" t="s">
        <v>58</v>
      </c>
      <c r="AA733" t="s">
        <v>59</v>
      </c>
      <c r="AB733" t="s">
        <v>60</v>
      </c>
      <c r="AC733" t="s">
        <v>61</v>
      </c>
      <c r="AD733" t="s">
        <v>49</v>
      </c>
      <c r="AE733" t="s">
        <v>49</v>
      </c>
      <c r="AF733" t="s">
        <v>49</v>
      </c>
      <c r="AG733" t="s">
        <v>49</v>
      </c>
      <c r="AH733" t="s">
        <v>48</v>
      </c>
      <c r="AI733" t="s">
        <v>48</v>
      </c>
      <c r="AJ733" t="s">
        <v>48</v>
      </c>
      <c r="AK733" t="s">
        <v>62</v>
      </c>
      <c r="AL733" t="s">
        <v>63</v>
      </c>
      <c r="AM733" t="s">
        <v>61</v>
      </c>
      <c r="AN733" t="s">
        <v>64</v>
      </c>
      <c r="AO733" t="s">
        <v>253</v>
      </c>
      <c r="AP733">
        <v>37</v>
      </c>
      <c r="AQ733" t="s">
        <v>254</v>
      </c>
      <c r="AR733" t="s">
        <v>48</v>
      </c>
      <c r="AS733">
        <v>2015</v>
      </c>
      <c r="AT733" t="s">
        <v>49</v>
      </c>
      <c r="AU733" t="s">
        <v>48</v>
      </c>
      <c r="AV733" t="s">
        <v>48</v>
      </c>
      <c r="AW733" t="s">
        <v>48</v>
      </c>
    </row>
    <row r="734" spans="1:49" x14ac:dyDescent="0.3">
      <c r="A734" t="s">
        <v>2018</v>
      </c>
      <c r="B734" t="s">
        <v>48</v>
      </c>
      <c r="C734" t="s">
        <v>49</v>
      </c>
      <c r="D734">
        <v>466.43</v>
      </c>
      <c r="E734">
        <v>0</v>
      </c>
      <c r="F734">
        <v>1.31</v>
      </c>
      <c r="G734" t="s">
        <v>2019</v>
      </c>
      <c r="H734" t="s">
        <v>2020</v>
      </c>
      <c r="I734" t="s">
        <v>52</v>
      </c>
      <c r="J734" t="s">
        <v>53</v>
      </c>
      <c r="K734">
        <v>400</v>
      </c>
      <c r="L734" t="s">
        <v>126</v>
      </c>
      <c r="M734">
        <f>DOWNLOAD_2kLRbPnDtawQopEJ_UKtt22ud9U57gk8mqebZIeugNk[[#This Row],[Standard Value]]</f>
        <v>400</v>
      </c>
      <c r="N734">
        <f>-LOG(DOWNLOAD_2kLRbPnDtawQopEJ_UKtt22ud9U57gk8mqebZIeugNk[[#This Row],[IC50]]*POWER(10, -9), 10)</f>
        <v>6.3979400086720375</v>
      </c>
      <c r="O734">
        <v>6.4</v>
      </c>
      <c r="P734" t="s">
        <v>48</v>
      </c>
      <c r="Q734">
        <v>302942</v>
      </c>
      <c r="R734" t="s">
        <v>127</v>
      </c>
      <c r="S734">
        <v>13.72</v>
      </c>
      <c r="T734">
        <v>0.26</v>
      </c>
      <c r="U734">
        <v>5.09</v>
      </c>
      <c r="V734">
        <v>4.58</v>
      </c>
      <c r="W734">
        <v>0</v>
      </c>
      <c r="X734" t="s">
        <v>251</v>
      </c>
      <c r="Y734" t="s">
        <v>252</v>
      </c>
      <c r="Z734" t="s">
        <v>58</v>
      </c>
      <c r="AA734" t="s">
        <v>59</v>
      </c>
      <c r="AB734" t="s">
        <v>60</v>
      </c>
      <c r="AC734" t="s">
        <v>61</v>
      </c>
      <c r="AD734" t="s">
        <v>49</v>
      </c>
      <c r="AE734" t="s">
        <v>49</v>
      </c>
      <c r="AF734" t="s">
        <v>49</v>
      </c>
      <c r="AG734" t="s">
        <v>49</v>
      </c>
      <c r="AH734" t="s">
        <v>48</v>
      </c>
      <c r="AI734" t="s">
        <v>48</v>
      </c>
      <c r="AJ734" t="s">
        <v>48</v>
      </c>
      <c r="AK734" t="s">
        <v>62</v>
      </c>
      <c r="AL734" t="s">
        <v>63</v>
      </c>
      <c r="AM734" t="s">
        <v>61</v>
      </c>
      <c r="AN734" t="s">
        <v>64</v>
      </c>
      <c r="AO734" t="s">
        <v>253</v>
      </c>
      <c r="AP734">
        <v>37</v>
      </c>
      <c r="AQ734" t="s">
        <v>254</v>
      </c>
      <c r="AR734" t="s">
        <v>48</v>
      </c>
      <c r="AS734">
        <v>2015</v>
      </c>
      <c r="AT734" t="s">
        <v>49</v>
      </c>
      <c r="AU734" t="s">
        <v>48</v>
      </c>
      <c r="AV734" t="s">
        <v>48</v>
      </c>
      <c r="AW734" t="s">
        <v>48</v>
      </c>
    </row>
    <row r="735" spans="1:49" x14ac:dyDescent="0.3">
      <c r="A735" t="s">
        <v>2021</v>
      </c>
      <c r="B735" t="s">
        <v>48</v>
      </c>
      <c r="C735" t="s">
        <v>49</v>
      </c>
      <c r="D735">
        <v>403.37</v>
      </c>
      <c r="E735">
        <v>0</v>
      </c>
      <c r="F735">
        <v>0.44</v>
      </c>
      <c r="G735" t="s">
        <v>2022</v>
      </c>
      <c r="H735" t="s">
        <v>2023</v>
      </c>
      <c r="I735" t="s">
        <v>52</v>
      </c>
      <c r="J735" t="s">
        <v>53</v>
      </c>
      <c r="K735">
        <v>500</v>
      </c>
      <c r="L735" t="s">
        <v>126</v>
      </c>
      <c r="M735">
        <f>DOWNLOAD_2kLRbPnDtawQopEJ_UKtt22ud9U57gk8mqebZIeugNk[[#This Row],[Standard Value]]</f>
        <v>500</v>
      </c>
      <c r="N735">
        <f>-LOG(DOWNLOAD_2kLRbPnDtawQopEJ_UKtt22ud9U57gk8mqebZIeugNk[[#This Row],[IC50]]*POWER(10, -9), 10)</f>
        <v>6.3010299956639804</v>
      </c>
      <c r="O735">
        <v>6.3</v>
      </c>
      <c r="P735" t="s">
        <v>48</v>
      </c>
      <c r="Q735">
        <v>302766</v>
      </c>
      <c r="R735" t="s">
        <v>127</v>
      </c>
      <c r="S735">
        <v>15.62</v>
      </c>
      <c r="T735">
        <v>0.3</v>
      </c>
      <c r="U735">
        <v>5.86</v>
      </c>
      <c r="V735">
        <v>4.51</v>
      </c>
      <c r="W735">
        <v>0</v>
      </c>
      <c r="X735" t="s">
        <v>251</v>
      </c>
      <c r="Y735" t="s">
        <v>252</v>
      </c>
      <c r="Z735" t="s">
        <v>58</v>
      </c>
      <c r="AA735" t="s">
        <v>59</v>
      </c>
      <c r="AB735" t="s">
        <v>60</v>
      </c>
      <c r="AC735" t="s">
        <v>61</v>
      </c>
      <c r="AD735" t="s">
        <v>49</v>
      </c>
      <c r="AE735" t="s">
        <v>49</v>
      </c>
      <c r="AF735" t="s">
        <v>49</v>
      </c>
      <c r="AG735" t="s">
        <v>49</v>
      </c>
      <c r="AH735" t="s">
        <v>48</v>
      </c>
      <c r="AI735" t="s">
        <v>48</v>
      </c>
      <c r="AJ735" t="s">
        <v>48</v>
      </c>
      <c r="AK735" t="s">
        <v>62</v>
      </c>
      <c r="AL735" t="s">
        <v>63</v>
      </c>
      <c r="AM735" t="s">
        <v>61</v>
      </c>
      <c r="AN735" t="s">
        <v>64</v>
      </c>
      <c r="AO735" t="s">
        <v>253</v>
      </c>
      <c r="AP735">
        <v>37</v>
      </c>
      <c r="AQ735" t="s">
        <v>254</v>
      </c>
      <c r="AR735" t="s">
        <v>48</v>
      </c>
      <c r="AS735">
        <v>2015</v>
      </c>
      <c r="AT735" t="s">
        <v>49</v>
      </c>
      <c r="AU735" t="s">
        <v>48</v>
      </c>
      <c r="AV735" t="s">
        <v>48</v>
      </c>
      <c r="AW735" t="s">
        <v>48</v>
      </c>
    </row>
    <row r="736" spans="1:49" x14ac:dyDescent="0.3">
      <c r="A736" t="s">
        <v>2024</v>
      </c>
      <c r="B736" t="s">
        <v>48</v>
      </c>
      <c r="C736" t="s">
        <v>49</v>
      </c>
      <c r="D736">
        <v>500.51</v>
      </c>
      <c r="E736">
        <v>1</v>
      </c>
      <c r="F736">
        <v>1.93</v>
      </c>
      <c r="G736" t="s">
        <v>2025</v>
      </c>
      <c r="H736" t="s">
        <v>2026</v>
      </c>
      <c r="I736" t="s">
        <v>52</v>
      </c>
      <c r="J736" t="s">
        <v>53</v>
      </c>
      <c r="K736">
        <v>1900</v>
      </c>
      <c r="L736" t="s">
        <v>126</v>
      </c>
      <c r="M736">
        <f>DOWNLOAD_2kLRbPnDtawQopEJ_UKtt22ud9U57gk8mqebZIeugNk[[#This Row],[Standard Value]]</f>
        <v>1900</v>
      </c>
      <c r="N736">
        <f>-LOG(DOWNLOAD_2kLRbPnDtawQopEJ_UKtt22ud9U57gk8mqebZIeugNk[[#This Row],[IC50]]*POWER(10, -9), 10)</f>
        <v>5.7212463990471711</v>
      </c>
      <c r="O736">
        <v>5.72</v>
      </c>
      <c r="P736" t="s">
        <v>48</v>
      </c>
      <c r="Q736">
        <v>302777</v>
      </c>
      <c r="R736" t="s">
        <v>127</v>
      </c>
      <c r="S736">
        <v>11.43</v>
      </c>
      <c r="T736">
        <v>0.22</v>
      </c>
      <c r="U736">
        <v>3.79</v>
      </c>
      <c r="V736">
        <v>4.13</v>
      </c>
      <c r="W736">
        <v>0</v>
      </c>
      <c r="X736" t="s">
        <v>251</v>
      </c>
      <c r="Y736" t="s">
        <v>252</v>
      </c>
      <c r="Z736" t="s">
        <v>58</v>
      </c>
      <c r="AA736" t="s">
        <v>59</v>
      </c>
      <c r="AB736" t="s">
        <v>60</v>
      </c>
      <c r="AC736" t="s">
        <v>61</v>
      </c>
      <c r="AD736" t="s">
        <v>49</v>
      </c>
      <c r="AE736" t="s">
        <v>49</v>
      </c>
      <c r="AF736" t="s">
        <v>49</v>
      </c>
      <c r="AG736" t="s">
        <v>49</v>
      </c>
      <c r="AH736" t="s">
        <v>48</v>
      </c>
      <c r="AI736" t="s">
        <v>48</v>
      </c>
      <c r="AJ736" t="s">
        <v>48</v>
      </c>
      <c r="AK736" t="s">
        <v>62</v>
      </c>
      <c r="AL736" t="s">
        <v>63</v>
      </c>
      <c r="AM736" t="s">
        <v>61</v>
      </c>
      <c r="AN736" t="s">
        <v>64</v>
      </c>
      <c r="AO736" t="s">
        <v>253</v>
      </c>
      <c r="AP736">
        <v>37</v>
      </c>
      <c r="AQ736" t="s">
        <v>254</v>
      </c>
      <c r="AR736" t="s">
        <v>48</v>
      </c>
      <c r="AS736">
        <v>2015</v>
      </c>
      <c r="AT736" t="s">
        <v>49</v>
      </c>
      <c r="AU736" t="s">
        <v>48</v>
      </c>
      <c r="AV736" t="s">
        <v>48</v>
      </c>
      <c r="AW736" t="s">
        <v>48</v>
      </c>
    </row>
    <row r="737" spans="1:49" x14ac:dyDescent="0.3">
      <c r="A737" t="s">
        <v>2027</v>
      </c>
      <c r="B737" t="s">
        <v>48</v>
      </c>
      <c r="C737" t="s">
        <v>49</v>
      </c>
      <c r="D737">
        <v>501.52</v>
      </c>
      <c r="E737">
        <v>1</v>
      </c>
      <c r="F737">
        <v>1.7</v>
      </c>
      <c r="G737" t="s">
        <v>2028</v>
      </c>
      <c r="H737" t="s">
        <v>2029</v>
      </c>
      <c r="I737" t="s">
        <v>52</v>
      </c>
      <c r="J737" t="s">
        <v>53</v>
      </c>
      <c r="K737">
        <v>2900</v>
      </c>
      <c r="L737" t="s">
        <v>126</v>
      </c>
      <c r="M737">
        <f>DOWNLOAD_2kLRbPnDtawQopEJ_UKtt22ud9U57gk8mqebZIeugNk[[#This Row],[Standard Value]]</f>
        <v>2900</v>
      </c>
      <c r="N737">
        <f>-LOG(DOWNLOAD_2kLRbPnDtawQopEJ_UKtt22ud9U57gk8mqebZIeugNk[[#This Row],[IC50]]*POWER(10, -9), 10)</f>
        <v>5.5376020021010435</v>
      </c>
      <c r="O737">
        <v>5.54</v>
      </c>
      <c r="P737" t="s">
        <v>48</v>
      </c>
      <c r="Q737">
        <v>302786</v>
      </c>
      <c r="R737" t="s">
        <v>127</v>
      </c>
      <c r="S737">
        <v>11.04</v>
      </c>
      <c r="T737">
        <v>0.21</v>
      </c>
      <c r="U737">
        <v>3.84</v>
      </c>
      <c r="V737">
        <v>4.0999999999999996</v>
      </c>
      <c r="W737">
        <v>0</v>
      </c>
      <c r="X737" t="s">
        <v>251</v>
      </c>
      <c r="Y737" t="s">
        <v>252</v>
      </c>
      <c r="Z737" t="s">
        <v>58</v>
      </c>
      <c r="AA737" t="s">
        <v>59</v>
      </c>
      <c r="AB737" t="s">
        <v>60</v>
      </c>
      <c r="AC737" t="s">
        <v>61</v>
      </c>
      <c r="AD737" t="s">
        <v>49</v>
      </c>
      <c r="AE737" t="s">
        <v>49</v>
      </c>
      <c r="AF737" t="s">
        <v>49</v>
      </c>
      <c r="AG737" t="s">
        <v>49</v>
      </c>
      <c r="AH737" t="s">
        <v>48</v>
      </c>
      <c r="AI737" t="s">
        <v>48</v>
      </c>
      <c r="AJ737" t="s">
        <v>48</v>
      </c>
      <c r="AK737" t="s">
        <v>62</v>
      </c>
      <c r="AL737" t="s">
        <v>63</v>
      </c>
      <c r="AM737" t="s">
        <v>61</v>
      </c>
      <c r="AN737" t="s">
        <v>64</v>
      </c>
      <c r="AO737" t="s">
        <v>253</v>
      </c>
      <c r="AP737">
        <v>37</v>
      </c>
      <c r="AQ737" t="s">
        <v>254</v>
      </c>
      <c r="AR737" t="s">
        <v>48</v>
      </c>
      <c r="AS737">
        <v>2015</v>
      </c>
      <c r="AT737" t="s">
        <v>49</v>
      </c>
      <c r="AU737" t="s">
        <v>48</v>
      </c>
      <c r="AV737" t="s">
        <v>48</v>
      </c>
      <c r="AW737" t="s">
        <v>48</v>
      </c>
    </row>
    <row r="738" spans="1:49" x14ac:dyDescent="0.3">
      <c r="A738" t="s">
        <v>2030</v>
      </c>
      <c r="B738" t="s">
        <v>48</v>
      </c>
      <c r="C738" t="s">
        <v>49</v>
      </c>
      <c r="D738">
        <v>444.88</v>
      </c>
      <c r="E738">
        <v>0</v>
      </c>
      <c r="F738">
        <v>2.25</v>
      </c>
      <c r="G738" t="s">
        <v>2031</v>
      </c>
      <c r="H738" t="s">
        <v>2032</v>
      </c>
      <c r="I738" t="s">
        <v>52</v>
      </c>
      <c r="J738" t="s">
        <v>53</v>
      </c>
      <c r="K738">
        <v>600</v>
      </c>
      <c r="L738" t="s">
        <v>126</v>
      </c>
      <c r="M738">
        <f>DOWNLOAD_2kLRbPnDtawQopEJ_UKtt22ud9U57gk8mqebZIeugNk[[#This Row],[Standard Value]]</f>
        <v>600</v>
      </c>
      <c r="N738">
        <f>-LOG(DOWNLOAD_2kLRbPnDtawQopEJ_UKtt22ud9U57gk8mqebZIeugNk[[#This Row],[IC50]]*POWER(10, -9), 10)</f>
        <v>6.2218487496163553</v>
      </c>
      <c r="O738">
        <v>6.22</v>
      </c>
      <c r="P738" t="s">
        <v>48</v>
      </c>
      <c r="Q738">
        <v>302805</v>
      </c>
      <c r="R738" t="s">
        <v>127</v>
      </c>
      <c r="S738">
        <v>13.99</v>
      </c>
      <c r="T738">
        <v>0.27</v>
      </c>
      <c r="U738">
        <v>3.97</v>
      </c>
      <c r="V738">
        <v>5.47</v>
      </c>
      <c r="W738">
        <v>0</v>
      </c>
      <c r="X738" t="s">
        <v>251</v>
      </c>
      <c r="Y738" t="s">
        <v>252</v>
      </c>
      <c r="Z738" t="s">
        <v>58</v>
      </c>
      <c r="AA738" t="s">
        <v>59</v>
      </c>
      <c r="AB738" t="s">
        <v>60</v>
      </c>
      <c r="AC738" t="s">
        <v>61</v>
      </c>
      <c r="AD738" t="s">
        <v>49</v>
      </c>
      <c r="AE738" t="s">
        <v>49</v>
      </c>
      <c r="AF738" t="s">
        <v>49</v>
      </c>
      <c r="AG738" t="s">
        <v>49</v>
      </c>
      <c r="AH738" t="s">
        <v>48</v>
      </c>
      <c r="AI738" t="s">
        <v>48</v>
      </c>
      <c r="AJ738" t="s">
        <v>48</v>
      </c>
      <c r="AK738" t="s">
        <v>62</v>
      </c>
      <c r="AL738" t="s">
        <v>63</v>
      </c>
      <c r="AM738" t="s">
        <v>61</v>
      </c>
      <c r="AN738" t="s">
        <v>64</v>
      </c>
      <c r="AO738" t="s">
        <v>253</v>
      </c>
      <c r="AP738">
        <v>37</v>
      </c>
      <c r="AQ738" t="s">
        <v>254</v>
      </c>
      <c r="AR738" t="s">
        <v>48</v>
      </c>
      <c r="AS738">
        <v>2015</v>
      </c>
      <c r="AT738" t="s">
        <v>49</v>
      </c>
      <c r="AU738" t="s">
        <v>48</v>
      </c>
      <c r="AV738" t="s">
        <v>48</v>
      </c>
      <c r="AW738" t="s">
        <v>48</v>
      </c>
    </row>
    <row r="739" spans="1:49" x14ac:dyDescent="0.3">
      <c r="A739" t="s">
        <v>2033</v>
      </c>
      <c r="B739" t="s">
        <v>48</v>
      </c>
      <c r="C739" t="s">
        <v>49</v>
      </c>
      <c r="D739">
        <v>482.88</v>
      </c>
      <c r="E739">
        <v>0</v>
      </c>
      <c r="F739">
        <v>1.83</v>
      </c>
      <c r="G739" t="s">
        <v>2034</v>
      </c>
      <c r="H739" t="s">
        <v>2035</v>
      </c>
      <c r="I739" t="s">
        <v>52</v>
      </c>
      <c r="J739" t="s">
        <v>53</v>
      </c>
      <c r="K739">
        <v>1600</v>
      </c>
      <c r="L739" t="s">
        <v>126</v>
      </c>
      <c r="M739">
        <f>DOWNLOAD_2kLRbPnDtawQopEJ_UKtt22ud9U57gk8mqebZIeugNk[[#This Row],[Standard Value]]</f>
        <v>1600</v>
      </c>
      <c r="N739">
        <f>-LOG(DOWNLOAD_2kLRbPnDtawQopEJ_UKtt22ud9U57gk8mqebZIeugNk[[#This Row],[IC50]]*POWER(10, -9), 10)</f>
        <v>5.795880017344075</v>
      </c>
      <c r="O739">
        <v>5.8</v>
      </c>
      <c r="P739" t="s">
        <v>48</v>
      </c>
      <c r="Q739">
        <v>302811</v>
      </c>
      <c r="R739" t="s">
        <v>127</v>
      </c>
      <c r="S739">
        <v>12</v>
      </c>
      <c r="T739">
        <v>0.23</v>
      </c>
      <c r="U739">
        <v>3.97</v>
      </c>
      <c r="V739">
        <v>4.1500000000000004</v>
      </c>
      <c r="W739">
        <v>0</v>
      </c>
      <c r="X739" t="s">
        <v>251</v>
      </c>
      <c r="Y739" t="s">
        <v>252</v>
      </c>
      <c r="Z739" t="s">
        <v>58</v>
      </c>
      <c r="AA739" t="s">
        <v>59</v>
      </c>
      <c r="AB739" t="s">
        <v>60</v>
      </c>
      <c r="AC739" t="s">
        <v>61</v>
      </c>
      <c r="AD739" t="s">
        <v>49</v>
      </c>
      <c r="AE739" t="s">
        <v>49</v>
      </c>
      <c r="AF739" t="s">
        <v>49</v>
      </c>
      <c r="AG739" t="s">
        <v>49</v>
      </c>
      <c r="AH739" t="s">
        <v>48</v>
      </c>
      <c r="AI739" t="s">
        <v>48</v>
      </c>
      <c r="AJ739" t="s">
        <v>48</v>
      </c>
      <c r="AK739" t="s">
        <v>62</v>
      </c>
      <c r="AL739" t="s">
        <v>63</v>
      </c>
      <c r="AM739" t="s">
        <v>61</v>
      </c>
      <c r="AN739" t="s">
        <v>64</v>
      </c>
      <c r="AO739" t="s">
        <v>253</v>
      </c>
      <c r="AP739">
        <v>37</v>
      </c>
      <c r="AQ739" t="s">
        <v>254</v>
      </c>
      <c r="AR739" t="s">
        <v>48</v>
      </c>
      <c r="AS739">
        <v>2015</v>
      </c>
      <c r="AT739" t="s">
        <v>49</v>
      </c>
      <c r="AU739" t="s">
        <v>48</v>
      </c>
      <c r="AV739" t="s">
        <v>48</v>
      </c>
      <c r="AW739" t="s">
        <v>48</v>
      </c>
    </row>
    <row r="740" spans="1:49" x14ac:dyDescent="0.3">
      <c r="A740" t="s">
        <v>2036</v>
      </c>
      <c r="B740" t="s">
        <v>48</v>
      </c>
      <c r="C740" t="s">
        <v>49</v>
      </c>
      <c r="D740">
        <v>481.9</v>
      </c>
      <c r="E740">
        <v>0</v>
      </c>
      <c r="F740">
        <v>2.4300000000000002</v>
      </c>
      <c r="G740" t="s">
        <v>2037</v>
      </c>
      <c r="H740" t="s">
        <v>2038</v>
      </c>
      <c r="I740" t="s">
        <v>52</v>
      </c>
      <c r="J740" t="s">
        <v>53</v>
      </c>
      <c r="K740">
        <v>300</v>
      </c>
      <c r="L740" t="s">
        <v>126</v>
      </c>
      <c r="M740">
        <f>DOWNLOAD_2kLRbPnDtawQopEJ_UKtt22ud9U57gk8mqebZIeugNk[[#This Row],[Standard Value]]</f>
        <v>300</v>
      </c>
      <c r="N740">
        <f>-LOG(DOWNLOAD_2kLRbPnDtawQopEJ_UKtt22ud9U57gk8mqebZIeugNk[[#This Row],[IC50]]*POWER(10, -9), 10)</f>
        <v>6.5228787452803365</v>
      </c>
      <c r="O740">
        <v>6.52</v>
      </c>
      <c r="P740" t="s">
        <v>48</v>
      </c>
      <c r="Q740">
        <v>302813</v>
      </c>
      <c r="R740" t="s">
        <v>127</v>
      </c>
      <c r="S740">
        <v>13.54</v>
      </c>
      <c r="T740">
        <v>0.26</v>
      </c>
      <c r="U740">
        <v>4.09</v>
      </c>
      <c r="V740">
        <v>5.15</v>
      </c>
      <c r="W740">
        <v>0</v>
      </c>
      <c r="X740" t="s">
        <v>251</v>
      </c>
      <c r="Y740" t="s">
        <v>252</v>
      </c>
      <c r="Z740" t="s">
        <v>58</v>
      </c>
      <c r="AA740" t="s">
        <v>59</v>
      </c>
      <c r="AB740" t="s">
        <v>60</v>
      </c>
      <c r="AC740" t="s">
        <v>61</v>
      </c>
      <c r="AD740" t="s">
        <v>49</v>
      </c>
      <c r="AE740" t="s">
        <v>49</v>
      </c>
      <c r="AF740" t="s">
        <v>49</v>
      </c>
      <c r="AG740" t="s">
        <v>49</v>
      </c>
      <c r="AH740" t="s">
        <v>48</v>
      </c>
      <c r="AI740" t="s">
        <v>48</v>
      </c>
      <c r="AJ740" t="s">
        <v>48</v>
      </c>
      <c r="AK740" t="s">
        <v>62</v>
      </c>
      <c r="AL740" t="s">
        <v>63</v>
      </c>
      <c r="AM740" t="s">
        <v>61</v>
      </c>
      <c r="AN740" t="s">
        <v>64</v>
      </c>
      <c r="AO740" t="s">
        <v>253</v>
      </c>
      <c r="AP740">
        <v>37</v>
      </c>
      <c r="AQ740" t="s">
        <v>254</v>
      </c>
      <c r="AR740" t="s">
        <v>48</v>
      </c>
      <c r="AS740">
        <v>2015</v>
      </c>
      <c r="AT740" t="s">
        <v>49</v>
      </c>
      <c r="AU740" t="s">
        <v>48</v>
      </c>
      <c r="AV740" t="s">
        <v>48</v>
      </c>
      <c r="AW740" t="s">
        <v>48</v>
      </c>
    </row>
    <row r="741" spans="1:49" x14ac:dyDescent="0.3">
      <c r="A741" t="s">
        <v>2039</v>
      </c>
      <c r="B741" t="s">
        <v>48</v>
      </c>
      <c r="C741" t="s">
        <v>49</v>
      </c>
      <c r="D741">
        <v>475.43</v>
      </c>
      <c r="E741">
        <v>0</v>
      </c>
      <c r="F741">
        <v>0.49</v>
      </c>
      <c r="G741" t="s">
        <v>2040</v>
      </c>
      <c r="H741" t="s">
        <v>2041</v>
      </c>
      <c r="I741" t="s">
        <v>52</v>
      </c>
      <c r="J741" t="s">
        <v>53</v>
      </c>
      <c r="K741">
        <v>2300</v>
      </c>
      <c r="L741" t="s">
        <v>126</v>
      </c>
      <c r="M741">
        <f>DOWNLOAD_2kLRbPnDtawQopEJ_UKtt22ud9U57gk8mqebZIeugNk[[#This Row],[Standard Value]]</f>
        <v>2300</v>
      </c>
      <c r="N741">
        <f>-LOG(DOWNLOAD_2kLRbPnDtawQopEJ_UKtt22ud9U57gk8mqebZIeugNk[[#This Row],[IC50]]*POWER(10, -9), 10)</f>
        <v>5.6382721639824069</v>
      </c>
      <c r="O741">
        <v>5.64</v>
      </c>
      <c r="P741" t="s">
        <v>48</v>
      </c>
      <c r="Q741">
        <v>302909</v>
      </c>
      <c r="R741" t="s">
        <v>127</v>
      </c>
      <c r="S741">
        <v>11.86</v>
      </c>
      <c r="T741">
        <v>0.23</v>
      </c>
      <c r="U741">
        <v>5.15</v>
      </c>
      <c r="V741">
        <v>3.93</v>
      </c>
      <c r="W741">
        <v>0</v>
      </c>
      <c r="X741" t="s">
        <v>251</v>
      </c>
      <c r="Y741" t="s">
        <v>252</v>
      </c>
      <c r="Z741" t="s">
        <v>58</v>
      </c>
      <c r="AA741" t="s">
        <v>59</v>
      </c>
      <c r="AB741" t="s">
        <v>60</v>
      </c>
      <c r="AC741" t="s">
        <v>61</v>
      </c>
      <c r="AD741" t="s">
        <v>49</v>
      </c>
      <c r="AE741" t="s">
        <v>49</v>
      </c>
      <c r="AF741" t="s">
        <v>49</v>
      </c>
      <c r="AG741" t="s">
        <v>49</v>
      </c>
      <c r="AH741" t="s">
        <v>48</v>
      </c>
      <c r="AI741" t="s">
        <v>48</v>
      </c>
      <c r="AJ741" t="s">
        <v>48</v>
      </c>
      <c r="AK741" t="s">
        <v>62</v>
      </c>
      <c r="AL741" t="s">
        <v>63</v>
      </c>
      <c r="AM741" t="s">
        <v>61</v>
      </c>
      <c r="AN741" t="s">
        <v>64</v>
      </c>
      <c r="AO741" t="s">
        <v>253</v>
      </c>
      <c r="AP741">
        <v>37</v>
      </c>
      <c r="AQ741" t="s">
        <v>254</v>
      </c>
      <c r="AR741" t="s">
        <v>48</v>
      </c>
      <c r="AS741">
        <v>2015</v>
      </c>
      <c r="AT741" t="s">
        <v>49</v>
      </c>
      <c r="AU741" t="s">
        <v>48</v>
      </c>
      <c r="AV741" t="s">
        <v>48</v>
      </c>
      <c r="AW741" t="s">
        <v>48</v>
      </c>
    </row>
    <row r="742" spans="1:49" x14ac:dyDescent="0.3">
      <c r="A742" t="s">
        <v>2042</v>
      </c>
      <c r="B742" t="s">
        <v>48</v>
      </c>
      <c r="C742" t="s">
        <v>49</v>
      </c>
      <c r="D742">
        <v>466.43</v>
      </c>
      <c r="E742">
        <v>0</v>
      </c>
      <c r="F742">
        <v>1.31</v>
      </c>
      <c r="G742" t="s">
        <v>2043</v>
      </c>
      <c r="H742" t="s">
        <v>2044</v>
      </c>
      <c r="I742" t="s">
        <v>52</v>
      </c>
      <c r="J742" t="s">
        <v>53</v>
      </c>
      <c r="K742">
        <v>27000</v>
      </c>
      <c r="L742" t="s">
        <v>126</v>
      </c>
      <c r="M742">
        <f>DOWNLOAD_2kLRbPnDtawQopEJ_UKtt22ud9U57gk8mqebZIeugNk[[#This Row],[Standard Value]]</f>
        <v>27000</v>
      </c>
      <c r="N742">
        <f>-LOG(DOWNLOAD_2kLRbPnDtawQopEJ_UKtt22ud9U57gk8mqebZIeugNk[[#This Row],[IC50]]*POWER(10, -9), 10)</f>
        <v>4.5686362358410122</v>
      </c>
      <c r="O742">
        <v>4.57</v>
      </c>
      <c r="P742" t="s">
        <v>48</v>
      </c>
      <c r="Q742">
        <v>302842</v>
      </c>
      <c r="R742" t="s">
        <v>127</v>
      </c>
      <c r="S742">
        <v>9.7899999999999991</v>
      </c>
      <c r="T742">
        <v>0.18</v>
      </c>
      <c r="U742">
        <v>3.26</v>
      </c>
      <c r="V742">
        <v>3.27</v>
      </c>
      <c r="W742">
        <v>0</v>
      </c>
      <c r="X742" t="s">
        <v>251</v>
      </c>
      <c r="Y742" t="s">
        <v>252</v>
      </c>
      <c r="Z742" t="s">
        <v>58</v>
      </c>
      <c r="AA742" t="s">
        <v>59</v>
      </c>
      <c r="AB742" t="s">
        <v>60</v>
      </c>
      <c r="AC742" t="s">
        <v>61</v>
      </c>
      <c r="AD742" t="s">
        <v>49</v>
      </c>
      <c r="AE742" t="s">
        <v>49</v>
      </c>
      <c r="AF742" t="s">
        <v>49</v>
      </c>
      <c r="AG742" t="s">
        <v>49</v>
      </c>
      <c r="AH742" t="s">
        <v>48</v>
      </c>
      <c r="AI742" t="s">
        <v>48</v>
      </c>
      <c r="AJ742" t="s">
        <v>48</v>
      </c>
      <c r="AK742" t="s">
        <v>62</v>
      </c>
      <c r="AL742" t="s">
        <v>63</v>
      </c>
      <c r="AM742" t="s">
        <v>61</v>
      </c>
      <c r="AN742" t="s">
        <v>64</v>
      </c>
      <c r="AO742" t="s">
        <v>253</v>
      </c>
      <c r="AP742">
        <v>37</v>
      </c>
      <c r="AQ742" t="s">
        <v>254</v>
      </c>
      <c r="AR742" t="s">
        <v>48</v>
      </c>
      <c r="AS742">
        <v>2015</v>
      </c>
      <c r="AT742" t="s">
        <v>49</v>
      </c>
      <c r="AU742" t="s">
        <v>48</v>
      </c>
      <c r="AV742" t="s">
        <v>48</v>
      </c>
      <c r="AW742" t="s">
        <v>48</v>
      </c>
    </row>
    <row r="743" spans="1:49" x14ac:dyDescent="0.3">
      <c r="A743" t="s">
        <v>2045</v>
      </c>
      <c r="B743" t="s">
        <v>48</v>
      </c>
      <c r="C743" t="s">
        <v>49</v>
      </c>
      <c r="D743">
        <v>542.54999999999995</v>
      </c>
      <c r="E743">
        <v>1</v>
      </c>
      <c r="F743">
        <v>1.68</v>
      </c>
      <c r="G743" t="s">
        <v>2046</v>
      </c>
      <c r="H743" t="s">
        <v>2047</v>
      </c>
      <c r="I743" t="s">
        <v>52</v>
      </c>
      <c r="J743" t="s">
        <v>53</v>
      </c>
      <c r="K743">
        <v>6700</v>
      </c>
      <c r="L743" t="s">
        <v>126</v>
      </c>
      <c r="M743">
        <f>DOWNLOAD_2kLRbPnDtawQopEJ_UKtt22ud9U57gk8mqebZIeugNk[[#This Row],[Standard Value]]</f>
        <v>6700</v>
      </c>
      <c r="N743">
        <f>-LOG(DOWNLOAD_2kLRbPnDtawQopEJ_UKtt22ud9U57gk8mqebZIeugNk[[#This Row],[IC50]]*POWER(10, -9), 10)</f>
        <v>5.1739251972991731</v>
      </c>
      <c r="O743">
        <v>5.17</v>
      </c>
      <c r="P743" t="s">
        <v>48</v>
      </c>
      <c r="Q743">
        <v>302853</v>
      </c>
      <c r="R743" t="s">
        <v>127</v>
      </c>
      <c r="S743">
        <v>9.5399999999999991</v>
      </c>
      <c r="T743">
        <v>0.19</v>
      </c>
      <c r="U743">
        <v>3.49</v>
      </c>
      <c r="V743">
        <v>3.52</v>
      </c>
      <c r="W743">
        <v>0</v>
      </c>
      <c r="X743" t="s">
        <v>251</v>
      </c>
      <c r="Y743" t="s">
        <v>252</v>
      </c>
      <c r="Z743" t="s">
        <v>58</v>
      </c>
      <c r="AA743" t="s">
        <v>59</v>
      </c>
      <c r="AB743" t="s">
        <v>60</v>
      </c>
      <c r="AC743" t="s">
        <v>61</v>
      </c>
      <c r="AD743" t="s">
        <v>49</v>
      </c>
      <c r="AE743" t="s">
        <v>49</v>
      </c>
      <c r="AF743" t="s">
        <v>49</v>
      </c>
      <c r="AG743" t="s">
        <v>49</v>
      </c>
      <c r="AH743" t="s">
        <v>48</v>
      </c>
      <c r="AI743" t="s">
        <v>48</v>
      </c>
      <c r="AJ743" t="s">
        <v>48</v>
      </c>
      <c r="AK743" t="s">
        <v>62</v>
      </c>
      <c r="AL743" t="s">
        <v>63</v>
      </c>
      <c r="AM743" t="s">
        <v>61</v>
      </c>
      <c r="AN743" t="s">
        <v>64</v>
      </c>
      <c r="AO743" t="s">
        <v>253</v>
      </c>
      <c r="AP743">
        <v>37</v>
      </c>
      <c r="AQ743" t="s">
        <v>254</v>
      </c>
      <c r="AR743" t="s">
        <v>48</v>
      </c>
      <c r="AS743">
        <v>2015</v>
      </c>
      <c r="AT743" t="s">
        <v>49</v>
      </c>
      <c r="AU743" t="s">
        <v>48</v>
      </c>
      <c r="AV743" t="s">
        <v>48</v>
      </c>
      <c r="AW743" t="s">
        <v>48</v>
      </c>
    </row>
    <row r="744" spans="1:49" x14ac:dyDescent="0.3">
      <c r="A744" t="s">
        <v>2048</v>
      </c>
      <c r="B744" t="s">
        <v>48</v>
      </c>
      <c r="C744" t="s">
        <v>49</v>
      </c>
      <c r="D744">
        <v>722.7</v>
      </c>
      <c r="E744">
        <v>3</v>
      </c>
      <c r="F744">
        <v>1.28</v>
      </c>
      <c r="G744" t="s">
        <v>470</v>
      </c>
      <c r="H744" t="s">
        <v>2049</v>
      </c>
      <c r="I744" t="s">
        <v>52</v>
      </c>
      <c r="J744" t="s">
        <v>53</v>
      </c>
      <c r="K744">
        <v>50000</v>
      </c>
      <c r="L744" t="s">
        <v>126</v>
      </c>
      <c r="M744">
        <f>DOWNLOAD_2kLRbPnDtawQopEJ_UKtt22ud9U57gk8mqebZIeugNk[[#This Row],[Standard Value]]</f>
        <v>50000</v>
      </c>
      <c r="N744">
        <f>-LOG(DOWNLOAD_2kLRbPnDtawQopEJ_UKtt22ud9U57gk8mqebZIeugNk[[#This Row],[IC50]]*POWER(10, -9), 10)</f>
        <v>4.3010299956639804</v>
      </c>
      <c r="O744">
        <v>4.3</v>
      </c>
      <c r="P744" t="s">
        <v>48</v>
      </c>
      <c r="R744" t="s">
        <v>127</v>
      </c>
      <c r="S744">
        <v>5.95</v>
      </c>
      <c r="T744">
        <v>0.11</v>
      </c>
      <c r="U744">
        <v>3.02</v>
      </c>
      <c r="V744">
        <v>1.74</v>
      </c>
      <c r="W744">
        <v>0</v>
      </c>
      <c r="X744" t="s">
        <v>645</v>
      </c>
      <c r="Y744" t="s">
        <v>646</v>
      </c>
      <c r="Z744" t="s">
        <v>58</v>
      </c>
      <c r="AA744" t="s">
        <v>59</v>
      </c>
      <c r="AB744" t="s">
        <v>60</v>
      </c>
      <c r="AC744" t="s">
        <v>61</v>
      </c>
      <c r="AD744" t="s">
        <v>49</v>
      </c>
      <c r="AE744" t="s">
        <v>49</v>
      </c>
      <c r="AF744" t="s">
        <v>49</v>
      </c>
      <c r="AG744" t="s">
        <v>49</v>
      </c>
      <c r="AH744" t="s">
        <v>48</v>
      </c>
      <c r="AI744" t="s">
        <v>48</v>
      </c>
      <c r="AJ744" t="s">
        <v>647</v>
      </c>
      <c r="AK744" t="s">
        <v>62</v>
      </c>
      <c r="AL744" t="s">
        <v>63</v>
      </c>
      <c r="AM744" t="s">
        <v>61</v>
      </c>
      <c r="AN744" t="s">
        <v>64</v>
      </c>
      <c r="AO744" t="s">
        <v>648</v>
      </c>
      <c r="AP744">
        <v>1</v>
      </c>
      <c r="AQ744" t="s">
        <v>66</v>
      </c>
      <c r="AR744" t="s">
        <v>329</v>
      </c>
      <c r="AS744">
        <v>2016</v>
      </c>
      <c r="AT744" t="s">
        <v>49</v>
      </c>
      <c r="AU744" t="s">
        <v>48</v>
      </c>
      <c r="AV744" t="s">
        <v>48</v>
      </c>
      <c r="AW744" t="s">
        <v>48</v>
      </c>
    </row>
    <row r="745" spans="1:49" x14ac:dyDescent="0.3">
      <c r="A745" t="s">
        <v>2050</v>
      </c>
      <c r="B745" t="s">
        <v>48</v>
      </c>
      <c r="C745" t="s">
        <v>49</v>
      </c>
      <c r="D745">
        <v>738.58</v>
      </c>
      <c r="E745">
        <v>2</v>
      </c>
      <c r="F745">
        <v>5.65</v>
      </c>
      <c r="G745" t="s">
        <v>58</v>
      </c>
      <c r="H745" t="s">
        <v>2051</v>
      </c>
      <c r="I745" t="s">
        <v>52</v>
      </c>
      <c r="J745" t="s">
        <v>53</v>
      </c>
      <c r="K745">
        <v>9780</v>
      </c>
      <c r="L745" t="s">
        <v>126</v>
      </c>
      <c r="M745">
        <f>DOWNLOAD_2kLRbPnDtawQopEJ_UKtt22ud9U57gk8mqebZIeugNk[[#This Row],[Standard Value]]</f>
        <v>9780</v>
      </c>
      <c r="N745">
        <f>-LOG(DOWNLOAD_2kLRbPnDtawQopEJ_UKtt22ud9U57gk8mqebZIeugNk[[#This Row],[IC50]]*POWER(10, -9), 10)</f>
        <v>5.009661145212398</v>
      </c>
      <c r="O745">
        <v>5.01</v>
      </c>
      <c r="P745" t="s">
        <v>48</v>
      </c>
      <c r="R745" t="s">
        <v>127</v>
      </c>
      <c r="S745">
        <v>6.78</v>
      </c>
      <c r="T745">
        <v>0.15</v>
      </c>
      <c r="U745">
        <v>-0.64</v>
      </c>
      <c r="V745">
        <v>4.6100000000000003</v>
      </c>
      <c r="W745">
        <v>0</v>
      </c>
      <c r="X745" t="s">
        <v>585</v>
      </c>
      <c r="Y745" t="s">
        <v>586</v>
      </c>
      <c r="Z745" t="s">
        <v>58</v>
      </c>
      <c r="AA745" t="s">
        <v>59</v>
      </c>
      <c r="AB745" t="s">
        <v>60</v>
      </c>
      <c r="AC745" t="s">
        <v>61</v>
      </c>
      <c r="AD745" t="s">
        <v>49</v>
      </c>
      <c r="AE745" t="s">
        <v>49</v>
      </c>
      <c r="AF745" t="s">
        <v>49</v>
      </c>
      <c r="AG745" t="s">
        <v>49</v>
      </c>
      <c r="AH745" t="s">
        <v>48</v>
      </c>
      <c r="AI745" t="s">
        <v>48</v>
      </c>
      <c r="AJ745" t="s">
        <v>48</v>
      </c>
      <c r="AK745" t="s">
        <v>62</v>
      </c>
      <c r="AL745" t="s">
        <v>63</v>
      </c>
      <c r="AM745" t="s">
        <v>61</v>
      </c>
      <c r="AN745" t="s">
        <v>64</v>
      </c>
      <c r="AO745" t="s">
        <v>587</v>
      </c>
      <c r="AP745">
        <v>1</v>
      </c>
      <c r="AQ745" t="s">
        <v>66</v>
      </c>
      <c r="AR745" t="s">
        <v>131</v>
      </c>
      <c r="AS745">
        <v>2015</v>
      </c>
      <c r="AT745" t="s">
        <v>49</v>
      </c>
      <c r="AU745" t="s">
        <v>48</v>
      </c>
      <c r="AV745" t="s">
        <v>48</v>
      </c>
      <c r="AW745" t="s">
        <v>48</v>
      </c>
    </row>
    <row r="746" spans="1:49" x14ac:dyDescent="0.3">
      <c r="A746" t="s">
        <v>2052</v>
      </c>
      <c r="B746" t="s">
        <v>48</v>
      </c>
      <c r="C746" t="s">
        <v>49</v>
      </c>
      <c r="D746">
        <v>469.43</v>
      </c>
      <c r="E746">
        <v>0</v>
      </c>
      <c r="F746">
        <v>1.82</v>
      </c>
      <c r="G746" t="s">
        <v>2053</v>
      </c>
      <c r="H746" t="s">
        <v>2054</v>
      </c>
      <c r="I746" t="s">
        <v>52</v>
      </c>
      <c r="J746" t="s">
        <v>53</v>
      </c>
      <c r="K746">
        <v>1100</v>
      </c>
      <c r="L746" t="s">
        <v>126</v>
      </c>
      <c r="M746">
        <f>DOWNLOAD_2kLRbPnDtawQopEJ_UKtt22ud9U57gk8mqebZIeugNk[[#This Row],[Standard Value]]</f>
        <v>1100</v>
      </c>
      <c r="N746">
        <f>-LOG(DOWNLOAD_2kLRbPnDtawQopEJ_UKtt22ud9U57gk8mqebZIeugNk[[#This Row],[IC50]]*POWER(10, -9), 10)</f>
        <v>5.9586073148417746</v>
      </c>
      <c r="O746">
        <v>5.96</v>
      </c>
      <c r="P746" t="s">
        <v>48</v>
      </c>
      <c r="Q746">
        <v>302833</v>
      </c>
      <c r="R746" t="s">
        <v>127</v>
      </c>
      <c r="S746">
        <v>12.69</v>
      </c>
      <c r="T746">
        <v>0.24</v>
      </c>
      <c r="U746">
        <v>4.1399999999999997</v>
      </c>
      <c r="V746">
        <v>4.26</v>
      </c>
      <c r="W746">
        <v>0</v>
      </c>
      <c r="X746" t="s">
        <v>251</v>
      </c>
      <c r="Y746" t="s">
        <v>252</v>
      </c>
      <c r="Z746" t="s">
        <v>58</v>
      </c>
      <c r="AA746" t="s">
        <v>59</v>
      </c>
      <c r="AB746" t="s">
        <v>60</v>
      </c>
      <c r="AC746" t="s">
        <v>61</v>
      </c>
      <c r="AD746" t="s">
        <v>49</v>
      </c>
      <c r="AE746" t="s">
        <v>49</v>
      </c>
      <c r="AF746" t="s">
        <v>49</v>
      </c>
      <c r="AG746" t="s">
        <v>49</v>
      </c>
      <c r="AH746" t="s">
        <v>48</v>
      </c>
      <c r="AI746" t="s">
        <v>48</v>
      </c>
      <c r="AJ746" t="s">
        <v>48</v>
      </c>
      <c r="AK746" t="s">
        <v>62</v>
      </c>
      <c r="AL746" t="s">
        <v>63</v>
      </c>
      <c r="AM746" t="s">
        <v>61</v>
      </c>
      <c r="AN746" t="s">
        <v>64</v>
      </c>
      <c r="AO746" t="s">
        <v>253</v>
      </c>
      <c r="AP746">
        <v>37</v>
      </c>
      <c r="AQ746" t="s">
        <v>254</v>
      </c>
      <c r="AR746" t="s">
        <v>48</v>
      </c>
      <c r="AS746">
        <v>2015</v>
      </c>
      <c r="AT746" t="s">
        <v>49</v>
      </c>
      <c r="AU746" t="s">
        <v>48</v>
      </c>
      <c r="AV746" t="s">
        <v>48</v>
      </c>
      <c r="AW746" t="s">
        <v>48</v>
      </c>
    </row>
    <row r="747" spans="1:49" x14ac:dyDescent="0.3">
      <c r="A747" t="s">
        <v>2055</v>
      </c>
      <c r="B747" t="s">
        <v>48</v>
      </c>
      <c r="C747" t="s">
        <v>49</v>
      </c>
      <c r="D747">
        <v>491.44</v>
      </c>
      <c r="E747">
        <v>0</v>
      </c>
      <c r="F747">
        <v>1.87</v>
      </c>
      <c r="G747" t="s">
        <v>2056</v>
      </c>
      <c r="H747" t="s">
        <v>2057</v>
      </c>
      <c r="I747" t="s">
        <v>52</v>
      </c>
      <c r="J747" t="s">
        <v>53</v>
      </c>
      <c r="K747">
        <v>100</v>
      </c>
      <c r="L747" t="s">
        <v>126</v>
      </c>
      <c r="M747">
        <f>DOWNLOAD_2kLRbPnDtawQopEJ_UKtt22ud9U57gk8mqebZIeugNk[[#This Row],[Standard Value]]</f>
        <v>100</v>
      </c>
      <c r="N747">
        <f>-LOG(DOWNLOAD_2kLRbPnDtawQopEJ_UKtt22ud9U57gk8mqebZIeugNk[[#This Row],[IC50]]*POWER(10, -9), 10)</f>
        <v>7</v>
      </c>
      <c r="O747">
        <v>7</v>
      </c>
      <c r="P747" t="s">
        <v>48</v>
      </c>
      <c r="Q747">
        <v>302952</v>
      </c>
      <c r="R747" t="s">
        <v>127</v>
      </c>
      <c r="S747">
        <v>14.24</v>
      </c>
      <c r="T747">
        <v>0.27</v>
      </c>
      <c r="U747">
        <v>5.13</v>
      </c>
      <c r="V747">
        <v>4.8600000000000003</v>
      </c>
      <c r="W747">
        <v>0</v>
      </c>
      <c r="X747" t="s">
        <v>251</v>
      </c>
      <c r="Y747" t="s">
        <v>252</v>
      </c>
      <c r="Z747" t="s">
        <v>58</v>
      </c>
      <c r="AA747" t="s">
        <v>59</v>
      </c>
      <c r="AB747" t="s">
        <v>60</v>
      </c>
      <c r="AC747" t="s">
        <v>61</v>
      </c>
      <c r="AD747" t="s">
        <v>49</v>
      </c>
      <c r="AE747" t="s">
        <v>49</v>
      </c>
      <c r="AF747" t="s">
        <v>49</v>
      </c>
      <c r="AG747" t="s">
        <v>49</v>
      </c>
      <c r="AH747" t="s">
        <v>48</v>
      </c>
      <c r="AI747" t="s">
        <v>48</v>
      </c>
      <c r="AJ747" t="s">
        <v>48</v>
      </c>
      <c r="AK747" t="s">
        <v>62</v>
      </c>
      <c r="AL747" t="s">
        <v>63</v>
      </c>
      <c r="AM747" t="s">
        <v>61</v>
      </c>
      <c r="AN747" t="s">
        <v>64</v>
      </c>
      <c r="AO747" t="s">
        <v>253</v>
      </c>
      <c r="AP747">
        <v>37</v>
      </c>
      <c r="AQ747" t="s">
        <v>254</v>
      </c>
      <c r="AR747" t="s">
        <v>48</v>
      </c>
      <c r="AS747">
        <v>2015</v>
      </c>
      <c r="AT747" t="s">
        <v>49</v>
      </c>
      <c r="AU747" t="s">
        <v>48</v>
      </c>
      <c r="AV747" t="s">
        <v>48</v>
      </c>
      <c r="AW747" t="s">
        <v>48</v>
      </c>
    </row>
    <row r="748" spans="1:49" x14ac:dyDescent="0.3">
      <c r="A748" t="s">
        <v>2018</v>
      </c>
      <c r="B748" t="s">
        <v>48</v>
      </c>
      <c r="C748" t="s">
        <v>49</v>
      </c>
      <c r="D748">
        <v>466.43</v>
      </c>
      <c r="E748">
        <v>0</v>
      </c>
      <c r="F748">
        <v>1.31</v>
      </c>
      <c r="G748" t="s">
        <v>2019</v>
      </c>
      <c r="H748" t="s">
        <v>2020</v>
      </c>
      <c r="I748" t="s">
        <v>52</v>
      </c>
      <c r="J748" t="s">
        <v>53</v>
      </c>
      <c r="K748">
        <v>200</v>
      </c>
      <c r="L748" t="s">
        <v>126</v>
      </c>
      <c r="M748">
        <f>DOWNLOAD_2kLRbPnDtawQopEJ_UKtt22ud9U57gk8mqebZIeugNk[[#This Row],[Standard Value]]</f>
        <v>200</v>
      </c>
      <c r="N748">
        <f>-LOG(DOWNLOAD_2kLRbPnDtawQopEJ_UKtt22ud9U57gk8mqebZIeugNk[[#This Row],[IC50]]*POWER(10, -9), 10)</f>
        <v>6.6989700043360187</v>
      </c>
      <c r="O748">
        <v>6.7</v>
      </c>
      <c r="P748" t="s">
        <v>48</v>
      </c>
      <c r="Q748">
        <v>302944</v>
      </c>
      <c r="R748" t="s">
        <v>127</v>
      </c>
      <c r="S748">
        <v>14.36</v>
      </c>
      <c r="T748">
        <v>0.27</v>
      </c>
      <c r="U748">
        <v>5.39</v>
      </c>
      <c r="V748">
        <v>4.8</v>
      </c>
      <c r="W748">
        <v>0</v>
      </c>
      <c r="X748" t="s">
        <v>251</v>
      </c>
      <c r="Y748" t="s">
        <v>252</v>
      </c>
      <c r="Z748" t="s">
        <v>58</v>
      </c>
      <c r="AA748" t="s">
        <v>59</v>
      </c>
      <c r="AB748" t="s">
        <v>60</v>
      </c>
      <c r="AC748" t="s">
        <v>61</v>
      </c>
      <c r="AD748" t="s">
        <v>49</v>
      </c>
      <c r="AE748" t="s">
        <v>49</v>
      </c>
      <c r="AF748" t="s">
        <v>49</v>
      </c>
      <c r="AG748" t="s">
        <v>49</v>
      </c>
      <c r="AH748" t="s">
        <v>48</v>
      </c>
      <c r="AI748" t="s">
        <v>48</v>
      </c>
      <c r="AJ748" t="s">
        <v>48</v>
      </c>
      <c r="AK748" t="s">
        <v>62</v>
      </c>
      <c r="AL748" t="s">
        <v>63</v>
      </c>
      <c r="AM748" t="s">
        <v>61</v>
      </c>
      <c r="AN748" t="s">
        <v>64</v>
      </c>
      <c r="AO748" t="s">
        <v>253</v>
      </c>
      <c r="AP748">
        <v>37</v>
      </c>
      <c r="AQ748" t="s">
        <v>254</v>
      </c>
      <c r="AR748" t="s">
        <v>48</v>
      </c>
      <c r="AS748">
        <v>2015</v>
      </c>
      <c r="AT748" t="s">
        <v>49</v>
      </c>
      <c r="AU748" t="s">
        <v>48</v>
      </c>
      <c r="AV748" t="s">
        <v>48</v>
      </c>
      <c r="AW748" t="s">
        <v>48</v>
      </c>
    </row>
    <row r="749" spans="1:49" x14ac:dyDescent="0.3">
      <c r="A749" t="s">
        <v>2058</v>
      </c>
      <c r="B749" t="s">
        <v>48</v>
      </c>
      <c r="C749" t="s">
        <v>49</v>
      </c>
      <c r="D749">
        <v>532.49</v>
      </c>
      <c r="E749">
        <v>2</v>
      </c>
      <c r="F749">
        <v>1.5</v>
      </c>
      <c r="G749" t="s">
        <v>2059</v>
      </c>
      <c r="H749" t="s">
        <v>2060</v>
      </c>
      <c r="I749" t="s">
        <v>52</v>
      </c>
      <c r="J749" t="s">
        <v>53</v>
      </c>
      <c r="K749">
        <v>16300</v>
      </c>
      <c r="L749" t="s">
        <v>126</v>
      </c>
      <c r="M749">
        <f>DOWNLOAD_2kLRbPnDtawQopEJ_UKtt22ud9U57gk8mqebZIeugNk[[#This Row],[Standard Value]]</f>
        <v>16300</v>
      </c>
      <c r="N749">
        <f>-LOG(DOWNLOAD_2kLRbPnDtawQopEJ_UKtt22ud9U57gk8mqebZIeugNk[[#This Row],[IC50]]*POWER(10, -9), 10)</f>
        <v>4.7878123955960419</v>
      </c>
      <c r="O749">
        <v>4.79</v>
      </c>
      <c r="P749" t="s">
        <v>48</v>
      </c>
      <c r="Q749">
        <v>302800</v>
      </c>
      <c r="R749" t="s">
        <v>127</v>
      </c>
      <c r="S749">
        <v>8.99</v>
      </c>
      <c r="T749">
        <v>0.17</v>
      </c>
      <c r="U749">
        <v>3.29</v>
      </c>
      <c r="V749">
        <v>3.04</v>
      </c>
      <c r="W749">
        <v>0</v>
      </c>
      <c r="X749" t="s">
        <v>251</v>
      </c>
      <c r="Y749" t="s">
        <v>252</v>
      </c>
      <c r="Z749" t="s">
        <v>58</v>
      </c>
      <c r="AA749" t="s">
        <v>59</v>
      </c>
      <c r="AB749" t="s">
        <v>60</v>
      </c>
      <c r="AC749" t="s">
        <v>61</v>
      </c>
      <c r="AD749" t="s">
        <v>49</v>
      </c>
      <c r="AE749" t="s">
        <v>49</v>
      </c>
      <c r="AF749" t="s">
        <v>49</v>
      </c>
      <c r="AG749" t="s">
        <v>49</v>
      </c>
      <c r="AH749" t="s">
        <v>48</v>
      </c>
      <c r="AI749" t="s">
        <v>48</v>
      </c>
      <c r="AJ749" t="s">
        <v>48</v>
      </c>
      <c r="AK749" t="s">
        <v>62</v>
      </c>
      <c r="AL749" t="s">
        <v>63</v>
      </c>
      <c r="AM749" t="s">
        <v>61</v>
      </c>
      <c r="AN749" t="s">
        <v>64</v>
      </c>
      <c r="AO749" t="s">
        <v>253</v>
      </c>
      <c r="AP749">
        <v>37</v>
      </c>
      <c r="AQ749" t="s">
        <v>254</v>
      </c>
      <c r="AR749" t="s">
        <v>48</v>
      </c>
      <c r="AS749">
        <v>2015</v>
      </c>
      <c r="AT749" t="s">
        <v>49</v>
      </c>
      <c r="AU749" t="s">
        <v>48</v>
      </c>
      <c r="AV749" t="s">
        <v>48</v>
      </c>
      <c r="AW749" t="s">
        <v>48</v>
      </c>
    </row>
    <row r="750" spans="1:49" x14ac:dyDescent="0.3">
      <c r="A750" t="s">
        <v>2061</v>
      </c>
      <c r="B750" t="s">
        <v>48</v>
      </c>
      <c r="C750" t="s">
        <v>49</v>
      </c>
      <c r="D750">
        <v>526.48</v>
      </c>
      <c r="E750">
        <v>2</v>
      </c>
      <c r="F750">
        <v>1.22</v>
      </c>
      <c r="G750" t="s">
        <v>2062</v>
      </c>
      <c r="H750" t="s">
        <v>2063</v>
      </c>
      <c r="I750" t="s">
        <v>52</v>
      </c>
      <c r="J750" t="s">
        <v>53</v>
      </c>
      <c r="K750">
        <v>8500</v>
      </c>
      <c r="L750" t="s">
        <v>126</v>
      </c>
      <c r="M750">
        <f>DOWNLOAD_2kLRbPnDtawQopEJ_UKtt22ud9U57gk8mqebZIeugNk[[#This Row],[Standard Value]]</f>
        <v>8500</v>
      </c>
      <c r="N750">
        <f>-LOG(DOWNLOAD_2kLRbPnDtawQopEJ_UKtt22ud9U57gk8mqebZIeugNk[[#This Row],[IC50]]*POWER(10, -9), 10)</f>
        <v>5.0705810742857071</v>
      </c>
      <c r="O750">
        <v>5.07</v>
      </c>
      <c r="P750" t="s">
        <v>48</v>
      </c>
      <c r="Q750">
        <v>302803</v>
      </c>
      <c r="R750" t="s">
        <v>127</v>
      </c>
      <c r="S750">
        <v>9.6300000000000008</v>
      </c>
      <c r="T750">
        <v>0.18</v>
      </c>
      <c r="U750">
        <v>3.85</v>
      </c>
      <c r="V750">
        <v>3.21</v>
      </c>
      <c r="W750">
        <v>0</v>
      </c>
      <c r="X750" t="s">
        <v>251</v>
      </c>
      <c r="Y750" t="s">
        <v>252</v>
      </c>
      <c r="Z750" t="s">
        <v>58</v>
      </c>
      <c r="AA750" t="s">
        <v>59</v>
      </c>
      <c r="AB750" t="s">
        <v>60</v>
      </c>
      <c r="AC750" t="s">
        <v>61</v>
      </c>
      <c r="AD750" t="s">
        <v>49</v>
      </c>
      <c r="AE750" t="s">
        <v>49</v>
      </c>
      <c r="AF750" t="s">
        <v>49</v>
      </c>
      <c r="AG750" t="s">
        <v>49</v>
      </c>
      <c r="AH750" t="s">
        <v>48</v>
      </c>
      <c r="AI750" t="s">
        <v>48</v>
      </c>
      <c r="AJ750" t="s">
        <v>48</v>
      </c>
      <c r="AK750" t="s">
        <v>62</v>
      </c>
      <c r="AL750" t="s">
        <v>63</v>
      </c>
      <c r="AM750" t="s">
        <v>61</v>
      </c>
      <c r="AN750" t="s">
        <v>64</v>
      </c>
      <c r="AO750" t="s">
        <v>253</v>
      </c>
      <c r="AP750">
        <v>37</v>
      </c>
      <c r="AQ750" t="s">
        <v>254</v>
      </c>
      <c r="AR750" t="s">
        <v>48</v>
      </c>
      <c r="AS750">
        <v>2015</v>
      </c>
      <c r="AT750" t="s">
        <v>49</v>
      </c>
      <c r="AU750" t="s">
        <v>48</v>
      </c>
      <c r="AV750" t="s">
        <v>48</v>
      </c>
      <c r="AW750" t="s">
        <v>48</v>
      </c>
    </row>
    <row r="751" spans="1:49" x14ac:dyDescent="0.3">
      <c r="A751" t="s">
        <v>2064</v>
      </c>
      <c r="B751" t="s">
        <v>48</v>
      </c>
      <c r="C751" t="s">
        <v>49</v>
      </c>
      <c r="D751">
        <v>498.47</v>
      </c>
      <c r="E751">
        <v>0</v>
      </c>
      <c r="F751">
        <v>0.31</v>
      </c>
      <c r="G751" t="s">
        <v>907</v>
      </c>
      <c r="H751" t="s">
        <v>2065</v>
      </c>
      <c r="I751" t="s">
        <v>52</v>
      </c>
      <c r="J751" t="s">
        <v>53</v>
      </c>
      <c r="K751">
        <v>1723</v>
      </c>
      <c r="L751" t="s">
        <v>126</v>
      </c>
      <c r="M751">
        <f>DOWNLOAD_2kLRbPnDtawQopEJ_UKtt22ud9U57gk8mqebZIeugNk[[#This Row],[Standard Value]]</f>
        <v>1723</v>
      </c>
      <c r="N751">
        <f>-LOG(DOWNLOAD_2kLRbPnDtawQopEJ_UKtt22ud9U57gk8mqebZIeugNk[[#This Row],[IC50]]*POWER(10, -9), 10)</f>
        <v>5.7637147225519705</v>
      </c>
      <c r="O751">
        <v>5.76</v>
      </c>
      <c r="P751" t="s">
        <v>48</v>
      </c>
      <c r="R751" t="s">
        <v>127</v>
      </c>
      <c r="S751">
        <v>11.56</v>
      </c>
      <c r="T751">
        <v>0.22</v>
      </c>
      <c r="U751">
        <v>5.45</v>
      </c>
      <c r="V751">
        <v>3.59</v>
      </c>
      <c r="W751">
        <v>0</v>
      </c>
      <c r="X751" t="s">
        <v>2066</v>
      </c>
      <c r="Y751" t="s">
        <v>2067</v>
      </c>
      <c r="Z751" t="s">
        <v>58</v>
      </c>
      <c r="AA751" t="s">
        <v>59</v>
      </c>
      <c r="AB751" t="s">
        <v>60</v>
      </c>
      <c r="AC751" t="s">
        <v>61</v>
      </c>
      <c r="AD751" t="s">
        <v>49</v>
      </c>
      <c r="AE751" t="s">
        <v>49</v>
      </c>
      <c r="AF751" t="s">
        <v>49</v>
      </c>
      <c r="AG751" t="s">
        <v>49</v>
      </c>
      <c r="AH751" t="s">
        <v>48</v>
      </c>
      <c r="AI751" t="s">
        <v>48</v>
      </c>
      <c r="AJ751" t="s">
        <v>48</v>
      </c>
      <c r="AK751" t="s">
        <v>62</v>
      </c>
      <c r="AL751" t="s">
        <v>63</v>
      </c>
      <c r="AM751" t="s">
        <v>61</v>
      </c>
      <c r="AN751" t="s">
        <v>64</v>
      </c>
      <c r="AO751" t="s">
        <v>2068</v>
      </c>
      <c r="AP751">
        <v>1</v>
      </c>
      <c r="AQ751" t="s">
        <v>66</v>
      </c>
      <c r="AR751" t="s">
        <v>267</v>
      </c>
      <c r="AS751">
        <v>2022</v>
      </c>
      <c r="AT751" t="s">
        <v>49</v>
      </c>
      <c r="AU751" t="s">
        <v>2069</v>
      </c>
      <c r="AV751" t="s">
        <v>269</v>
      </c>
      <c r="AW751" t="s">
        <v>48</v>
      </c>
    </row>
    <row r="752" spans="1:49" x14ac:dyDescent="0.3">
      <c r="A752" t="s">
        <v>2070</v>
      </c>
      <c r="B752" t="s">
        <v>48</v>
      </c>
      <c r="C752" t="s">
        <v>49</v>
      </c>
      <c r="D752">
        <v>362.86</v>
      </c>
      <c r="E752">
        <v>0</v>
      </c>
      <c r="F752">
        <v>5</v>
      </c>
      <c r="G752" t="s">
        <v>312</v>
      </c>
      <c r="H752" t="s">
        <v>2071</v>
      </c>
      <c r="I752" t="s">
        <v>52</v>
      </c>
      <c r="J752" t="s">
        <v>53</v>
      </c>
      <c r="K752">
        <v>3200</v>
      </c>
      <c r="L752" t="s">
        <v>126</v>
      </c>
      <c r="M752">
        <f>DOWNLOAD_2kLRbPnDtawQopEJ_UKtt22ud9U57gk8mqebZIeugNk[[#This Row],[Standard Value]]</f>
        <v>3200</v>
      </c>
      <c r="N752">
        <f>-LOG(DOWNLOAD_2kLRbPnDtawQopEJ_UKtt22ud9U57gk8mqebZIeugNk[[#This Row],[IC50]]*POWER(10, -9), 10)</f>
        <v>5.4948500216800937</v>
      </c>
      <c r="O752">
        <v>5.5</v>
      </c>
      <c r="P752" t="s">
        <v>48</v>
      </c>
      <c r="R752" t="s">
        <v>127</v>
      </c>
      <c r="S752">
        <v>15.14</v>
      </c>
      <c r="T752">
        <v>0.28999999999999998</v>
      </c>
      <c r="U752">
        <v>0.49</v>
      </c>
      <c r="V752">
        <v>8.23</v>
      </c>
      <c r="W752">
        <v>0</v>
      </c>
      <c r="X752" t="s">
        <v>563</v>
      </c>
      <c r="Y752" t="s">
        <v>564</v>
      </c>
      <c r="Z752" t="s">
        <v>58</v>
      </c>
      <c r="AA752" t="s">
        <v>59</v>
      </c>
      <c r="AB752" t="s">
        <v>60</v>
      </c>
      <c r="AC752" t="s">
        <v>61</v>
      </c>
      <c r="AD752" t="s">
        <v>49</v>
      </c>
      <c r="AE752" t="s">
        <v>49</v>
      </c>
      <c r="AF752" t="s">
        <v>49</v>
      </c>
      <c r="AG752" t="s">
        <v>49</v>
      </c>
      <c r="AH752" t="s">
        <v>48</v>
      </c>
      <c r="AI752" t="s">
        <v>48</v>
      </c>
      <c r="AJ752" t="s">
        <v>48</v>
      </c>
      <c r="AK752" t="s">
        <v>62</v>
      </c>
      <c r="AL752" t="s">
        <v>63</v>
      </c>
      <c r="AM752" t="s">
        <v>61</v>
      </c>
      <c r="AN752" t="s">
        <v>64</v>
      </c>
      <c r="AO752" t="s">
        <v>565</v>
      </c>
      <c r="AP752">
        <v>1</v>
      </c>
      <c r="AQ752" t="s">
        <v>66</v>
      </c>
      <c r="AR752" t="s">
        <v>76</v>
      </c>
      <c r="AS752">
        <v>2019</v>
      </c>
      <c r="AT752" t="s">
        <v>49</v>
      </c>
      <c r="AU752" t="s">
        <v>48</v>
      </c>
      <c r="AV752" t="s">
        <v>48</v>
      </c>
      <c r="AW752" t="s">
        <v>48</v>
      </c>
    </row>
    <row r="753" spans="1:49" x14ac:dyDescent="0.3">
      <c r="A753" t="s">
        <v>2072</v>
      </c>
      <c r="B753" t="s">
        <v>48</v>
      </c>
      <c r="C753" t="s">
        <v>49</v>
      </c>
      <c r="D753">
        <v>473.46</v>
      </c>
      <c r="E753">
        <v>0</v>
      </c>
      <c r="F753">
        <v>0.95</v>
      </c>
      <c r="G753" t="s">
        <v>2073</v>
      </c>
      <c r="H753" t="s">
        <v>2074</v>
      </c>
      <c r="I753" t="s">
        <v>52</v>
      </c>
      <c r="J753" t="s">
        <v>53</v>
      </c>
      <c r="K753">
        <v>7600</v>
      </c>
      <c r="L753" t="s">
        <v>126</v>
      </c>
      <c r="M753">
        <f>DOWNLOAD_2kLRbPnDtawQopEJ_UKtt22ud9U57gk8mqebZIeugNk[[#This Row],[Standard Value]]</f>
        <v>7600</v>
      </c>
      <c r="N753">
        <f>-LOG(DOWNLOAD_2kLRbPnDtawQopEJ_UKtt22ud9U57gk8mqebZIeugNk[[#This Row],[IC50]]*POWER(10, -9), 10)</f>
        <v>5.1191864077192086</v>
      </c>
      <c r="O753">
        <v>5.12</v>
      </c>
      <c r="P753" t="s">
        <v>48</v>
      </c>
      <c r="Q753">
        <v>302911</v>
      </c>
      <c r="R753" t="s">
        <v>127</v>
      </c>
      <c r="S753">
        <v>10.81</v>
      </c>
      <c r="T753">
        <v>0.21</v>
      </c>
      <c r="U753">
        <v>4.17</v>
      </c>
      <c r="V753">
        <v>3.82</v>
      </c>
      <c r="W753">
        <v>0</v>
      </c>
      <c r="X753" t="s">
        <v>251</v>
      </c>
      <c r="Y753" t="s">
        <v>252</v>
      </c>
      <c r="Z753" t="s">
        <v>58</v>
      </c>
      <c r="AA753" t="s">
        <v>59</v>
      </c>
      <c r="AB753" t="s">
        <v>60</v>
      </c>
      <c r="AC753" t="s">
        <v>61</v>
      </c>
      <c r="AD753" t="s">
        <v>49</v>
      </c>
      <c r="AE753" t="s">
        <v>49</v>
      </c>
      <c r="AF753" t="s">
        <v>49</v>
      </c>
      <c r="AG753" t="s">
        <v>49</v>
      </c>
      <c r="AH753" t="s">
        <v>48</v>
      </c>
      <c r="AI753" t="s">
        <v>48</v>
      </c>
      <c r="AJ753" t="s">
        <v>48</v>
      </c>
      <c r="AK753" t="s">
        <v>62</v>
      </c>
      <c r="AL753" t="s">
        <v>63</v>
      </c>
      <c r="AM753" t="s">
        <v>61</v>
      </c>
      <c r="AN753" t="s">
        <v>64</v>
      </c>
      <c r="AO753" t="s">
        <v>253</v>
      </c>
      <c r="AP753">
        <v>37</v>
      </c>
      <c r="AQ753" t="s">
        <v>254</v>
      </c>
      <c r="AR753" t="s">
        <v>48</v>
      </c>
      <c r="AS753">
        <v>2015</v>
      </c>
      <c r="AT753" t="s">
        <v>49</v>
      </c>
      <c r="AU753" t="s">
        <v>48</v>
      </c>
      <c r="AV753" t="s">
        <v>48</v>
      </c>
      <c r="AW753" t="s">
        <v>48</v>
      </c>
    </row>
    <row r="754" spans="1:49" x14ac:dyDescent="0.3">
      <c r="A754" t="s">
        <v>2075</v>
      </c>
      <c r="B754" t="s">
        <v>48</v>
      </c>
      <c r="C754" t="s">
        <v>49</v>
      </c>
      <c r="D754">
        <v>487.49</v>
      </c>
      <c r="E754">
        <v>0</v>
      </c>
      <c r="F754">
        <v>1.39</v>
      </c>
      <c r="G754" t="s">
        <v>2076</v>
      </c>
      <c r="H754" t="s">
        <v>2077</v>
      </c>
      <c r="I754" t="s">
        <v>52</v>
      </c>
      <c r="J754" t="s">
        <v>53</v>
      </c>
      <c r="K754">
        <v>2900</v>
      </c>
      <c r="L754" t="s">
        <v>126</v>
      </c>
      <c r="M754">
        <f>DOWNLOAD_2kLRbPnDtawQopEJ_UKtt22ud9U57gk8mqebZIeugNk[[#This Row],[Standard Value]]</f>
        <v>2900</v>
      </c>
      <c r="N754">
        <f>-LOG(DOWNLOAD_2kLRbPnDtawQopEJ_UKtt22ud9U57gk8mqebZIeugNk[[#This Row],[IC50]]*POWER(10, -9), 10)</f>
        <v>5.5376020021010435</v>
      </c>
      <c r="O754">
        <v>5.54</v>
      </c>
      <c r="P754" t="s">
        <v>48</v>
      </c>
      <c r="Q754">
        <v>302918</v>
      </c>
      <c r="R754" t="s">
        <v>127</v>
      </c>
      <c r="S754">
        <v>11.36</v>
      </c>
      <c r="T754">
        <v>0.22</v>
      </c>
      <c r="U754">
        <v>4.1500000000000004</v>
      </c>
      <c r="V754">
        <v>3.88</v>
      </c>
      <c r="W754">
        <v>0</v>
      </c>
      <c r="X754" t="s">
        <v>251</v>
      </c>
      <c r="Y754" t="s">
        <v>252</v>
      </c>
      <c r="Z754" t="s">
        <v>58</v>
      </c>
      <c r="AA754" t="s">
        <v>59</v>
      </c>
      <c r="AB754" t="s">
        <v>60</v>
      </c>
      <c r="AC754" t="s">
        <v>61</v>
      </c>
      <c r="AD754" t="s">
        <v>49</v>
      </c>
      <c r="AE754" t="s">
        <v>49</v>
      </c>
      <c r="AF754" t="s">
        <v>49</v>
      </c>
      <c r="AG754" t="s">
        <v>49</v>
      </c>
      <c r="AH754" t="s">
        <v>48</v>
      </c>
      <c r="AI754" t="s">
        <v>48</v>
      </c>
      <c r="AJ754" t="s">
        <v>48</v>
      </c>
      <c r="AK754" t="s">
        <v>62</v>
      </c>
      <c r="AL754" t="s">
        <v>63</v>
      </c>
      <c r="AM754" t="s">
        <v>61</v>
      </c>
      <c r="AN754" t="s">
        <v>64</v>
      </c>
      <c r="AO754" t="s">
        <v>253</v>
      </c>
      <c r="AP754">
        <v>37</v>
      </c>
      <c r="AQ754" t="s">
        <v>254</v>
      </c>
      <c r="AR754" t="s">
        <v>48</v>
      </c>
      <c r="AS754">
        <v>2015</v>
      </c>
      <c r="AT754" t="s">
        <v>49</v>
      </c>
      <c r="AU754" t="s">
        <v>48</v>
      </c>
      <c r="AV754" t="s">
        <v>48</v>
      </c>
      <c r="AW754" t="s">
        <v>48</v>
      </c>
    </row>
    <row r="755" spans="1:49" x14ac:dyDescent="0.3">
      <c r="A755" t="s">
        <v>1643</v>
      </c>
      <c r="B755" t="s">
        <v>48</v>
      </c>
      <c r="C755" t="s">
        <v>49</v>
      </c>
      <c r="D755">
        <v>473.46</v>
      </c>
      <c r="E755">
        <v>0</v>
      </c>
      <c r="F755">
        <v>1</v>
      </c>
      <c r="G755" t="s">
        <v>1644</v>
      </c>
      <c r="H755" t="s">
        <v>1645</v>
      </c>
      <c r="I755" t="s">
        <v>52</v>
      </c>
      <c r="J755" t="s">
        <v>53</v>
      </c>
      <c r="K755">
        <v>900</v>
      </c>
      <c r="L755" t="s">
        <v>126</v>
      </c>
      <c r="M755">
        <f>DOWNLOAD_2kLRbPnDtawQopEJ_UKtt22ud9U57gk8mqebZIeugNk[[#This Row],[Standard Value]]</f>
        <v>900</v>
      </c>
      <c r="N755">
        <f>-LOG(DOWNLOAD_2kLRbPnDtawQopEJ_UKtt22ud9U57gk8mqebZIeugNk[[#This Row],[IC50]]*POWER(10, -9), 10)</f>
        <v>6.0457574905606748</v>
      </c>
      <c r="O755">
        <v>6.05</v>
      </c>
      <c r="P755" t="s">
        <v>48</v>
      </c>
      <c r="Q755">
        <v>302922</v>
      </c>
      <c r="R755" t="s">
        <v>127</v>
      </c>
      <c r="S755">
        <v>12.77</v>
      </c>
      <c r="T755">
        <v>0.24</v>
      </c>
      <c r="U755">
        <v>5.05</v>
      </c>
      <c r="V755">
        <v>4.2300000000000004</v>
      </c>
      <c r="W755">
        <v>0</v>
      </c>
      <c r="X755" t="s">
        <v>251</v>
      </c>
      <c r="Y755" t="s">
        <v>252</v>
      </c>
      <c r="Z755" t="s">
        <v>58</v>
      </c>
      <c r="AA755" t="s">
        <v>59</v>
      </c>
      <c r="AB755" t="s">
        <v>60</v>
      </c>
      <c r="AC755" t="s">
        <v>61</v>
      </c>
      <c r="AD755" t="s">
        <v>49</v>
      </c>
      <c r="AE755" t="s">
        <v>49</v>
      </c>
      <c r="AF755" t="s">
        <v>49</v>
      </c>
      <c r="AG755" t="s">
        <v>49</v>
      </c>
      <c r="AH755" t="s">
        <v>48</v>
      </c>
      <c r="AI755" t="s">
        <v>48</v>
      </c>
      <c r="AJ755" t="s">
        <v>48</v>
      </c>
      <c r="AK755" t="s">
        <v>62</v>
      </c>
      <c r="AL755" t="s">
        <v>63</v>
      </c>
      <c r="AM755" t="s">
        <v>61</v>
      </c>
      <c r="AN755" t="s">
        <v>64</v>
      </c>
      <c r="AO755" t="s">
        <v>253</v>
      </c>
      <c r="AP755">
        <v>37</v>
      </c>
      <c r="AQ755" t="s">
        <v>254</v>
      </c>
      <c r="AR755" t="s">
        <v>48</v>
      </c>
      <c r="AS755">
        <v>2015</v>
      </c>
      <c r="AT755" t="s">
        <v>49</v>
      </c>
      <c r="AU755" t="s">
        <v>48</v>
      </c>
      <c r="AV755" t="s">
        <v>48</v>
      </c>
      <c r="AW755" t="s">
        <v>48</v>
      </c>
    </row>
    <row r="756" spans="1:49" x14ac:dyDescent="0.3">
      <c r="A756" t="s">
        <v>2078</v>
      </c>
      <c r="B756" t="s">
        <v>48</v>
      </c>
      <c r="C756" t="s">
        <v>49</v>
      </c>
      <c r="D756">
        <v>482.43</v>
      </c>
      <c r="E756">
        <v>0</v>
      </c>
      <c r="F756">
        <v>1.02</v>
      </c>
      <c r="G756" t="s">
        <v>2079</v>
      </c>
      <c r="H756" t="s">
        <v>2080</v>
      </c>
      <c r="I756" t="s">
        <v>52</v>
      </c>
      <c r="J756" t="s">
        <v>53</v>
      </c>
      <c r="K756">
        <v>900</v>
      </c>
      <c r="L756" t="s">
        <v>126</v>
      </c>
      <c r="M756">
        <f>DOWNLOAD_2kLRbPnDtawQopEJ_UKtt22ud9U57gk8mqebZIeugNk[[#This Row],[Standard Value]]</f>
        <v>900</v>
      </c>
      <c r="N756">
        <f>-LOG(DOWNLOAD_2kLRbPnDtawQopEJ_UKtt22ud9U57gk8mqebZIeugNk[[#This Row],[IC50]]*POWER(10, -9), 10)</f>
        <v>6.0457574905606748</v>
      </c>
      <c r="O756">
        <v>6.05</v>
      </c>
      <c r="P756" t="s">
        <v>48</v>
      </c>
      <c r="Q756">
        <v>302954</v>
      </c>
      <c r="R756" t="s">
        <v>127</v>
      </c>
      <c r="S756">
        <v>12.53</v>
      </c>
      <c r="T756">
        <v>0.24</v>
      </c>
      <c r="U756">
        <v>5.03</v>
      </c>
      <c r="V756">
        <v>3.78</v>
      </c>
      <c r="W756">
        <v>0</v>
      </c>
      <c r="X756" t="s">
        <v>251</v>
      </c>
      <c r="Y756" t="s">
        <v>252</v>
      </c>
      <c r="Z756" t="s">
        <v>58</v>
      </c>
      <c r="AA756" t="s">
        <v>59</v>
      </c>
      <c r="AB756" t="s">
        <v>60</v>
      </c>
      <c r="AC756" t="s">
        <v>61</v>
      </c>
      <c r="AD756" t="s">
        <v>49</v>
      </c>
      <c r="AE756" t="s">
        <v>49</v>
      </c>
      <c r="AF756" t="s">
        <v>49</v>
      </c>
      <c r="AG756" t="s">
        <v>49</v>
      </c>
      <c r="AH756" t="s">
        <v>48</v>
      </c>
      <c r="AI756" t="s">
        <v>48</v>
      </c>
      <c r="AJ756" t="s">
        <v>48</v>
      </c>
      <c r="AK756" t="s">
        <v>62</v>
      </c>
      <c r="AL756" t="s">
        <v>63</v>
      </c>
      <c r="AM756" t="s">
        <v>61</v>
      </c>
      <c r="AN756" t="s">
        <v>64</v>
      </c>
      <c r="AO756" t="s">
        <v>253</v>
      </c>
      <c r="AP756">
        <v>37</v>
      </c>
      <c r="AQ756" t="s">
        <v>254</v>
      </c>
      <c r="AR756" t="s">
        <v>48</v>
      </c>
      <c r="AS756">
        <v>2015</v>
      </c>
      <c r="AT756" t="s">
        <v>49</v>
      </c>
      <c r="AU756" t="s">
        <v>48</v>
      </c>
      <c r="AV756" t="s">
        <v>48</v>
      </c>
      <c r="AW756" t="s">
        <v>48</v>
      </c>
    </row>
    <row r="757" spans="1:49" x14ac:dyDescent="0.3">
      <c r="A757" t="s">
        <v>2081</v>
      </c>
      <c r="B757" t="s">
        <v>48</v>
      </c>
      <c r="C757" t="s">
        <v>49</v>
      </c>
      <c r="D757">
        <v>551.54</v>
      </c>
      <c r="E757">
        <v>2</v>
      </c>
      <c r="F757">
        <v>1.1499999999999999</v>
      </c>
      <c r="G757" t="s">
        <v>2082</v>
      </c>
      <c r="H757" t="s">
        <v>2083</v>
      </c>
      <c r="I757" t="s">
        <v>52</v>
      </c>
      <c r="J757" t="s">
        <v>53</v>
      </c>
      <c r="K757">
        <v>3200</v>
      </c>
      <c r="L757" t="s">
        <v>126</v>
      </c>
      <c r="M757">
        <f>DOWNLOAD_2kLRbPnDtawQopEJ_UKtt22ud9U57gk8mqebZIeugNk[[#This Row],[Standard Value]]</f>
        <v>3200</v>
      </c>
      <c r="N757">
        <f>-LOG(DOWNLOAD_2kLRbPnDtawQopEJ_UKtt22ud9U57gk8mqebZIeugNk[[#This Row],[IC50]]*POWER(10, -9), 10)</f>
        <v>5.4948500216800937</v>
      </c>
      <c r="O757">
        <v>5.5</v>
      </c>
      <c r="P757" t="s">
        <v>48</v>
      </c>
      <c r="Q757">
        <v>302955</v>
      </c>
      <c r="R757" t="s">
        <v>127</v>
      </c>
      <c r="S757">
        <v>9.9600000000000009</v>
      </c>
      <c r="T757">
        <v>0.19</v>
      </c>
      <c r="U757">
        <v>4.34</v>
      </c>
      <c r="V757">
        <v>3.61</v>
      </c>
      <c r="W757">
        <v>0</v>
      </c>
      <c r="X757" t="s">
        <v>251</v>
      </c>
      <c r="Y757" t="s">
        <v>252</v>
      </c>
      <c r="Z757" t="s">
        <v>58</v>
      </c>
      <c r="AA757" t="s">
        <v>59</v>
      </c>
      <c r="AB757" t="s">
        <v>60</v>
      </c>
      <c r="AC757" t="s">
        <v>61</v>
      </c>
      <c r="AD757" t="s">
        <v>49</v>
      </c>
      <c r="AE757" t="s">
        <v>49</v>
      </c>
      <c r="AF757" t="s">
        <v>49</v>
      </c>
      <c r="AG757" t="s">
        <v>49</v>
      </c>
      <c r="AH757" t="s">
        <v>48</v>
      </c>
      <c r="AI757" t="s">
        <v>48</v>
      </c>
      <c r="AJ757" t="s">
        <v>48</v>
      </c>
      <c r="AK757" t="s">
        <v>62</v>
      </c>
      <c r="AL757" t="s">
        <v>63</v>
      </c>
      <c r="AM757" t="s">
        <v>61</v>
      </c>
      <c r="AN757" t="s">
        <v>64</v>
      </c>
      <c r="AO757" t="s">
        <v>253</v>
      </c>
      <c r="AP757">
        <v>37</v>
      </c>
      <c r="AQ757" t="s">
        <v>254</v>
      </c>
      <c r="AR757" t="s">
        <v>48</v>
      </c>
      <c r="AS757">
        <v>2015</v>
      </c>
      <c r="AT757" t="s">
        <v>49</v>
      </c>
      <c r="AU757" t="s">
        <v>48</v>
      </c>
      <c r="AV757" t="s">
        <v>48</v>
      </c>
      <c r="AW757" t="s">
        <v>48</v>
      </c>
    </row>
    <row r="758" spans="1:49" x14ac:dyDescent="0.3">
      <c r="A758" t="s">
        <v>2084</v>
      </c>
      <c r="B758" t="s">
        <v>48</v>
      </c>
      <c r="C758" t="s">
        <v>49</v>
      </c>
      <c r="D758">
        <v>391.45</v>
      </c>
      <c r="E758">
        <v>0</v>
      </c>
      <c r="F758">
        <v>0.39</v>
      </c>
      <c r="G758" t="s">
        <v>2085</v>
      </c>
      <c r="H758" t="s">
        <v>2086</v>
      </c>
      <c r="I758" t="s">
        <v>52</v>
      </c>
      <c r="J758" t="s">
        <v>71</v>
      </c>
      <c r="K758">
        <v>50000</v>
      </c>
      <c r="L758" t="s">
        <v>126</v>
      </c>
      <c r="M758">
        <f>DOWNLOAD_2kLRbPnDtawQopEJ_UKtt22ud9U57gk8mqebZIeugNk[[#This Row],[Standard Value]]</f>
        <v>50000</v>
      </c>
      <c r="N758">
        <f>-LOG(DOWNLOAD_2kLRbPnDtawQopEJ_UKtt22ud9U57gk8mqebZIeugNk[[#This Row],[IC50]]*POWER(10, -9), 10)</f>
        <v>4.3010299956639804</v>
      </c>
      <c r="P758" t="s">
        <v>48</v>
      </c>
      <c r="R758" t="s">
        <v>127</v>
      </c>
      <c r="W758">
        <v>0</v>
      </c>
      <c r="X758" t="s">
        <v>652</v>
      </c>
      <c r="Y758" t="s">
        <v>653</v>
      </c>
      <c r="Z758" t="s">
        <v>58</v>
      </c>
      <c r="AA758" t="s">
        <v>59</v>
      </c>
      <c r="AB758" t="s">
        <v>60</v>
      </c>
      <c r="AC758" t="s">
        <v>61</v>
      </c>
      <c r="AD758" t="s">
        <v>49</v>
      </c>
      <c r="AE758" t="s">
        <v>49</v>
      </c>
      <c r="AF758" t="s">
        <v>49</v>
      </c>
      <c r="AG758" t="s">
        <v>49</v>
      </c>
      <c r="AH758" t="s">
        <v>48</v>
      </c>
      <c r="AI758" t="s">
        <v>48</v>
      </c>
      <c r="AJ758" t="s">
        <v>48</v>
      </c>
      <c r="AK758" t="s">
        <v>62</v>
      </c>
      <c r="AL758" t="s">
        <v>63</v>
      </c>
      <c r="AM758" t="s">
        <v>61</v>
      </c>
      <c r="AN758" t="s">
        <v>64</v>
      </c>
      <c r="AO758" t="s">
        <v>654</v>
      </c>
      <c r="AP758">
        <v>1</v>
      </c>
      <c r="AQ758" t="s">
        <v>66</v>
      </c>
      <c r="AR758" t="s">
        <v>267</v>
      </c>
      <c r="AS758">
        <v>2020</v>
      </c>
      <c r="AT758" t="s">
        <v>49</v>
      </c>
      <c r="AU758" t="s">
        <v>48</v>
      </c>
      <c r="AV758" t="s">
        <v>48</v>
      </c>
      <c r="AW758" t="s">
        <v>48</v>
      </c>
    </row>
    <row r="759" spans="1:49" x14ac:dyDescent="0.3">
      <c r="A759" t="s">
        <v>2087</v>
      </c>
      <c r="B759" t="s">
        <v>48</v>
      </c>
      <c r="C759" t="s">
        <v>49</v>
      </c>
      <c r="D759">
        <v>464.45</v>
      </c>
      <c r="E759">
        <v>0</v>
      </c>
      <c r="F759">
        <v>2.52</v>
      </c>
      <c r="G759" t="s">
        <v>2088</v>
      </c>
      <c r="H759" t="s">
        <v>2089</v>
      </c>
      <c r="I759" t="s">
        <v>52</v>
      </c>
      <c r="J759" t="s">
        <v>53</v>
      </c>
      <c r="K759">
        <v>400</v>
      </c>
      <c r="L759" t="s">
        <v>126</v>
      </c>
      <c r="M759">
        <f>DOWNLOAD_2kLRbPnDtawQopEJ_UKtt22ud9U57gk8mqebZIeugNk[[#This Row],[Standard Value]]</f>
        <v>400</v>
      </c>
      <c r="N759">
        <f>-LOG(DOWNLOAD_2kLRbPnDtawQopEJ_UKtt22ud9U57gk8mqebZIeugNk[[#This Row],[IC50]]*POWER(10, -9), 10)</f>
        <v>6.3979400086720375</v>
      </c>
      <c r="O759">
        <v>6.4</v>
      </c>
      <c r="P759" t="s">
        <v>48</v>
      </c>
      <c r="Q759">
        <v>302770</v>
      </c>
      <c r="R759" t="s">
        <v>127</v>
      </c>
      <c r="S759">
        <v>13.78</v>
      </c>
      <c r="T759">
        <v>0.26</v>
      </c>
      <c r="U759">
        <v>3.88</v>
      </c>
      <c r="V759">
        <v>5.62</v>
      </c>
      <c r="W759">
        <v>0</v>
      </c>
      <c r="X759" t="s">
        <v>251</v>
      </c>
      <c r="Y759" t="s">
        <v>252</v>
      </c>
      <c r="Z759" t="s">
        <v>58</v>
      </c>
      <c r="AA759" t="s">
        <v>59</v>
      </c>
      <c r="AB759" t="s">
        <v>60</v>
      </c>
      <c r="AC759" t="s">
        <v>61</v>
      </c>
      <c r="AD759" t="s">
        <v>49</v>
      </c>
      <c r="AE759" t="s">
        <v>49</v>
      </c>
      <c r="AF759" t="s">
        <v>49</v>
      </c>
      <c r="AG759" t="s">
        <v>49</v>
      </c>
      <c r="AH759" t="s">
        <v>48</v>
      </c>
      <c r="AI759" t="s">
        <v>48</v>
      </c>
      <c r="AJ759" t="s">
        <v>48</v>
      </c>
      <c r="AK759" t="s">
        <v>62</v>
      </c>
      <c r="AL759" t="s">
        <v>63</v>
      </c>
      <c r="AM759" t="s">
        <v>61</v>
      </c>
      <c r="AN759" t="s">
        <v>64</v>
      </c>
      <c r="AO759" t="s">
        <v>253</v>
      </c>
      <c r="AP759">
        <v>37</v>
      </c>
      <c r="AQ759" t="s">
        <v>254</v>
      </c>
      <c r="AR759" t="s">
        <v>48</v>
      </c>
      <c r="AS759">
        <v>2015</v>
      </c>
      <c r="AT759" t="s">
        <v>49</v>
      </c>
      <c r="AU759" t="s">
        <v>48</v>
      </c>
      <c r="AV759" t="s">
        <v>48</v>
      </c>
      <c r="AW759" t="s">
        <v>48</v>
      </c>
    </row>
    <row r="760" spans="1:49" x14ac:dyDescent="0.3">
      <c r="A760" t="s">
        <v>2090</v>
      </c>
      <c r="B760" t="s">
        <v>48</v>
      </c>
      <c r="C760" t="s">
        <v>49</v>
      </c>
      <c r="D760">
        <v>497.44</v>
      </c>
      <c r="E760">
        <v>0</v>
      </c>
      <c r="F760">
        <v>0.14000000000000001</v>
      </c>
      <c r="G760" t="s">
        <v>2091</v>
      </c>
      <c r="H760" t="s">
        <v>2092</v>
      </c>
      <c r="I760" t="s">
        <v>52</v>
      </c>
      <c r="J760" t="s">
        <v>53</v>
      </c>
      <c r="K760">
        <v>2200</v>
      </c>
      <c r="L760" t="s">
        <v>126</v>
      </c>
      <c r="M760">
        <f>DOWNLOAD_2kLRbPnDtawQopEJ_UKtt22ud9U57gk8mqebZIeugNk[[#This Row],[Standard Value]]</f>
        <v>2200</v>
      </c>
      <c r="N760">
        <f>-LOG(DOWNLOAD_2kLRbPnDtawQopEJ_UKtt22ud9U57gk8mqebZIeugNk[[#This Row],[IC50]]*POWER(10, -9), 10)</f>
        <v>5.6575773191777934</v>
      </c>
      <c r="O760">
        <v>5.66</v>
      </c>
      <c r="P760" t="s">
        <v>48</v>
      </c>
      <c r="Q760">
        <v>302967</v>
      </c>
      <c r="R760" t="s">
        <v>127</v>
      </c>
      <c r="S760">
        <v>11.37</v>
      </c>
      <c r="T760">
        <v>0.21</v>
      </c>
      <c r="U760">
        <v>5.52</v>
      </c>
      <c r="V760">
        <v>3.24</v>
      </c>
      <c r="W760">
        <v>0</v>
      </c>
      <c r="X760" t="s">
        <v>251</v>
      </c>
      <c r="Y760" t="s">
        <v>252</v>
      </c>
      <c r="Z760" t="s">
        <v>58</v>
      </c>
      <c r="AA760" t="s">
        <v>59</v>
      </c>
      <c r="AB760" t="s">
        <v>60</v>
      </c>
      <c r="AC760" t="s">
        <v>61</v>
      </c>
      <c r="AD760" t="s">
        <v>49</v>
      </c>
      <c r="AE760" t="s">
        <v>49</v>
      </c>
      <c r="AF760" t="s">
        <v>49</v>
      </c>
      <c r="AG760" t="s">
        <v>49</v>
      </c>
      <c r="AH760" t="s">
        <v>48</v>
      </c>
      <c r="AI760" t="s">
        <v>48</v>
      </c>
      <c r="AJ760" t="s">
        <v>48</v>
      </c>
      <c r="AK760" t="s">
        <v>62</v>
      </c>
      <c r="AL760" t="s">
        <v>63</v>
      </c>
      <c r="AM760" t="s">
        <v>61</v>
      </c>
      <c r="AN760" t="s">
        <v>64</v>
      </c>
      <c r="AO760" t="s">
        <v>253</v>
      </c>
      <c r="AP760">
        <v>37</v>
      </c>
      <c r="AQ760" t="s">
        <v>254</v>
      </c>
      <c r="AR760" t="s">
        <v>48</v>
      </c>
      <c r="AS760">
        <v>2015</v>
      </c>
      <c r="AT760" t="s">
        <v>49</v>
      </c>
      <c r="AU760" t="s">
        <v>48</v>
      </c>
      <c r="AV760" t="s">
        <v>48</v>
      </c>
      <c r="AW760" t="s">
        <v>48</v>
      </c>
    </row>
    <row r="761" spans="1:49" x14ac:dyDescent="0.3">
      <c r="A761" t="s">
        <v>2093</v>
      </c>
      <c r="B761" t="s">
        <v>48</v>
      </c>
      <c r="C761" t="s">
        <v>49</v>
      </c>
      <c r="D761">
        <v>475.36</v>
      </c>
      <c r="E761">
        <v>1</v>
      </c>
      <c r="F761">
        <v>5.17</v>
      </c>
      <c r="G761" t="s">
        <v>795</v>
      </c>
      <c r="H761" t="s">
        <v>2094</v>
      </c>
      <c r="I761" t="s">
        <v>52</v>
      </c>
      <c r="J761" t="s">
        <v>53</v>
      </c>
      <c r="K761">
        <v>11</v>
      </c>
      <c r="L761" t="s">
        <v>126</v>
      </c>
      <c r="M761">
        <f>DOWNLOAD_2kLRbPnDtawQopEJ_UKtt22ud9U57gk8mqebZIeugNk[[#This Row],[Standard Value]]</f>
        <v>11</v>
      </c>
      <c r="N761">
        <f>-LOG(DOWNLOAD_2kLRbPnDtawQopEJ_UKtt22ud9U57gk8mqebZIeugNk[[#This Row],[IC50]]*POWER(10, -9), 10)</f>
        <v>7.9586073148417746</v>
      </c>
      <c r="O761">
        <v>7.96</v>
      </c>
      <c r="P761" t="s">
        <v>48</v>
      </c>
      <c r="R761" t="s">
        <v>127</v>
      </c>
      <c r="S761">
        <v>16.739999999999998</v>
      </c>
      <c r="T761">
        <v>0.35</v>
      </c>
      <c r="U761">
        <v>2.79</v>
      </c>
      <c r="V761">
        <v>7.23</v>
      </c>
      <c r="W761">
        <v>0</v>
      </c>
      <c r="X761" t="s">
        <v>296</v>
      </c>
      <c r="Y761" t="s">
        <v>297</v>
      </c>
      <c r="Z761" t="s">
        <v>58</v>
      </c>
      <c r="AA761" t="s">
        <v>59</v>
      </c>
      <c r="AB761" t="s">
        <v>60</v>
      </c>
      <c r="AC761" t="s">
        <v>61</v>
      </c>
      <c r="AD761" t="s">
        <v>49</v>
      </c>
      <c r="AE761" t="s">
        <v>49</v>
      </c>
      <c r="AF761" t="s">
        <v>49</v>
      </c>
      <c r="AG761" t="s">
        <v>49</v>
      </c>
      <c r="AH761" t="s">
        <v>48</v>
      </c>
      <c r="AI761" t="s">
        <v>48</v>
      </c>
      <c r="AJ761" t="s">
        <v>48</v>
      </c>
      <c r="AK761" t="s">
        <v>62</v>
      </c>
      <c r="AL761" t="s">
        <v>63</v>
      </c>
      <c r="AM761" t="s">
        <v>61</v>
      </c>
      <c r="AN761" t="s">
        <v>64</v>
      </c>
      <c r="AO761" t="s">
        <v>298</v>
      </c>
      <c r="AP761">
        <v>1</v>
      </c>
      <c r="AQ761" t="s">
        <v>66</v>
      </c>
      <c r="AR761" t="s">
        <v>131</v>
      </c>
      <c r="AS761">
        <v>2021</v>
      </c>
      <c r="AT761" t="s">
        <v>49</v>
      </c>
      <c r="AU761" t="s">
        <v>299</v>
      </c>
      <c r="AV761" t="s">
        <v>269</v>
      </c>
      <c r="AW761" t="s">
        <v>48</v>
      </c>
    </row>
    <row r="762" spans="1:49" x14ac:dyDescent="0.3">
      <c r="A762" t="s">
        <v>2095</v>
      </c>
      <c r="B762" t="s">
        <v>48</v>
      </c>
      <c r="C762" t="s">
        <v>49</v>
      </c>
      <c r="D762">
        <v>670.12</v>
      </c>
      <c r="E762">
        <v>1</v>
      </c>
      <c r="F762">
        <v>3.57</v>
      </c>
      <c r="G762" t="s">
        <v>2096</v>
      </c>
      <c r="H762" t="s">
        <v>2097</v>
      </c>
      <c r="I762" t="s">
        <v>52</v>
      </c>
      <c r="J762" t="s">
        <v>53</v>
      </c>
      <c r="K762">
        <v>1240</v>
      </c>
      <c r="L762" t="s">
        <v>126</v>
      </c>
      <c r="M762">
        <f>DOWNLOAD_2kLRbPnDtawQopEJ_UKtt22ud9U57gk8mqebZIeugNk[[#This Row],[Standard Value]]</f>
        <v>1240</v>
      </c>
      <c r="N762">
        <f>-LOG(DOWNLOAD_2kLRbPnDtawQopEJ_UKtt22ud9U57gk8mqebZIeugNk[[#This Row],[IC50]]*POWER(10, -9), 10)</f>
        <v>5.9065783148377644</v>
      </c>
      <c r="O762">
        <v>5.91</v>
      </c>
      <c r="P762" t="s">
        <v>48</v>
      </c>
      <c r="R762" t="s">
        <v>127</v>
      </c>
      <c r="S762">
        <v>8.81</v>
      </c>
      <c r="T762">
        <v>0.18</v>
      </c>
      <c r="U762">
        <v>2.34</v>
      </c>
      <c r="V762">
        <v>3.54</v>
      </c>
      <c r="W762">
        <v>0</v>
      </c>
      <c r="X762" t="s">
        <v>1497</v>
      </c>
      <c r="Y762" t="s">
        <v>1498</v>
      </c>
      <c r="Z762" t="s">
        <v>58</v>
      </c>
      <c r="AA762" t="s">
        <v>59</v>
      </c>
      <c r="AB762" t="s">
        <v>60</v>
      </c>
      <c r="AC762" t="s">
        <v>61</v>
      </c>
      <c r="AD762" t="s">
        <v>49</v>
      </c>
      <c r="AE762" t="s">
        <v>49</v>
      </c>
      <c r="AF762" t="s">
        <v>49</v>
      </c>
      <c r="AG762" t="s">
        <v>49</v>
      </c>
      <c r="AH762" t="s">
        <v>48</v>
      </c>
      <c r="AI762" t="s">
        <v>48</v>
      </c>
      <c r="AJ762" t="s">
        <v>48</v>
      </c>
      <c r="AK762" t="s">
        <v>62</v>
      </c>
      <c r="AL762" t="s">
        <v>63</v>
      </c>
      <c r="AM762" t="s">
        <v>61</v>
      </c>
      <c r="AN762" t="s">
        <v>64</v>
      </c>
      <c r="AO762" t="s">
        <v>1499</v>
      </c>
      <c r="AP762">
        <v>1</v>
      </c>
      <c r="AQ762" t="s">
        <v>66</v>
      </c>
      <c r="AR762" t="s">
        <v>131</v>
      </c>
      <c r="AS762">
        <v>2022</v>
      </c>
      <c r="AT762" t="s">
        <v>49</v>
      </c>
      <c r="AU762" t="s">
        <v>299</v>
      </c>
      <c r="AV762" t="s">
        <v>269</v>
      </c>
      <c r="AW762" t="s">
        <v>48</v>
      </c>
    </row>
    <row r="763" spans="1:49" x14ac:dyDescent="0.3">
      <c r="A763" t="s">
        <v>2098</v>
      </c>
      <c r="B763" t="s">
        <v>48</v>
      </c>
      <c r="C763" t="s">
        <v>49</v>
      </c>
      <c r="D763">
        <v>494.48</v>
      </c>
      <c r="E763">
        <v>0</v>
      </c>
      <c r="F763">
        <v>1.86</v>
      </c>
      <c r="G763" t="s">
        <v>2099</v>
      </c>
      <c r="H763" t="s">
        <v>2100</v>
      </c>
      <c r="I763" t="s">
        <v>52</v>
      </c>
      <c r="J763" t="s">
        <v>53</v>
      </c>
      <c r="K763">
        <v>2000</v>
      </c>
      <c r="L763" t="s">
        <v>126</v>
      </c>
      <c r="M763">
        <f>DOWNLOAD_2kLRbPnDtawQopEJ_UKtt22ud9U57gk8mqebZIeugNk[[#This Row],[Standard Value]]</f>
        <v>2000</v>
      </c>
      <c r="N763">
        <f>-LOG(DOWNLOAD_2kLRbPnDtawQopEJ_UKtt22ud9U57gk8mqebZIeugNk[[#This Row],[IC50]]*POWER(10, -9), 10)</f>
        <v>5.6989700043360179</v>
      </c>
      <c r="O763">
        <v>5.7</v>
      </c>
      <c r="P763" t="s">
        <v>48</v>
      </c>
      <c r="Q763">
        <v>302781</v>
      </c>
      <c r="R763" t="s">
        <v>127</v>
      </c>
      <c r="S763">
        <v>11.53</v>
      </c>
      <c r="T763">
        <v>0.22</v>
      </c>
      <c r="U763">
        <v>3.84</v>
      </c>
      <c r="V763">
        <v>4.1100000000000003</v>
      </c>
      <c r="W763">
        <v>0</v>
      </c>
      <c r="X763" t="s">
        <v>251</v>
      </c>
      <c r="Y763" t="s">
        <v>252</v>
      </c>
      <c r="Z763" t="s">
        <v>58</v>
      </c>
      <c r="AA763" t="s">
        <v>59</v>
      </c>
      <c r="AB763" t="s">
        <v>60</v>
      </c>
      <c r="AC763" t="s">
        <v>61</v>
      </c>
      <c r="AD763" t="s">
        <v>49</v>
      </c>
      <c r="AE763" t="s">
        <v>49</v>
      </c>
      <c r="AF763" t="s">
        <v>49</v>
      </c>
      <c r="AG763" t="s">
        <v>49</v>
      </c>
      <c r="AH763" t="s">
        <v>48</v>
      </c>
      <c r="AI763" t="s">
        <v>48</v>
      </c>
      <c r="AJ763" t="s">
        <v>48</v>
      </c>
      <c r="AK763" t="s">
        <v>62</v>
      </c>
      <c r="AL763" t="s">
        <v>63</v>
      </c>
      <c r="AM763" t="s">
        <v>61</v>
      </c>
      <c r="AN763" t="s">
        <v>64</v>
      </c>
      <c r="AO763" t="s">
        <v>253</v>
      </c>
      <c r="AP763">
        <v>37</v>
      </c>
      <c r="AQ763" t="s">
        <v>254</v>
      </c>
      <c r="AR763" t="s">
        <v>48</v>
      </c>
      <c r="AS763">
        <v>2015</v>
      </c>
      <c r="AT763" t="s">
        <v>49</v>
      </c>
      <c r="AU763" t="s">
        <v>48</v>
      </c>
      <c r="AV763" t="s">
        <v>48</v>
      </c>
      <c r="AW763" t="s">
        <v>48</v>
      </c>
    </row>
    <row r="764" spans="1:49" x14ac:dyDescent="0.3">
      <c r="A764" t="s">
        <v>2101</v>
      </c>
      <c r="B764" t="s">
        <v>48</v>
      </c>
      <c r="C764" t="s">
        <v>49</v>
      </c>
      <c r="D764">
        <v>482.88</v>
      </c>
      <c r="E764">
        <v>0</v>
      </c>
      <c r="F764">
        <v>1.83</v>
      </c>
      <c r="G764" t="s">
        <v>2102</v>
      </c>
      <c r="H764" t="s">
        <v>2103</v>
      </c>
      <c r="I764" t="s">
        <v>52</v>
      </c>
      <c r="J764" t="s">
        <v>53</v>
      </c>
      <c r="K764">
        <v>1200</v>
      </c>
      <c r="L764" t="s">
        <v>126</v>
      </c>
      <c r="M764">
        <f>DOWNLOAD_2kLRbPnDtawQopEJ_UKtt22ud9U57gk8mqebZIeugNk[[#This Row],[Standard Value]]</f>
        <v>1200</v>
      </c>
      <c r="N764">
        <f>-LOG(DOWNLOAD_2kLRbPnDtawQopEJ_UKtt22ud9U57gk8mqebZIeugNk[[#This Row],[IC50]]*POWER(10, -9), 10)</f>
        <v>5.920818753952374</v>
      </c>
      <c r="O764">
        <v>5.92</v>
      </c>
      <c r="P764" t="s">
        <v>48</v>
      </c>
      <c r="Q764">
        <v>302808</v>
      </c>
      <c r="R764" t="s">
        <v>127</v>
      </c>
      <c r="S764">
        <v>12.26</v>
      </c>
      <c r="T764">
        <v>0.24</v>
      </c>
      <c r="U764">
        <v>4.09</v>
      </c>
      <c r="V764">
        <v>4.24</v>
      </c>
      <c r="W764">
        <v>0</v>
      </c>
      <c r="X764" t="s">
        <v>251</v>
      </c>
      <c r="Y764" t="s">
        <v>252</v>
      </c>
      <c r="Z764" t="s">
        <v>58</v>
      </c>
      <c r="AA764" t="s">
        <v>59</v>
      </c>
      <c r="AB764" t="s">
        <v>60</v>
      </c>
      <c r="AC764" t="s">
        <v>61</v>
      </c>
      <c r="AD764" t="s">
        <v>49</v>
      </c>
      <c r="AE764" t="s">
        <v>49</v>
      </c>
      <c r="AF764" t="s">
        <v>49</v>
      </c>
      <c r="AG764" t="s">
        <v>49</v>
      </c>
      <c r="AH764" t="s">
        <v>48</v>
      </c>
      <c r="AI764" t="s">
        <v>48</v>
      </c>
      <c r="AJ764" t="s">
        <v>48</v>
      </c>
      <c r="AK764" t="s">
        <v>62</v>
      </c>
      <c r="AL764" t="s">
        <v>63</v>
      </c>
      <c r="AM764" t="s">
        <v>61</v>
      </c>
      <c r="AN764" t="s">
        <v>64</v>
      </c>
      <c r="AO764" t="s">
        <v>253</v>
      </c>
      <c r="AP764">
        <v>37</v>
      </c>
      <c r="AQ764" t="s">
        <v>254</v>
      </c>
      <c r="AR764" t="s">
        <v>48</v>
      </c>
      <c r="AS764">
        <v>2015</v>
      </c>
      <c r="AT764" t="s">
        <v>49</v>
      </c>
      <c r="AU764" t="s">
        <v>48</v>
      </c>
      <c r="AV764" t="s">
        <v>48</v>
      </c>
      <c r="AW764" t="s">
        <v>48</v>
      </c>
    </row>
    <row r="765" spans="1:49" x14ac:dyDescent="0.3">
      <c r="A765" t="s">
        <v>2104</v>
      </c>
      <c r="B765" t="s">
        <v>48</v>
      </c>
      <c r="C765" t="s">
        <v>49</v>
      </c>
      <c r="D765">
        <v>482.88</v>
      </c>
      <c r="E765">
        <v>0</v>
      </c>
      <c r="F765">
        <v>1.83</v>
      </c>
      <c r="G765" t="s">
        <v>2105</v>
      </c>
      <c r="H765" t="s">
        <v>2106</v>
      </c>
      <c r="I765" t="s">
        <v>52</v>
      </c>
      <c r="J765" t="s">
        <v>53</v>
      </c>
      <c r="K765">
        <v>1000</v>
      </c>
      <c r="L765" t="s">
        <v>126</v>
      </c>
      <c r="M765">
        <f>DOWNLOAD_2kLRbPnDtawQopEJ_UKtt22ud9U57gk8mqebZIeugNk[[#This Row],[Standard Value]]</f>
        <v>1000</v>
      </c>
      <c r="N765">
        <f>-LOG(DOWNLOAD_2kLRbPnDtawQopEJ_UKtt22ud9U57gk8mqebZIeugNk[[#This Row],[IC50]]*POWER(10, -9), 10)</f>
        <v>5.9999999999999991</v>
      </c>
      <c r="O765">
        <v>6</v>
      </c>
      <c r="P765" t="s">
        <v>48</v>
      </c>
      <c r="Q765">
        <v>302810</v>
      </c>
      <c r="R765" t="s">
        <v>127</v>
      </c>
      <c r="S765">
        <v>12.43</v>
      </c>
      <c r="T765">
        <v>0.24</v>
      </c>
      <c r="U765">
        <v>4.17</v>
      </c>
      <c r="V765">
        <v>4.3</v>
      </c>
      <c r="W765">
        <v>0</v>
      </c>
      <c r="X765" t="s">
        <v>251</v>
      </c>
      <c r="Y765" t="s">
        <v>252</v>
      </c>
      <c r="Z765" t="s">
        <v>58</v>
      </c>
      <c r="AA765" t="s">
        <v>59</v>
      </c>
      <c r="AB765" t="s">
        <v>60</v>
      </c>
      <c r="AC765" t="s">
        <v>61</v>
      </c>
      <c r="AD765" t="s">
        <v>49</v>
      </c>
      <c r="AE765" t="s">
        <v>49</v>
      </c>
      <c r="AF765" t="s">
        <v>49</v>
      </c>
      <c r="AG765" t="s">
        <v>49</v>
      </c>
      <c r="AH765" t="s">
        <v>48</v>
      </c>
      <c r="AI765" t="s">
        <v>48</v>
      </c>
      <c r="AJ765" t="s">
        <v>48</v>
      </c>
      <c r="AK765" t="s">
        <v>62</v>
      </c>
      <c r="AL765" t="s">
        <v>63</v>
      </c>
      <c r="AM765" t="s">
        <v>61</v>
      </c>
      <c r="AN765" t="s">
        <v>64</v>
      </c>
      <c r="AO765" t="s">
        <v>253</v>
      </c>
      <c r="AP765">
        <v>37</v>
      </c>
      <c r="AQ765" t="s">
        <v>254</v>
      </c>
      <c r="AR765" t="s">
        <v>48</v>
      </c>
      <c r="AS765">
        <v>2015</v>
      </c>
      <c r="AT765" t="s">
        <v>49</v>
      </c>
      <c r="AU765" t="s">
        <v>48</v>
      </c>
      <c r="AV765" t="s">
        <v>48</v>
      </c>
      <c r="AW765" t="s">
        <v>48</v>
      </c>
    </row>
    <row r="766" spans="1:49" x14ac:dyDescent="0.3">
      <c r="A766" t="s">
        <v>2107</v>
      </c>
      <c r="B766" t="s">
        <v>48</v>
      </c>
      <c r="C766" t="s">
        <v>49</v>
      </c>
      <c r="D766">
        <v>413.37</v>
      </c>
      <c r="E766">
        <v>0</v>
      </c>
      <c r="F766">
        <v>0.73</v>
      </c>
      <c r="G766" t="s">
        <v>2108</v>
      </c>
      <c r="H766" t="s">
        <v>2109</v>
      </c>
      <c r="I766" t="s">
        <v>52</v>
      </c>
      <c r="J766" t="s">
        <v>53</v>
      </c>
      <c r="K766">
        <v>12000</v>
      </c>
      <c r="L766" t="s">
        <v>126</v>
      </c>
      <c r="M766">
        <f>DOWNLOAD_2kLRbPnDtawQopEJ_UKtt22ud9U57gk8mqebZIeugNk[[#This Row],[Standard Value]]</f>
        <v>12000</v>
      </c>
      <c r="N766">
        <f>-LOG(DOWNLOAD_2kLRbPnDtawQopEJ_UKtt22ud9U57gk8mqebZIeugNk[[#This Row],[IC50]]*POWER(10, -9), 10)</f>
        <v>4.9208187539523749</v>
      </c>
      <c r="O766">
        <v>4.92</v>
      </c>
      <c r="P766" t="s">
        <v>48</v>
      </c>
      <c r="Q766">
        <v>302962</v>
      </c>
      <c r="R766" t="s">
        <v>127</v>
      </c>
      <c r="S766">
        <v>11.9</v>
      </c>
      <c r="T766">
        <v>0.22</v>
      </c>
      <c r="U766">
        <v>4.1900000000000004</v>
      </c>
      <c r="V766">
        <v>3.58</v>
      </c>
      <c r="W766">
        <v>0</v>
      </c>
      <c r="X766" t="s">
        <v>251</v>
      </c>
      <c r="Y766" t="s">
        <v>252</v>
      </c>
      <c r="Z766" t="s">
        <v>58</v>
      </c>
      <c r="AA766" t="s">
        <v>59</v>
      </c>
      <c r="AB766" t="s">
        <v>60</v>
      </c>
      <c r="AC766" t="s">
        <v>61</v>
      </c>
      <c r="AD766" t="s">
        <v>49</v>
      </c>
      <c r="AE766" t="s">
        <v>49</v>
      </c>
      <c r="AF766" t="s">
        <v>49</v>
      </c>
      <c r="AG766" t="s">
        <v>49</v>
      </c>
      <c r="AH766" t="s">
        <v>48</v>
      </c>
      <c r="AI766" t="s">
        <v>48</v>
      </c>
      <c r="AJ766" t="s">
        <v>48</v>
      </c>
      <c r="AK766" t="s">
        <v>62</v>
      </c>
      <c r="AL766" t="s">
        <v>63</v>
      </c>
      <c r="AM766" t="s">
        <v>61</v>
      </c>
      <c r="AN766" t="s">
        <v>64</v>
      </c>
      <c r="AO766" t="s">
        <v>253</v>
      </c>
      <c r="AP766">
        <v>37</v>
      </c>
      <c r="AQ766" t="s">
        <v>254</v>
      </c>
      <c r="AR766" t="s">
        <v>48</v>
      </c>
      <c r="AS766">
        <v>2015</v>
      </c>
      <c r="AT766" t="s">
        <v>49</v>
      </c>
      <c r="AU766" t="s">
        <v>48</v>
      </c>
      <c r="AV766" t="s">
        <v>48</v>
      </c>
      <c r="AW766" t="s">
        <v>48</v>
      </c>
    </row>
    <row r="767" spans="1:49" x14ac:dyDescent="0.3">
      <c r="A767" t="s">
        <v>2110</v>
      </c>
      <c r="B767" t="s">
        <v>48</v>
      </c>
      <c r="C767" t="s">
        <v>49</v>
      </c>
      <c r="D767">
        <v>484.44</v>
      </c>
      <c r="E767">
        <v>0</v>
      </c>
      <c r="F767">
        <v>0.54</v>
      </c>
      <c r="G767" t="s">
        <v>2111</v>
      </c>
      <c r="H767" t="s">
        <v>2112</v>
      </c>
      <c r="I767" t="s">
        <v>52</v>
      </c>
      <c r="J767" t="s">
        <v>53</v>
      </c>
      <c r="K767">
        <v>2100</v>
      </c>
      <c r="L767" t="s">
        <v>126</v>
      </c>
      <c r="M767">
        <f>DOWNLOAD_2kLRbPnDtawQopEJ_UKtt22ud9U57gk8mqebZIeugNk[[#This Row],[Standard Value]]</f>
        <v>2100</v>
      </c>
      <c r="N767">
        <f>-LOG(DOWNLOAD_2kLRbPnDtawQopEJ_UKtt22ud9U57gk8mqebZIeugNk[[#This Row],[IC50]]*POWER(10, -9), 10)</f>
        <v>5.6777807052660796</v>
      </c>
      <c r="O767">
        <v>5.68</v>
      </c>
      <c r="P767" t="s">
        <v>48</v>
      </c>
      <c r="Q767">
        <v>302968</v>
      </c>
      <c r="R767" t="s">
        <v>127</v>
      </c>
      <c r="S767">
        <v>11.72</v>
      </c>
      <c r="T767">
        <v>0.22</v>
      </c>
      <c r="U767">
        <v>5.14</v>
      </c>
      <c r="V767">
        <v>3.74</v>
      </c>
      <c r="W767">
        <v>0</v>
      </c>
      <c r="X767" t="s">
        <v>251</v>
      </c>
      <c r="Y767" t="s">
        <v>252</v>
      </c>
      <c r="Z767" t="s">
        <v>58</v>
      </c>
      <c r="AA767" t="s">
        <v>59</v>
      </c>
      <c r="AB767" t="s">
        <v>60</v>
      </c>
      <c r="AC767" t="s">
        <v>61</v>
      </c>
      <c r="AD767" t="s">
        <v>49</v>
      </c>
      <c r="AE767" t="s">
        <v>49</v>
      </c>
      <c r="AF767" t="s">
        <v>49</v>
      </c>
      <c r="AG767" t="s">
        <v>49</v>
      </c>
      <c r="AH767" t="s">
        <v>48</v>
      </c>
      <c r="AI767" t="s">
        <v>48</v>
      </c>
      <c r="AJ767" t="s">
        <v>48</v>
      </c>
      <c r="AK767" t="s">
        <v>62</v>
      </c>
      <c r="AL767" t="s">
        <v>63</v>
      </c>
      <c r="AM767" t="s">
        <v>61</v>
      </c>
      <c r="AN767" t="s">
        <v>64</v>
      </c>
      <c r="AO767" t="s">
        <v>253</v>
      </c>
      <c r="AP767">
        <v>37</v>
      </c>
      <c r="AQ767" t="s">
        <v>254</v>
      </c>
      <c r="AR767" t="s">
        <v>48</v>
      </c>
      <c r="AS767">
        <v>2015</v>
      </c>
      <c r="AT767" t="s">
        <v>49</v>
      </c>
      <c r="AU767" t="s">
        <v>48</v>
      </c>
      <c r="AV767" t="s">
        <v>48</v>
      </c>
      <c r="AW767" t="s">
        <v>48</v>
      </c>
    </row>
    <row r="768" spans="1:49" x14ac:dyDescent="0.3">
      <c r="A768" t="s">
        <v>2113</v>
      </c>
      <c r="B768" t="s">
        <v>48</v>
      </c>
      <c r="C768" t="s">
        <v>49</v>
      </c>
      <c r="D768">
        <v>536.44000000000005</v>
      </c>
      <c r="E768">
        <v>1</v>
      </c>
      <c r="F768">
        <v>2.37</v>
      </c>
      <c r="G768" t="s">
        <v>2114</v>
      </c>
      <c r="H768" t="s">
        <v>2115</v>
      </c>
      <c r="I768" t="s">
        <v>52</v>
      </c>
      <c r="J768" t="s">
        <v>53</v>
      </c>
      <c r="K768">
        <v>7100</v>
      </c>
      <c r="L768" t="s">
        <v>126</v>
      </c>
      <c r="M768">
        <f>DOWNLOAD_2kLRbPnDtawQopEJ_UKtt22ud9U57gk8mqebZIeugNk[[#This Row],[Standard Value]]</f>
        <v>7100</v>
      </c>
      <c r="N768">
        <f>-LOG(DOWNLOAD_2kLRbPnDtawQopEJ_UKtt22ud9U57gk8mqebZIeugNk[[#This Row],[IC50]]*POWER(10, -9), 10)</f>
        <v>5.1487416512809245</v>
      </c>
      <c r="O768">
        <v>5.15</v>
      </c>
      <c r="P768" t="s">
        <v>48</v>
      </c>
      <c r="Q768">
        <v>302794</v>
      </c>
      <c r="R768" t="s">
        <v>127</v>
      </c>
      <c r="S768">
        <v>9.6</v>
      </c>
      <c r="T768">
        <v>0.19</v>
      </c>
      <c r="U768">
        <v>2.78</v>
      </c>
      <c r="V768">
        <v>3.91</v>
      </c>
      <c r="W768">
        <v>0</v>
      </c>
      <c r="X768" t="s">
        <v>251</v>
      </c>
      <c r="Y768" t="s">
        <v>252</v>
      </c>
      <c r="Z768" t="s">
        <v>58</v>
      </c>
      <c r="AA768" t="s">
        <v>59</v>
      </c>
      <c r="AB768" t="s">
        <v>60</v>
      </c>
      <c r="AC768" t="s">
        <v>61</v>
      </c>
      <c r="AD768" t="s">
        <v>49</v>
      </c>
      <c r="AE768" t="s">
        <v>49</v>
      </c>
      <c r="AF768" t="s">
        <v>49</v>
      </c>
      <c r="AG768" t="s">
        <v>49</v>
      </c>
      <c r="AH768" t="s">
        <v>48</v>
      </c>
      <c r="AI768" t="s">
        <v>48</v>
      </c>
      <c r="AJ768" t="s">
        <v>48</v>
      </c>
      <c r="AK768" t="s">
        <v>62</v>
      </c>
      <c r="AL768" t="s">
        <v>63</v>
      </c>
      <c r="AM768" t="s">
        <v>61</v>
      </c>
      <c r="AN768" t="s">
        <v>64</v>
      </c>
      <c r="AO768" t="s">
        <v>253</v>
      </c>
      <c r="AP768">
        <v>37</v>
      </c>
      <c r="AQ768" t="s">
        <v>254</v>
      </c>
      <c r="AR768" t="s">
        <v>48</v>
      </c>
      <c r="AS768">
        <v>2015</v>
      </c>
      <c r="AT768" t="s">
        <v>49</v>
      </c>
      <c r="AU768" t="s">
        <v>48</v>
      </c>
      <c r="AV768" t="s">
        <v>48</v>
      </c>
      <c r="AW768" t="s">
        <v>48</v>
      </c>
    </row>
    <row r="769" spans="1:49" x14ac:dyDescent="0.3">
      <c r="A769" t="s">
        <v>2116</v>
      </c>
      <c r="B769" t="s">
        <v>48</v>
      </c>
      <c r="C769" t="s">
        <v>49</v>
      </c>
      <c r="D769">
        <v>445.45</v>
      </c>
      <c r="E769">
        <v>0</v>
      </c>
      <c r="F769">
        <v>1.68</v>
      </c>
      <c r="G769" t="s">
        <v>2117</v>
      </c>
      <c r="H769" t="s">
        <v>2118</v>
      </c>
      <c r="I769" t="s">
        <v>52</v>
      </c>
      <c r="J769" t="s">
        <v>53</v>
      </c>
      <c r="K769">
        <v>2200</v>
      </c>
      <c r="L769" t="s">
        <v>126</v>
      </c>
      <c r="M769">
        <f>DOWNLOAD_2kLRbPnDtawQopEJ_UKtt22ud9U57gk8mqebZIeugNk[[#This Row],[Standard Value]]</f>
        <v>2200</v>
      </c>
      <c r="N769">
        <f>-LOG(DOWNLOAD_2kLRbPnDtawQopEJ_UKtt22ud9U57gk8mqebZIeugNk[[#This Row],[IC50]]*POWER(10, -9), 10)</f>
        <v>5.6575773191777934</v>
      </c>
      <c r="O769">
        <v>5.66</v>
      </c>
      <c r="P769" t="s">
        <v>48</v>
      </c>
      <c r="Q769">
        <v>302797</v>
      </c>
      <c r="R769" t="s">
        <v>127</v>
      </c>
      <c r="S769">
        <v>12.7</v>
      </c>
      <c r="T769">
        <v>0.24</v>
      </c>
      <c r="U769">
        <v>3.98</v>
      </c>
      <c r="V769">
        <v>4.5</v>
      </c>
      <c r="W769">
        <v>0</v>
      </c>
      <c r="X769" t="s">
        <v>251</v>
      </c>
      <c r="Y769" t="s">
        <v>252</v>
      </c>
      <c r="Z769" t="s">
        <v>58</v>
      </c>
      <c r="AA769" t="s">
        <v>59</v>
      </c>
      <c r="AB769" t="s">
        <v>60</v>
      </c>
      <c r="AC769" t="s">
        <v>61</v>
      </c>
      <c r="AD769" t="s">
        <v>49</v>
      </c>
      <c r="AE769" t="s">
        <v>49</v>
      </c>
      <c r="AF769" t="s">
        <v>49</v>
      </c>
      <c r="AG769" t="s">
        <v>49</v>
      </c>
      <c r="AH769" t="s">
        <v>48</v>
      </c>
      <c r="AI769" t="s">
        <v>48</v>
      </c>
      <c r="AJ769" t="s">
        <v>48</v>
      </c>
      <c r="AK769" t="s">
        <v>62</v>
      </c>
      <c r="AL769" t="s">
        <v>63</v>
      </c>
      <c r="AM769" t="s">
        <v>61</v>
      </c>
      <c r="AN769" t="s">
        <v>64</v>
      </c>
      <c r="AO769" t="s">
        <v>253</v>
      </c>
      <c r="AP769">
        <v>37</v>
      </c>
      <c r="AQ769" t="s">
        <v>254</v>
      </c>
      <c r="AR769" t="s">
        <v>48</v>
      </c>
      <c r="AS769">
        <v>2015</v>
      </c>
      <c r="AT769" t="s">
        <v>49</v>
      </c>
      <c r="AU769" t="s">
        <v>48</v>
      </c>
      <c r="AV769" t="s">
        <v>48</v>
      </c>
      <c r="AW769" t="s">
        <v>48</v>
      </c>
    </row>
    <row r="770" spans="1:49" x14ac:dyDescent="0.3">
      <c r="A770" t="s">
        <v>2119</v>
      </c>
      <c r="B770" t="s">
        <v>48</v>
      </c>
      <c r="C770" t="s">
        <v>49</v>
      </c>
      <c r="D770">
        <v>288.64999999999998</v>
      </c>
      <c r="E770">
        <v>0</v>
      </c>
      <c r="F770">
        <v>4.8600000000000003</v>
      </c>
      <c r="G770" t="s">
        <v>2120</v>
      </c>
      <c r="H770" t="s">
        <v>2121</v>
      </c>
      <c r="I770" t="s">
        <v>52</v>
      </c>
      <c r="J770" t="s">
        <v>53</v>
      </c>
      <c r="K770">
        <v>100000</v>
      </c>
      <c r="L770" t="s">
        <v>126</v>
      </c>
      <c r="M770">
        <f>DOWNLOAD_2kLRbPnDtawQopEJ_UKtt22ud9U57gk8mqebZIeugNk[[#This Row],[Standard Value]]</f>
        <v>100000</v>
      </c>
      <c r="N770">
        <f>-LOG(DOWNLOAD_2kLRbPnDtawQopEJ_UKtt22ud9U57gk8mqebZIeugNk[[#This Row],[IC50]]*POWER(10, -9), 10)</f>
        <v>3.9999999999999991</v>
      </c>
      <c r="O770">
        <v>4</v>
      </c>
      <c r="P770" t="s">
        <v>48</v>
      </c>
      <c r="R770" t="s">
        <v>127</v>
      </c>
      <c r="S770">
        <v>13.86</v>
      </c>
      <c r="T770">
        <v>0.28999999999999998</v>
      </c>
      <c r="U770">
        <v>-0.86</v>
      </c>
      <c r="V770">
        <v>13.58</v>
      </c>
      <c r="W770">
        <v>0</v>
      </c>
      <c r="X770" t="s">
        <v>774</v>
      </c>
      <c r="Y770" t="s">
        <v>775</v>
      </c>
      <c r="Z770" t="s">
        <v>58</v>
      </c>
      <c r="AA770" t="s">
        <v>59</v>
      </c>
      <c r="AB770" t="s">
        <v>60</v>
      </c>
      <c r="AC770" t="s">
        <v>61</v>
      </c>
      <c r="AD770" t="s">
        <v>49</v>
      </c>
      <c r="AE770" t="s">
        <v>49</v>
      </c>
      <c r="AF770" t="s">
        <v>49</v>
      </c>
      <c r="AG770" t="s">
        <v>49</v>
      </c>
      <c r="AH770" t="s">
        <v>48</v>
      </c>
      <c r="AI770" t="s">
        <v>48</v>
      </c>
      <c r="AJ770" t="s">
        <v>48</v>
      </c>
      <c r="AK770" t="s">
        <v>62</v>
      </c>
      <c r="AL770" t="s">
        <v>63</v>
      </c>
      <c r="AM770" t="s">
        <v>61</v>
      </c>
      <c r="AN770" t="s">
        <v>64</v>
      </c>
      <c r="AO770" t="s">
        <v>776</v>
      </c>
      <c r="AP770">
        <v>1</v>
      </c>
      <c r="AQ770" t="s">
        <v>66</v>
      </c>
      <c r="AR770" t="s">
        <v>329</v>
      </c>
      <c r="AS770">
        <v>2018</v>
      </c>
      <c r="AT770" t="s">
        <v>49</v>
      </c>
      <c r="AU770" t="s">
        <v>48</v>
      </c>
      <c r="AV770" t="s">
        <v>48</v>
      </c>
      <c r="AW770" t="s">
        <v>48</v>
      </c>
    </row>
    <row r="771" spans="1:49" x14ac:dyDescent="0.3">
      <c r="A771" t="s">
        <v>2122</v>
      </c>
      <c r="B771" t="s">
        <v>48</v>
      </c>
      <c r="C771" t="s">
        <v>49</v>
      </c>
      <c r="D771">
        <v>220.66</v>
      </c>
      <c r="E771">
        <v>0</v>
      </c>
      <c r="F771">
        <v>3.84</v>
      </c>
      <c r="G771" t="s">
        <v>2123</v>
      </c>
      <c r="H771" t="s">
        <v>2124</v>
      </c>
      <c r="I771" t="s">
        <v>52</v>
      </c>
      <c r="J771" t="s">
        <v>53</v>
      </c>
      <c r="K771">
        <v>320000</v>
      </c>
      <c r="L771" t="s">
        <v>126</v>
      </c>
      <c r="M771">
        <f>DOWNLOAD_2kLRbPnDtawQopEJ_UKtt22ud9U57gk8mqebZIeugNk[[#This Row],[Standard Value]]</f>
        <v>320000</v>
      </c>
      <c r="N771">
        <f>-LOG(DOWNLOAD_2kLRbPnDtawQopEJ_UKtt22ud9U57gk8mqebZIeugNk[[#This Row],[IC50]]*POWER(10, -9), 10)</f>
        <v>3.4948500216800937</v>
      </c>
      <c r="O771">
        <v>3.5</v>
      </c>
      <c r="P771" t="s">
        <v>48</v>
      </c>
      <c r="R771" t="s">
        <v>127</v>
      </c>
      <c r="S771">
        <v>15.84</v>
      </c>
      <c r="T771">
        <v>0.32</v>
      </c>
      <c r="U771">
        <v>-0.35</v>
      </c>
      <c r="V771">
        <v>11.86</v>
      </c>
      <c r="W771">
        <v>0</v>
      </c>
      <c r="X771" t="s">
        <v>774</v>
      </c>
      <c r="Y771" t="s">
        <v>775</v>
      </c>
      <c r="Z771" t="s">
        <v>58</v>
      </c>
      <c r="AA771" t="s">
        <v>59</v>
      </c>
      <c r="AB771" t="s">
        <v>60</v>
      </c>
      <c r="AC771" t="s">
        <v>61</v>
      </c>
      <c r="AD771" t="s">
        <v>49</v>
      </c>
      <c r="AE771" t="s">
        <v>49</v>
      </c>
      <c r="AF771" t="s">
        <v>49</v>
      </c>
      <c r="AG771" t="s">
        <v>49</v>
      </c>
      <c r="AH771" t="s">
        <v>48</v>
      </c>
      <c r="AI771" t="s">
        <v>48</v>
      </c>
      <c r="AJ771" t="s">
        <v>48</v>
      </c>
      <c r="AK771" t="s">
        <v>62</v>
      </c>
      <c r="AL771" t="s">
        <v>63</v>
      </c>
      <c r="AM771" t="s">
        <v>61</v>
      </c>
      <c r="AN771" t="s">
        <v>64</v>
      </c>
      <c r="AO771" t="s">
        <v>776</v>
      </c>
      <c r="AP771">
        <v>1</v>
      </c>
      <c r="AQ771" t="s">
        <v>66</v>
      </c>
      <c r="AR771" t="s">
        <v>329</v>
      </c>
      <c r="AS771">
        <v>2018</v>
      </c>
      <c r="AT771" t="s">
        <v>49</v>
      </c>
      <c r="AU771" t="s">
        <v>48</v>
      </c>
      <c r="AV771" t="s">
        <v>48</v>
      </c>
      <c r="AW771" t="s">
        <v>48</v>
      </c>
    </row>
    <row r="772" spans="1:49" x14ac:dyDescent="0.3">
      <c r="A772" t="s">
        <v>2125</v>
      </c>
      <c r="B772" t="s">
        <v>48</v>
      </c>
      <c r="C772" t="s">
        <v>49</v>
      </c>
      <c r="D772">
        <v>551.54999999999995</v>
      </c>
      <c r="E772">
        <v>1</v>
      </c>
      <c r="F772">
        <v>3.42</v>
      </c>
      <c r="G772" t="s">
        <v>203</v>
      </c>
      <c r="H772" t="s">
        <v>2126</v>
      </c>
      <c r="I772" t="s">
        <v>52</v>
      </c>
      <c r="J772" t="s">
        <v>53</v>
      </c>
      <c r="K772">
        <v>1150</v>
      </c>
      <c r="L772" t="s">
        <v>126</v>
      </c>
      <c r="M772">
        <f>DOWNLOAD_2kLRbPnDtawQopEJ_UKtt22ud9U57gk8mqebZIeugNk[[#This Row],[Standard Value]]</f>
        <v>1150</v>
      </c>
      <c r="N772">
        <f>-LOG(DOWNLOAD_2kLRbPnDtawQopEJ_UKtt22ud9U57gk8mqebZIeugNk[[#This Row],[IC50]]*POWER(10, -9), 10)</f>
        <v>5.9393021596463882</v>
      </c>
      <c r="O772">
        <v>5.94</v>
      </c>
      <c r="P772" t="s">
        <v>48</v>
      </c>
      <c r="R772" t="s">
        <v>127</v>
      </c>
      <c r="S772">
        <v>10.77</v>
      </c>
      <c r="T772">
        <v>0.2</v>
      </c>
      <c r="U772">
        <v>2.52</v>
      </c>
      <c r="V772">
        <v>5.86</v>
      </c>
      <c r="W772">
        <v>0</v>
      </c>
      <c r="X772" t="s">
        <v>527</v>
      </c>
      <c r="Y772" t="s">
        <v>528</v>
      </c>
      <c r="Z772" t="s">
        <v>58</v>
      </c>
      <c r="AA772" t="s">
        <v>59</v>
      </c>
      <c r="AB772" t="s">
        <v>60</v>
      </c>
      <c r="AC772" t="s">
        <v>61</v>
      </c>
      <c r="AD772" t="s">
        <v>49</v>
      </c>
      <c r="AE772" t="s">
        <v>49</v>
      </c>
      <c r="AF772" t="s">
        <v>49</v>
      </c>
      <c r="AG772" t="s">
        <v>49</v>
      </c>
      <c r="AH772" t="s">
        <v>48</v>
      </c>
      <c r="AI772" t="s">
        <v>48</v>
      </c>
      <c r="AJ772" t="s">
        <v>48</v>
      </c>
      <c r="AK772" t="s">
        <v>62</v>
      </c>
      <c r="AL772" t="s">
        <v>63</v>
      </c>
      <c r="AM772" t="s">
        <v>61</v>
      </c>
      <c r="AN772" t="s">
        <v>64</v>
      </c>
      <c r="AO772" t="s">
        <v>529</v>
      </c>
      <c r="AP772">
        <v>1</v>
      </c>
      <c r="AQ772" t="s">
        <v>66</v>
      </c>
      <c r="AR772" t="s">
        <v>267</v>
      </c>
      <c r="AS772">
        <v>2014</v>
      </c>
      <c r="AT772" t="s">
        <v>49</v>
      </c>
      <c r="AU772" t="s">
        <v>48</v>
      </c>
      <c r="AV772" t="s">
        <v>48</v>
      </c>
      <c r="AW772" t="s">
        <v>48</v>
      </c>
    </row>
    <row r="773" spans="1:49" x14ac:dyDescent="0.3">
      <c r="A773" t="s">
        <v>2127</v>
      </c>
      <c r="B773" t="s">
        <v>48</v>
      </c>
      <c r="C773" t="s">
        <v>49</v>
      </c>
      <c r="D773">
        <v>369.23</v>
      </c>
      <c r="E773">
        <v>0</v>
      </c>
      <c r="F773">
        <v>3.59</v>
      </c>
      <c r="G773" t="s">
        <v>1433</v>
      </c>
      <c r="H773" t="s">
        <v>2128</v>
      </c>
      <c r="I773" t="s">
        <v>52</v>
      </c>
      <c r="J773" t="s">
        <v>53</v>
      </c>
      <c r="K773">
        <v>11</v>
      </c>
      <c r="L773" t="s">
        <v>126</v>
      </c>
      <c r="M773">
        <f>DOWNLOAD_2kLRbPnDtawQopEJ_UKtt22ud9U57gk8mqebZIeugNk[[#This Row],[Standard Value]]</f>
        <v>11</v>
      </c>
      <c r="N773">
        <f>-LOG(DOWNLOAD_2kLRbPnDtawQopEJ_UKtt22ud9U57gk8mqebZIeugNk[[#This Row],[IC50]]*POWER(10, -9), 10)</f>
        <v>7.9586073148417746</v>
      </c>
      <c r="O773">
        <v>7.96</v>
      </c>
      <c r="P773" t="s">
        <v>48</v>
      </c>
      <c r="R773" t="s">
        <v>127</v>
      </c>
      <c r="S773">
        <v>21.55</v>
      </c>
      <c r="T773">
        <v>0.47</v>
      </c>
      <c r="U773">
        <v>4.37</v>
      </c>
      <c r="V773">
        <v>7.89</v>
      </c>
      <c r="W773">
        <v>0</v>
      </c>
      <c r="X773" t="s">
        <v>296</v>
      </c>
      <c r="Y773" t="s">
        <v>297</v>
      </c>
      <c r="Z773" t="s">
        <v>58</v>
      </c>
      <c r="AA773" t="s">
        <v>59</v>
      </c>
      <c r="AB773" t="s">
        <v>60</v>
      </c>
      <c r="AC773" t="s">
        <v>61</v>
      </c>
      <c r="AD773" t="s">
        <v>49</v>
      </c>
      <c r="AE773" t="s">
        <v>49</v>
      </c>
      <c r="AF773" t="s">
        <v>49</v>
      </c>
      <c r="AG773" t="s">
        <v>49</v>
      </c>
      <c r="AH773" t="s">
        <v>48</v>
      </c>
      <c r="AI773" t="s">
        <v>48</v>
      </c>
      <c r="AJ773" t="s">
        <v>48</v>
      </c>
      <c r="AK773" t="s">
        <v>62</v>
      </c>
      <c r="AL773" t="s">
        <v>63</v>
      </c>
      <c r="AM773" t="s">
        <v>61</v>
      </c>
      <c r="AN773" t="s">
        <v>64</v>
      </c>
      <c r="AO773" t="s">
        <v>298</v>
      </c>
      <c r="AP773">
        <v>1</v>
      </c>
      <c r="AQ773" t="s">
        <v>66</v>
      </c>
      <c r="AR773" t="s">
        <v>131</v>
      </c>
      <c r="AS773">
        <v>2021</v>
      </c>
      <c r="AT773" t="s">
        <v>49</v>
      </c>
      <c r="AU773" t="s">
        <v>299</v>
      </c>
      <c r="AV773" t="s">
        <v>269</v>
      </c>
      <c r="AW773" t="s">
        <v>48</v>
      </c>
    </row>
    <row r="774" spans="1:49" x14ac:dyDescent="0.3">
      <c r="A774" t="s">
        <v>2129</v>
      </c>
      <c r="B774" t="s">
        <v>48</v>
      </c>
      <c r="C774" t="s">
        <v>49</v>
      </c>
      <c r="D774">
        <v>494.33</v>
      </c>
      <c r="E774">
        <v>1</v>
      </c>
      <c r="F774">
        <v>5.91</v>
      </c>
      <c r="G774" t="s">
        <v>2130</v>
      </c>
      <c r="H774" t="s">
        <v>2131</v>
      </c>
      <c r="I774" t="s">
        <v>52</v>
      </c>
      <c r="J774" t="s">
        <v>295</v>
      </c>
      <c r="K774">
        <v>10</v>
      </c>
      <c r="L774" t="s">
        <v>126</v>
      </c>
      <c r="M774">
        <f>DOWNLOAD_2kLRbPnDtawQopEJ_UKtt22ud9U57gk8mqebZIeugNk[[#This Row],[Standard Value]]</f>
        <v>10</v>
      </c>
      <c r="N774">
        <f>-LOG(DOWNLOAD_2kLRbPnDtawQopEJ_UKtt22ud9U57gk8mqebZIeugNk[[#This Row],[IC50]]*POWER(10, -9), 10)</f>
        <v>8</v>
      </c>
      <c r="P774" t="s">
        <v>48</v>
      </c>
      <c r="R774" t="s">
        <v>127</v>
      </c>
      <c r="W774">
        <v>0</v>
      </c>
      <c r="X774" t="s">
        <v>296</v>
      </c>
      <c r="Y774" t="s">
        <v>297</v>
      </c>
      <c r="Z774" t="s">
        <v>58</v>
      </c>
      <c r="AA774" t="s">
        <v>59</v>
      </c>
      <c r="AB774" t="s">
        <v>60</v>
      </c>
      <c r="AC774" t="s">
        <v>61</v>
      </c>
      <c r="AD774" t="s">
        <v>49</v>
      </c>
      <c r="AE774" t="s">
        <v>49</v>
      </c>
      <c r="AF774" t="s">
        <v>49</v>
      </c>
      <c r="AG774" t="s">
        <v>49</v>
      </c>
      <c r="AH774" t="s">
        <v>48</v>
      </c>
      <c r="AI774" t="s">
        <v>48</v>
      </c>
      <c r="AJ774" t="s">
        <v>48</v>
      </c>
      <c r="AK774" t="s">
        <v>62</v>
      </c>
      <c r="AL774" t="s">
        <v>63</v>
      </c>
      <c r="AM774" t="s">
        <v>61</v>
      </c>
      <c r="AN774" t="s">
        <v>64</v>
      </c>
      <c r="AO774" t="s">
        <v>298</v>
      </c>
      <c r="AP774">
        <v>1</v>
      </c>
      <c r="AQ774" t="s">
        <v>66</v>
      </c>
      <c r="AR774" t="s">
        <v>131</v>
      </c>
      <c r="AS774">
        <v>2021</v>
      </c>
      <c r="AT774" t="s">
        <v>49</v>
      </c>
      <c r="AU774" t="s">
        <v>299</v>
      </c>
      <c r="AV774" t="s">
        <v>269</v>
      </c>
      <c r="AW774" t="s">
        <v>48</v>
      </c>
    </row>
    <row r="775" spans="1:49" x14ac:dyDescent="0.3">
      <c r="A775" t="s">
        <v>2132</v>
      </c>
      <c r="B775" t="s">
        <v>48</v>
      </c>
      <c r="C775" t="s">
        <v>49</v>
      </c>
      <c r="D775">
        <v>465.75</v>
      </c>
      <c r="E775">
        <v>0</v>
      </c>
      <c r="F775">
        <v>3.53</v>
      </c>
      <c r="G775" t="s">
        <v>105</v>
      </c>
      <c r="H775" t="s">
        <v>2133</v>
      </c>
      <c r="I775" t="s">
        <v>52</v>
      </c>
      <c r="J775" t="s">
        <v>295</v>
      </c>
      <c r="K775">
        <v>10</v>
      </c>
      <c r="L775" t="s">
        <v>126</v>
      </c>
      <c r="M775">
        <f>DOWNLOAD_2kLRbPnDtawQopEJ_UKtt22ud9U57gk8mqebZIeugNk[[#This Row],[Standard Value]]</f>
        <v>10</v>
      </c>
      <c r="N775">
        <f>-LOG(DOWNLOAD_2kLRbPnDtawQopEJ_UKtt22ud9U57gk8mqebZIeugNk[[#This Row],[IC50]]*POWER(10, -9), 10)</f>
        <v>8</v>
      </c>
      <c r="P775" t="s">
        <v>48</v>
      </c>
      <c r="R775" t="s">
        <v>127</v>
      </c>
      <c r="W775">
        <v>0</v>
      </c>
      <c r="X775" t="s">
        <v>296</v>
      </c>
      <c r="Y775" t="s">
        <v>297</v>
      </c>
      <c r="Z775" t="s">
        <v>58</v>
      </c>
      <c r="AA775" t="s">
        <v>59</v>
      </c>
      <c r="AB775" t="s">
        <v>60</v>
      </c>
      <c r="AC775" t="s">
        <v>61</v>
      </c>
      <c r="AD775" t="s">
        <v>49</v>
      </c>
      <c r="AE775" t="s">
        <v>49</v>
      </c>
      <c r="AF775" t="s">
        <v>49</v>
      </c>
      <c r="AG775" t="s">
        <v>49</v>
      </c>
      <c r="AH775" t="s">
        <v>48</v>
      </c>
      <c r="AI775" t="s">
        <v>48</v>
      </c>
      <c r="AJ775" t="s">
        <v>48</v>
      </c>
      <c r="AK775" t="s">
        <v>62</v>
      </c>
      <c r="AL775" t="s">
        <v>63</v>
      </c>
      <c r="AM775" t="s">
        <v>61</v>
      </c>
      <c r="AN775" t="s">
        <v>64</v>
      </c>
      <c r="AO775" t="s">
        <v>298</v>
      </c>
      <c r="AP775">
        <v>1</v>
      </c>
      <c r="AQ775" t="s">
        <v>66</v>
      </c>
      <c r="AR775" t="s">
        <v>131</v>
      </c>
      <c r="AS775">
        <v>2021</v>
      </c>
      <c r="AT775" t="s">
        <v>49</v>
      </c>
      <c r="AU775" t="s">
        <v>299</v>
      </c>
      <c r="AV775" t="s">
        <v>269</v>
      </c>
      <c r="AW775" t="s">
        <v>48</v>
      </c>
    </row>
    <row r="776" spans="1:49" x14ac:dyDescent="0.3">
      <c r="A776" t="s">
        <v>2134</v>
      </c>
      <c r="B776" t="s">
        <v>48</v>
      </c>
      <c r="C776" t="s">
        <v>49</v>
      </c>
      <c r="D776">
        <v>371.32</v>
      </c>
      <c r="E776">
        <v>0</v>
      </c>
      <c r="F776">
        <v>2.37</v>
      </c>
      <c r="G776" t="s">
        <v>2135</v>
      </c>
      <c r="H776" t="s">
        <v>2136</v>
      </c>
      <c r="I776" t="s">
        <v>52</v>
      </c>
      <c r="J776" t="s">
        <v>53</v>
      </c>
      <c r="K776">
        <v>1.1000000000000001</v>
      </c>
      <c r="L776" t="s">
        <v>126</v>
      </c>
      <c r="M776">
        <f>DOWNLOAD_2kLRbPnDtawQopEJ_UKtt22ud9U57gk8mqebZIeugNk[[#This Row],[Standard Value]]</f>
        <v>1.1000000000000001</v>
      </c>
      <c r="N776">
        <f>-LOG(DOWNLOAD_2kLRbPnDtawQopEJ_UKtt22ud9U57gk8mqebZIeugNk[[#This Row],[IC50]]*POWER(10, -9), 10)</f>
        <v>8.9586073148417729</v>
      </c>
      <c r="O776">
        <v>8.9600000000000009</v>
      </c>
      <c r="P776" t="s">
        <v>48</v>
      </c>
      <c r="R776" t="s">
        <v>127</v>
      </c>
      <c r="S776">
        <v>24.13</v>
      </c>
      <c r="T776">
        <v>0.45</v>
      </c>
      <c r="U776">
        <v>6.59</v>
      </c>
      <c r="V776">
        <v>6.81</v>
      </c>
      <c r="W776">
        <v>0</v>
      </c>
      <c r="X776" t="s">
        <v>264</v>
      </c>
      <c r="Y776" t="s">
        <v>265</v>
      </c>
      <c r="Z776" t="s">
        <v>58</v>
      </c>
      <c r="AA776" t="s">
        <v>59</v>
      </c>
      <c r="AB776" t="s">
        <v>60</v>
      </c>
      <c r="AC776" t="s">
        <v>61</v>
      </c>
      <c r="AD776" t="s">
        <v>49</v>
      </c>
      <c r="AE776" t="s">
        <v>49</v>
      </c>
      <c r="AF776" t="s">
        <v>49</v>
      </c>
      <c r="AG776" t="s">
        <v>49</v>
      </c>
      <c r="AH776" t="s">
        <v>48</v>
      </c>
      <c r="AI776" t="s">
        <v>48</v>
      </c>
      <c r="AJ776" t="s">
        <v>48</v>
      </c>
      <c r="AK776" t="s">
        <v>62</v>
      </c>
      <c r="AL776" t="s">
        <v>63</v>
      </c>
      <c r="AM776" t="s">
        <v>61</v>
      </c>
      <c r="AN776" t="s">
        <v>64</v>
      </c>
      <c r="AO776" t="s">
        <v>266</v>
      </c>
      <c r="AP776">
        <v>1</v>
      </c>
      <c r="AQ776" t="s">
        <v>66</v>
      </c>
      <c r="AR776" t="s">
        <v>267</v>
      </c>
      <c r="AS776">
        <v>2020</v>
      </c>
      <c r="AT776" t="s">
        <v>49</v>
      </c>
      <c r="AU776" t="s">
        <v>268</v>
      </c>
      <c r="AV776" t="s">
        <v>269</v>
      </c>
      <c r="AW776" t="s">
        <v>48</v>
      </c>
    </row>
    <row r="777" spans="1:49" x14ac:dyDescent="0.3">
      <c r="A777" t="s">
        <v>2137</v>
      </c>
      <c r="B777" t="s">
        <v>48</v>
      </c>
      <c r="C777" t="s">
        <v>49</v>
      </c>
      <c r="D777">
        <v>582.51</v>
      </c>
      <c r="E777">
        <v>0</v>
      </c>
      <c r="F777">
        <v>3.35</v>
      </c>
      <c r="G777" t="s">
        <v>224</v>
      </c>
      <c r="H777" t="s">
        <v>2138</v>
      </c>
      <c r="I777" t="s">
        <v>52</v>
      </c>
      <c r="J777" t="s">
        <v>53</v>
      </c>
      <c r="K777">
        <v>7.53</v>
      </c>
      <c r="L777" t="s">
        <v>126</v>
      </c>
      <c r="M777">
        <f>DOWNLOAD_2kLRbPnDtawQopEJ_UKtt22ud9U57gk8mqebZIeugNk[[#This Row],[Standard Value]]</f>
        <v>7.53</v>
      </c>
      <c r="N777">
        <f>-LOG(DOWNLOAD_2kLRbPnDtawQopEJ_UKtt22ud9U57gk8mqebZIeugNk[[#This Row],[IC50]]*POWER(10, -9), 10)</f>
        <v>8.123205023799299</v>
      </c>
      <c r="O777">
        <v>8.1199999999999992</v>
      </c>
      <c r="P777" t="s">
        <v>48</v>
      </c>
      <c r="R777" t="s">
        <v>127</v>
      </c>
      <c r="S777">
        <v>17.34</v>
      </c>
      <c r="T777">
        <v>0.33</v>
      </c>
      <c r="U777">
        <v>4.7699999999999996</v>
      </c>
      <c r="V777">
        <v>6.03</v>
      </c>
      <c r="W777">
        <v>0</v>
      </c>
      <c r="X777" t="s">
        <v>264</v>
      </c>
      <c r="Y777" t="s">
        <v>265</v>
      </c>
      <c r="Z777" t="s">
        <v>58</v>
      </c>
      <c r="AA777" t="s">
        <v>59</v>
      </c>
      <c r="AB777" t="s">
        <v>60</v>
      </c>
      <c r="AC777" t="s">
        <v>61</v>
      </c>
      <c r="AD777" t="s">
        <v>49</v>
      </c>
      <c r="AE777" t="s">
        <v>49</v>
      </c>
      <c r="AF777" t="s">
        <v>49</v>
      </c>
      <c r="AG777" t="s">
        <v>49</v>
      </c>
      <c r="AH777" t="s">
        <v>48</v>
      </c>
      <c r="AI777" t="s">
        <v>48</v>
      </c>
      <c r="AJ777" t="s">
        <v>48</v>
      </c>
      <c r="AK777" t="s">
        <v>62</v>
      </c>
      <c r="AL777" t="s">
        <v>63</v>
      </c>
      <c r="AM777" t="s">
        <v>61</v>
      </c>
      <c r="AN777" t="s">
        <v>64</v>
      </c>
      <c r="AO777" t="s">
        <v>266</v>
      </c>
      <c r="AP777">
        <v>1</v>
      </c>
      <c r="AQ777" t="s">
        <v>66</v>
      </c>
      <c r="AR777" t="s">
        <v>267</v>
      </c>
      <c r="AS777">
        <v>2020</v>
      </c>
      <c r="AT777" t="s">
        <v>49</v>
      </c>
      <c r="AU777" t="s">
        <v>268</v>
      </c>
      <c r="AV777" t="s">
        <v>269</v>
      </c>
      <c r="AW777" t="s">
        <v>48</v>
      </c>
    </row>
    <row r="778" spans="1:49" x14ac:dyDescent="0.3">
      <c r="A778" t="s">
        <v>2139</v>
      </c>
      <c r="B778" t="s">
        <v>48</v>
      </c>
      <c r="C778" t="s">
        <v>49</v>
      </c>
      <c r="D778">
        <v>481.44</v>
      </c>
      <c r="E778">
        <v>0</v>
      </c>
      <c r="F778">
        <v>0.9</v>
      </c>
      <c r="G778" t="s">
        <v>2140</v>
      </c>
      <c r="H778" t="s">
        <v>2141</v>
      </c>
      <c r="I778" t="s">
        <v>52</v>
      </c>
      <c r="J778" t="s">
        <v>53</v>
      </c>
      <c r="K778">
        <v>500</v>
      </c>
      <c r="L778" t="s">
        <v>126</v>
      </c>
      <c r="M778">
        <f>DOWNLOAD_2kLRbPnDtawQopEJ_UKtt22ud9U57gk8mqebZIeugNk[[#This Row],[Standard Value]]</f>
        <v>500</v>
      </c>
      <c r="N778">
        <f>-LOG(DOWNLOAD_2kLRbPnDtawQopEJ_UKtt22ud9U57gk8mqebZIeugNk[[#This Row],[IC50]]*POWER(10, -9), 10)</f>
        <v>6.3010299956639804</v>
      </c>
      <c r="O778">
        <v>6.3</v>
      </c>
      <c r="P778" t="s">
        <v>48</v>
      </c>
      <c r="Q778">
        <v>302953</v>
      </c>
      <c r="R778" t="s">
        <v>127</v>
      </c>
      <c r="S778">
        <v>13.09</v>
      </c>
      <c r="T778">
        <v>0.25</v>
      </c>
      <c r="U778">
        <v>5.4</v>
      </c>
      <c r="V778">
        <v>3.81</v>
      </c>
      <c r="W778">
        <v>0</v>
      </c>
      <c r="X778" t="s">
        <v>251</v>
      </c>
      <c r="Y778" t="s">
        <v>252</v>
      </c>
      <c r="Z778" t="s">
        <v>58</v>
      </c>
      <c r="AA778" t="s">
        <v>59</v>
      </c>
      <c r="AB778" t="s">
        <v>60</v>
      </c>
      <c r="AC778" t="s">
        <v>61</v>
      </c>
      <c r="AD778" t="s">
        <v>49</v>
      </c>
      <c r="AE778" t="s">
        <v>49</v>
      </c>
      <c r="AF778" t="s">
        <v>49</v>
      </c>
      <c r="AG778" t="s">
        <v>49</v>
      </c>
      <c r="AH778" t="s">
        <v>48</v>
      </c>
      <c r="AI778" t="s">
        <v>48</v>
      </c>
      <c r="AJ778" t="s">
        <v>48</v>
      </c>
      <c r="AK778" t="s">
        <v>62</v>
      </c>
      <c r="AL778" t="s">
        <v>63</v>
      </c>
      <c r="AM778" t="s">
        <v>61</v>
      </c>
      <c r="AN778" t="s">
        <v>64</v>
      </c>
      <c r="AO778" t="s">
        <v>253</v>
      </c>
      <c r="AP778">
        <v>37</v>
      </c>
      <c r="AQ778" t="s">
        <v>254</v>
      </c>
      <c r="AR778" t="s">
        <v>48</v>
      </c>
      <c r="AS778">
        <v>2015</v>
      </c>
      <c r="AT778" t="s">
        <v>49</v>
      </c>
      <c r="AU778" t="s">
        <v>48</v>
      </c>
      <c r="AV778" t="s">
        <v>48</v>
      </c>
      <c r="AW778" t="s">
        <v>48</v>
      </c>
    </row>
    <row r="779" spans="1:49" x14ac:dyDescent="0.3">
      <c r="A779" t="s">
        <v>2142</v>
      </c>
      <c r="B779" t="s">
        <v>48</v>
      </c>
      <c r="C779" t="s">
        <v>49</v>
      </c>
      <c r="D779">
        <v>420.4</v>
      </c>
      <c r="E779">
        <v>0</v>
      </c>
      <c r="F779">
        <v>-0.22</v>
      </c>
      <c r="G779" t="s">
        <v>2143</v>
      </c>
      <c r="H779" t="s">
        <v>2144</v>
      </c>
      <c r="I779" t="s">
        <v>52</v>
      </c>
      <c r="J779" t="s">
        <v>53</v>
      </c>
      <c r="K779">
        <v>1400</v>
      </c>
      <c r="L779" t="s">
        <v>126</v>
      </c>
      <c r="M779">
        <f>DOWNLOAD_2kLRbPnDtawQopEJ_UKtt22ud9U57gk8mqebZIeugNk[[#This Row],[Standard Value]]</f>
        <v>1400</v>
      </c>
      <c r="N779">
        <f>-LOG(DOWNLOAD_2kLRbPnDtawQopEJ_UKtt22ud9U57gk8mqebZIeugNk[[#This Row],[IC50]]*POWER(10, -9), 10)</f>
        <v>5.8538719643217618</v>
      </c>
      <c r="O779">
        <v>5.85</v>
      </c>
      <c r="P779" t="s">
        <v>48</v>
      </c>
      <c r="Q779">
        <v>302963</v>
      </c>
      <c r="R779" t="s">
        <v>127</v>
      </c>
      <c r="S779">
        <v>13.92</v>
      </c>
      <c r="T779">
        <v>0.27</v>
      </c>
      <c r="U779">
        <v>6.07</v>
      </c>
      <c r="V779">
        <v>3.85</v>
      </c>
      <c r="W779">
        <v>0</v>
      </c>
      <c r="X779" t="s">
        <v>251</v>
      </c>
      <c r="Y779" t="s">
        <v>252</v>
      </c>
      <c r="Z779" t="s">
        <v>58</v>
      </c>
      <c r="AA779" t="s">
        <v>59</v>
      </c>
      <c r="AB779" t="s">
        <v>60</v>
      </c>
      <c r="AC779" t="s">
        <v>61</v>
      </c>
      <c r="AD779" t="s">
        <v>49</v>
      </c>
      <c r="AE779" t="s">
        <v>49</v>
      </c>
      <c r="AF779" t="s">
        <v>49</v>
      </c>
      <c r="AG779" t="s">
        <v>49</v>
      </c>
      <c r="AH779" t="s">
        <v>48</v>
      </c>
      <c r="AI779" t="s">
        <v>48</v>
      </c>
      <c r="AJ779" t="s">
        <v>48</v>
      </c>
      <c r="AK779" t="s">
        <v>62</v>
      </c>
      <c r="AL779" t="s">
        <v>63</v>
      </c>
      <c r="AM779" t="s">
        <v>61</v>
      </c>
      <c r="AN779" t="s">
        <v>64</v>
      </c>
      <c r="AO779" t="s">
        <v>253</v>
      </c>
      <c r="AP779">
        <v>37</v>
      </c>
      <c r="AQ779" t="s">
        <v>254</v>
      </c>
      <c r="AR779" t="s">
        <v>48</v>
      </c>
      <c r="AS779">
        <v>2015</v>
      </c>
      <c r="AT779" t="s">
        <v>49</v>
      </c>
      <c r="AU779" t="s">
        <v>48</v>
      </c>
      <c r="AV779" t="s">
        <v>48</v>
      </c>
      <c r="AW779" t="s">
        <v>48</v>
      </c>
    </row>
    <row r="780" spans="1:49" x14ac:dyDescent="0.3">
      <c r="A780" t="s">
        <v>2145</v>
      </c>
      <c r="B780" t="s">
        <v>48</v>
      </c>
      <c r="C780" t="s">
        <v>49</v>
      </c>
      <c r="D780">
        <v>528.5</v>
      </c>
      <c r="E780">
        <v>1</v>
      </c>
      <c r="F780">
        <v>-0.23</v>
      </c>
      <c r="G780" t="s">
        <v>2146</v>
      </c>
      <c r="H780" t="s">
        <v>2147</v>
      </c>
      <c r="I780" t="s">
        <v>52</v>
      </c>
      <c r="J780" t="s">
        <v>53</v>
      </c>
      <c r="K780">
        <v>4900</v>
      </c>
      <c r="L780" t="s">
        <v>126</v>
      </c>
      <c r="M780">
        <f>DOWNLOAD_2kLRbPnDtawQopEJ_UKtt22ud9U57gk8mqebZIeugNk[[#This Row],[Standard Value]]</f>
        <v>4900</v>
      </c>
      <c r="N780">
        <f>-LOG(DOWNLOAD_2kLRbPnDtawQopEJ_UKtt22ud9U57gk8mqebZIeugNk[[#This Row],[IC50]]*POWER(10, -9), 10)</f>
        <v>5.3098039199714862</v>
      </c>
      <c r="O780">
        <v>5.31</v>
      </c>
      <c r="P780" t="s">
        <v>48</v>
      </c>
      <c r="Q780">
        <v>302914</v>
      </c>
      <c r="R780" t="s">
        <v>127</v>
      </c>
      <c r="S780">
        <v>10.050000000000001</v>
      </c>
      <c r="T780">
        <v>0.19</v>
      </c>
      <c r="U780">
        <v>5.54</v>
      </c>
      <c r="V780">
        <v>3.44</v>
      </c>
      <c r="W780">
        <v>0</v>
      </c>
      <c r="X780" t="s">
        <v>251</v>
      </c>
      <c r="Y780" t="s">
        <v>252</v>
      </c>
      <c r="Z780" t="s">
        <v>58</v>
      </c>
      <c r="AA780" t="s">
        <v>59</v>
      </c>
      <c r="AB780" t="s">
        <v>60</v>
      </c>
      <c r="AC780" t="s">
        <v>61</v>
      </c>
      <c r="AD780" t="s">
        <v>49</v>
      </c>
      <c r="AE780" t="s">
        <v>49</v>
      </c>
      <c r="AF780" t="s">
        <v>49</v>
      </c>
      <c r="AG780" t="s">
        <v>49</v>
      </c>
      <c r="AH780" t="s">
        <v>48</v>
      </c>
      <c r="AI780" t="s">
        <v>48</v>
      </c>
      <c r="AJ780" t="s">
        <v>48</v>
      </c>
      <c r="AK780" t="s">
        <v>62</v>
      </c>
      <c r="AL780" t="s">
        <v>63</v>
      </c>
      <c r="AM780" t="s">
        <v>61</v>
      </c>
      <c r="AN780" t="s">
        <v>64</v>
      </c>
      <c r="AO780" t="s">
        <v>253</v>
      </c>
      <c r="AP780">
        <v>37</v>
      </c>
      <c r="AQ780" t="s">
        <v>254</v>
      </c>
      <c r="AR780" t="s">
        <v>48</v>
      </c>
      <c r="AS780">
        <v>2015</v>
      </c>
      <c r="AT780" t="s">
        <v>49</v>
      </c>
      <c r="AU780" t="s">
        <v>48</v>
      </c>
      <c r="AV780" t="s">
        <v>48</v>
      </c>
      <c r="AW780" t="s">
        <v>48</v>
      </c>
    </row>
    <row r="781" spans="1:49" x14ac:dyDescent="0.3">
      <c r="A781" t="s">
        <v>2148</v>
      </c>
      <c r="B781" t="s">
        <v>48</v>
      </c>
      <c r="C781" t="s">
        <v>49</v>
      </c>
      <c r="D781">
        <v>472.48</v>
      </c>
      <c r="E781">
        <v>0</v>
      </c>
      <c r="F781">
        <v>0.27</v>
      </c>
      <c r="G781" t="s">
        <v>2149</v>
      </c>
      <c r="H781" t="s">
        <v>2150</v>
      </c>
      <c r="I781" t="s">
        <v>52</v>
      </c>
      <c r="J781" t="s">
        <v>53</v>
      </c>
      <c r="K781">
        <v>2000</v>
      </c>
      <c r="L781" t="s">
        <v>126</v>
      </c>
      <c r="M781">
        <f>DOWNLOAD_2kLRbPnDtawQopEJ_UKtt22ud9U57gk8mqebZIeugNk[[#This Row],[Standard Value]]</f>
        <v>2000</v>
      </c>
      <c r="N781">
        <f>-LOG(DOWNLOAD_2kLRbPnDtawQopEJ_UKtt22ud9U57gk8mqebZIeugNk[[#This Row],[IC50]]*POWER(10, -9), 10)</f>
        <v>5.6989700043360179</v>
      </c>
      <c r="O781">
        <v>5.7</v>
      </c>
      <c r="P781" t="s">
        <v>48</v>
      </c>
      <c r="Q781">
        <v>302958</v>
      </c>
      <c r="R781" t="s">
        <v>127</v>
      </c>
      <c r="S781">
        <v>12.06</v>
      </c>
      <c r="T781">
        <v>0.23</v>
      </c>
      <c r="U781">
        <v>5.43</v>
      </c>
      <c r="V781">
        <v>4.42</v>
      </c>
      <c r="W781">
        <v>0</v>
      </c>
      <c r="X781" t="s">
        <v>251</v>
      </c>
      <c r="Y781" t="s">
        <v>252</v>
      </c>
      <c r="Z781" t="s">
        <v>58</v>
      </c>
      <c r="AA781" t="s">
        <v>59</v>
      </c>
      <c r="AB781" t="s">
        <v>60</v>
      </c>
      <c r="AC781" t="s">
        <v>61</v>
      </c>
      <c r="AD781" t="s">
        <v>49</v>
      </c>
      <c r="AE781" t="s">
        <v>49</v>
      </c>
      <c r="AF781" t="s">
        <v>49</v>
      </c>
      <c r="AG781" t="s">
        <v>49</v>
      </c>
      <c r="AH781" t="s">
        <v>48</v>
      </c>
      <c r="AI781" t="s">
        <v>48</v>
      </c>
      <c r="AJ781" t="s">
        <v>48</v>
      </c>
      <c r="AK781" t="s">
        <v>62</v>
      </c>
      <c r="AL781" t="s">
        <v>63</v>
      </c>
      <c r="AM781" t="s">
        <v>61</v>
      </c>
      <c r="AN781" t="s">
        <v>64</v>
      </c>
      <c r="AO781" t="s">
        <v>253</v>
      </c>
      <c r="AP781">
        <v>37</v>
      </c>
      <c r="AQ781" t="s">
        <v>254</v>
      </c>
      <c r="AR781" t="s">
        <v>48</v>
      </c>
      <c r="AS781">
        <v>2015</v>
      </c>
      <c r="AT781" t="s">
        <v>49</v>
      </c>
      <c r="AU781" t="s">
        <v>48</v>
      </c>
      <c r="AV781" t="s">
        <v>48</v>
      </c>
      <c r="AW781" t="s">
        <v>48</v>
      </c>
    </row>
    <row r="782" spans="1:49" x14ac:dyDescent="0.3">
      <c r="A782" t="s">
        <v>2151</v>
      </c>
      <c r="B782" t="s">
        <v>48</v>
      </c>
      <c r="C782" t="s">
        <v>49</v>
      </c>
      <c r="D782">
        <v>525.5</v>
      </c>
      <c r="E782">
        <v>1</v>
      </c>
      <c r="F782">
        <v>0.75</v>
      </c>
      <c r="G782" t="s">
        <v>2152</v>
      </c>
      <c r="H782" t="s">
        <v>2153</v>
      </c>
      <c r="I782" t="s">
        <v>52</v>
      </c>
      <c r="J782" t="s">
        <v>53</v>
      </c>
      <c r="K782">
        <v>3300</v>
      </c>
      <c r="L782" t="s">
        <v>126</v>
      </c>
      <c r="M782">
        <f>DOWNLOAD_2kLRbPnDtawQopEJ_UKtt22ud9U57gk8mqebZIeugNk[[#This Row],[Standard Value]]</f>
        <v>3300</v>
      </c>
      <c r="N782">
        <f>-LOG(DOWNLOAD_2kLRbPnDtawQopEJ_UKtt22ud9U57gk8mqebZIeugNk[[#This Row],[IC50]]*POWER(10, -9), 10)</f>
        <v>5.481486060122112</v>
      </c>
      <c r="O782">
        <v>5.48</v>
      </c>
      <c r="P782" t="s">
        <v>48</v>
      </c>
      <c r="Q782">
        <v>302965</v>
      </c>
      <c r="R782" t="s">
        <v>127</v>
      </c>
      <c r="S782">
        <v>10.43</v>
      </c>
      <c r="T782">
        <v>0.2</v>
      </c>
      <c r="U782">
        <v>4.7300000000000004</v>
      </c>
      <c r="V782">
        <v>3.61</v>
      </c>
      <c r="W782">
        <v>0</v>
      </c>
      <c r="X782" t="s">
        <v>251</v>
      </c>
      <c r="Y782" t="s">
        <v>252</v>
      </c>
      <c r="Z782" t="s">
        <v>58</v>
      </c>
      <c r="AA782" t="s">
        <v>59</v>
      </c>
      <c r="AB782" t="s">
        <v>60</v>
      </c>
      <c r="AC782" t="s">
        <v>61</v>
      </c>
      <c r="AD782" t="s">
        <v>49</v>
      </c>
      <c r="AE782" t="s">
        <v>49</v>
      </c>
      <c r="AF782" t="s">
        <v>49</v>
      </c>
      <c r="AG782" t="s">
        <v>49</v>
      </c>
      <c r="AH782" t="s">
        <v>48</v>
      </c>
      <c r="AI782" t="s">
        <v>48</v>
      </c>
      <c r="AJ782" t="s">
        <v>48</v>
      </c>
      <c r="AK782" t="s">
        <v>62</v>
      </c>
      <c r="AL782" t="s">
        <v>63</v>
      </c>
      <c r="AM782" t="s">
        <v>61</v>
      </c>
      <c r="AN782" t="s">
        <v>64</v>
      </c>
      <c r="AO782" t="s">
        <v>253</v>
      </c>
      <c r="AP782">
        <v>37</v>
      </c>
      <c r="AQ782" t="s">
        <v>254</v>
      </c>
      <c r="AR782" t="s">
        <v>48</v>
      </c>
      <c r="AS782">
        <v>2015</v>
      </c>
      <c r="AT782" t="s">
        <v>49</v>
      </c>
      <c r="AU782" t="s">
        <v>48</v>
      </c>
      <c r="AV782" t="s">
        <v>48</v>
      </c>
      <c r="AW782" t="s">
        <v>48</v>
      </c>
    </row>
    <row r="783" spans="1:49" x14ac:dyDescent="0.3">
      <c r="A783" t="s">
        <v>1377</v>
      </c>
      <c r="B783" t="s">
        <v>48</v>
      </c>
      <c r="C783" t="s">
        <v>49</v>
      </c>
      <c r="D783">
        <v>503.57</v>
      </c>
      <c r="E783">
        <v>1</v>
      </c>
      <c r="F783">
        <v>4.1900000000000004</v>
      </c>
      <c r="G783" t="s">
        <v>1378</v>
      </c>
      <c r="H783" t="s">
        <v>1379</v>
      </c>
      <c r="I783" t="s">
        <v>52</v>
      </c>
      <c r="J783" t="s">
        <v>53</v>
      </c>
      <c r="K783">
        <v>120</v>
      </c>
      <c r="L783" t="s">
        <v>126</v>
      </c>
      <c r="M783">
        <f>DOWNLOAD_2kLRbPnDtawQopEJ_UKtt22ud9U57gk8mqebZIeugNk[[#This Row],[Standard Value]]</f>
        <v>120</v>
      </c>
      <c r="N783">
        <f>-LOG(DOWNLOAD_2kLRbPnDtawQopEJ_UKtt22ud9U57gk8mqebZIeugNk[[#This Row],[IC50]]*POWER(10, -9), 10)</f>
        <v>6.9208187539523749</v>
      </c>
      <c r="O783">
        <v>6.92</v>
      </c>
      <c r="P783" t="s">
        <v>48</v>
      </c>
      <c r="R783" t="s">
        <v>127</v>
      </c>
      <c r="S783">
        <v>13.74</v>
      </c>
      <c r="T783">
        <v>0.26</v>
      </c>
      <c r="U783">
        <v>2.73</v>
      </c>
      <c r="V783">
        <v>7.2</v>
      </c>
      <c r="W783">
        <v>0</v>
      </c>
      <c r="X783" t="s">
        <v>708</v>
      </c>
      <c r="Y783" t="s">
        <v>709</v>
      </c>
      <c r="Z783" t="s">
        <v>58</v>
      </c>
      <c r="AA783" t="s">
        <v>59</v>
      </c>
      <c r="AB783" t="s">
        <v>60</v>
      </c>
      <c r="AC783" t="s">
        <v>61</v>
      </c>
      <c r="AD783" t="s">
        <v>49</v>
      </c>
      <c r="AE783" t="s">
        <v>49</v>
      </c>
      <c r="AF783" t="s">
        <v>49</v>
      </c>
      <c r="AG783" t="s">
        <v>49</v>
      </c>
      <c r="AH783" t="s">
        <v>48</v>
      </c>
      <c r="AI783" t="s">
        <v>48</v>
      </c>
      <c r="AJ783" t="s">
        <v>48</v>
      </c>
      <c r="AK783" t="s">
        <v>62</v>
      </c>
      <c r="AL783" t="s">
        <v>63</v>
      </c>
      <c r="AM783" t="s">
        <v>61</v>
      </c>
      <c r="AN783" t="s">
        <v>64</v>
      </c>
      <c r="AO783" t="s">
        <v>710</v>
      </c>
      <c r="AP783">
        <v>1</v>
      </c>
      <c r="AQ783" t="s">
        <v>66</v>
      </c>
      <c r="AR783" t="s">
        <v>76</v>
      </c>
      <c r="AS783">
        <v>2018</v>
      </c>
      <c r="AT783" t="s">
        <v>49</v>
      </c>
      <c r="AU783" t="s">
        <v>48</v>
      </c>
      <c r="AV783" t="s">
        <v>48</v>
      </c>
      <c r="AW783" t="s">
        <v>48</v>
      </c>
    </row>
    <row r="784" spans="1:49" x14ac:dyDescent="0.3">
      <c r="A784" t="s">
        <v>2154</v>
      </c>
      <c r="B784" t="s">
        <v>48</v>
      </c>
      <c r="C784" t="s">
        <v>49</v>
      </c>
      <c r="D784">
        <v>427.48</v>
      </c>
      <c r="E784">
        <v>0</v>
      </c>
      <c r="F784">
        <v>2.52</v>
      </c>
      <c r="G784" t="s">
        <v>2155</v>
      </c>
      <c r="H784" t="s">
        <v>2156</v>
      </c>
      <c r="I784" t="s">
        <v>52</v>
      </c>
      <c r="J784" t="s">
        <v>53</v>
      </c>
      <c r="K784">
        <v>23200</v>
      </c>
      <c r="L784" t="s">
        <v>126</v>
      </c>
      <c r="M784">
        <f>DOWNLOAD_2kLRbPnDtawQopEJ_UKtt22ud9U57gk8mqebZIeugNk[[#This Row],[Standard Value]]</f>
        <v>23200</v>
      </c>
      <c r="N784">
        <f>-LOG(DOWNLOAD_2kLRbPnDtawQopEJ_UKtt22ud9U57gk8mqebZIeugNk[[#This Row],[IC50]]*POWER(10, -9), 10)</f>
        <v>4.6345120151090997</v>
      </c>
      <c r="O784">
        <v>4.63</v>
      </c>
      <c r="P784" t="s">
        <v>48</v>
      </c>
      <c r="R784" t="s">
        <v>127</v>
      </c>
      <c r="S784">
        <v>10.84</v>
      </c>
      <c r="T784">
        <v>0.2</v>
      </c>
      <c r="U784">
        <v>2.11</v>
      </c>
      <c r="V784">
        <v>4.82</v>
      </c>
      <c r="W784">
        <v>0</v>
      </c>
      <c r="X784" t="s">
        <v>708</v>
      </c>
      <c r="Y784" t="s">
        <v>709</v>
      </c>
      <c r="Z784" t="s">
        <v>58</v>
      </c>
      <c r="AA784" t="s">
        <v>59</v>
      </c>
      <c r="AB784" t="s">
        <v>60</v>
      </c>
      <c r="AC784" t="s">
        <v>61</v>
      </c>
      <c r="AD784" t="s">
        <v>49</v>
      </c>
      <c r="AE784" t="s">
        <v>49</v>
      </c>
      <c r="AF784" t="s">
        <v>49</v>
      </c>
      <c r="AG784" t="s">
        <v>49</v>
      </c>
      <c r="AH784" t="s">
        <v>48</v>
      </c>
      <c r="AI784" t="s">
        <v>48</v>
      </c>
      <c r="AJ784" t="s">
        <v>48</v>
      </c>
      <c r="AK784" t="s">
        <v>62</v>
      </c>
      <c r="AL784" t="s">
        <v>63</v>
      </c>
      <c r="AM784" t="s">
        <v>61</v>
      </c>
      <c r="AN784" t="s">
        <v>64</v>
      </c>
      <c r="AO784" t="s">
        <v>710</v>
      </c>
      <c r="AP784">
        <v>1</v>
      </c>
      <c r="AQ784" t="s">
        <v>66</v>
      </c>
      <c r="AR784" t="s">
        <v>76</v>
      </c>
      <c r="AS784">
        <v>2018</v>
      </c>
      <c r="AT784" t="s">
        <v>49</v>
      </c>
      <c r="AU784" t="s">
        <v>48</v>
      </c>
      <c r="AV784" t="s">
        <v>48</v>
      </c>
      <c r="AW784" t="s">
        <v>48</v>
      </c>
    </row>
    <row r="785" spans="1:49" x14ac:dyDescent="0.3">
      <c r="A785" t="s">
        <v>2157</v>
      </c>
      <c r="B785" t="s">
        <v>48</v>
      </c>
      <c r="C785" t="s">
        <v>49</v>
      </c>
      <c r="D785">
        <v>515.5</v>
      </c>
      <c r="E785">
        <v>1</v>
      </c>
      <c r="F785">
        <v>0.77</v>
      </c>
      <c r="G785" t="s">
        <v>2158</v>
      </c>
      <c r="H785" t="s">
        <v>2159</v>
      </c>
      <c r="I785" t="s">
        <v>52</v>
      </c>
      <c r="J785" t="s">
        <v>53</v>
      </c>
      <c r="K785">
        <v>4900</v>
      </c>
      <c r="L785" t="s">
        <v>126</v>
      </c>
      <c r="M785">
        <f>DOWNLOAD_2kLRbPnDtawQopEJ_UKtt22ud9U57gk8mqebZIeugNk[[#This Row],[Standard Value]]</f>
        <v>4900</v>
      </c>
      <c r="N785">
        <f>-LOG(DOWNLOAD_2kLRbPnDtawQopEJ_UKtt22ud9U57gk8mqebZIeugNk[[#This Row],[IC50]]*POWER(10, -9), 10)</f>
        <v>5.3098039199714862</v>
      </c>
      <c r="O785">
        <v>5.31</v>
      </c>
      <c r="P785" t="s">
        <v>48</v>
      </c>
      <c r="Q785">
        <v>302920</v>
      </c>
      <c r="R785" t="s">
        <v>127</v>
      </c>
      <c r="S785">
        <v>10.3</v>
      </c>
      <c r="T785">
        <v>0.2</v>
      </c>
      <c r="U785">
        <v>4.54</v>
      </c>
      <c r="V785">
        <v>3.49</v>
      </c>
      <c r="W785">
        <v>0</v>
      </c>
      <c r="X785" t="s">
        <v>251</v>
      </c>
      <c r="Y785" t="s">
        <v>252</v>
      </c>
      <c r="Z785" t="s">
        <v>58</v>
      </c>
      <c r="AA785" t="s">
        <v>59</v>
      </c>
      <c r="AB785" t="s">
        <v>60</v>
      </c>
      <c r="AC785" t="s">
        <v>61</v>
      </c>
      <c r="AD785" t="s">
        <v>49</v>
      </c>
      <c r="AE785" t="s">
        <v>49</v>
      </c>
      <c r="AF785" t="s">
        <v>49</v>
      </c>
      <c r="AG785" t="s">
        <v>49</v>
      </c>
      <c r="AH785" t="s">
        <v>48</v>
      </c>
      <c r="AI785" t="s">
        <v>48</v>
      </c>
      <c r="AJ785" t="s">
        <v>48</v>
      </c>
      <c r="AK785" t="s">
        <v>62</v>
      </c>
      <c r="AL785" t="s">
        <v>63</v>
      </c>
      <c r="AM785" t="s">
        <v>61</v>
      </c>
      <c r="AN785" t="s">
        <v>64</v>
      </c>
      <c r="AO785" t="s">
        <v>253</v>
      </c>
      <c r="AP785">
        <v>37</v>
      </c>
      <c r="AQ785" t="s">
        <v>254</v>
      </c>
      <c r="AR785" t="s">
        <v>48</v>
      </c>
      <c r="AS785">
        <v>2015</v>
      </c>
      <c r="AT785" t="s">
        <v>49</v>
      </c>
      <c r="AU785" t="s">
        <v>48</v>
      </c>
      <c r="AV785" t="s">
        <v>48</v>
      </c>
      <c r="AW785" t="s">
        <v>48</v>
      </c>
    </row>
    <row r="786" spans="1:49" x14ac:dyDescent="0.3">
      <c r="A786" t="s">
        <v>2160</v>
      </c>
      <c r="B786" t="s">
        <v>48</v>
      </c>
      <c r="C786" t="s">
        <v>49</v>
      </c>
      <c r="D786">
        <v>500.49</v>
      </c>
      <c r="E786">
        <v>1</v>
      </c>
      <c r="F786">
        <v>-0.1</v>
      </c>
      <c r="G786" t="s">
        <v>2161</v>
      </c>
      <c r="H786" t="s">
        <v>2162</v>
      </c>
      <c r="I786" t="s">
        <v>52</v>
      </c>
      <c r="J786" t="s">
        <v>53</v>
      </c>
      <c r="K786">
        <v>1400</v>
      </c>
      <c r="L786" t="s">
        <v>126</v>
      </c>
      <c r="M786">
        <f>DOWNLOAD_2kLRbPnDtawQopEJ_UKtt22ud9U57gk8mqebZIeugNk[[#This Row],[Standard Value]]</f>
        <v>1400</v>
      </c>
      <c r="N786">
        <f>-LOG(DOWNLOAD_2kLRbPnDtawQopEJ_UKtt22ud9U57gk8mqebZIeugNk[[#This Row],[IC50]]*POWER(10, -9), 10)</f>
        <v>5.8538719643217618</v>
      </c>
      <c r="O786">
        <v>5.85</v>
      </c>
      <c r="P786" t="s">
        <v>48</v>
      </c>
      <c r="Q786">
        <v>302936</v>
      </c>
      <c r="R786" t="s">
        <v>127</v>
      </c>
      <c r="S786">
        <v>11.7</v>
      </c>
      <c r="T786">
        <v>0.22</v>
      </c>
      <c r="U786">
        <v>5.95</v>
      </c>
      <c r="V786">
        <v>4.01</v>
      </c>
      <c r="W786">
        <v>0</v>
      </c>
      <c r="X786" t="s">
        <v>251</v>
      </c>
      <c r="Y786" t="s">
        <v>252</v>
      </c>
      <c r="Z786" t="s">
        <v>58</v>
      </c>
      <c r="AA786" t="s">
        <v>59</v>
      </c>
      <c r="AB786" t="s">
        <v>60</v>
      </c>
      <c r="AC786" t="s">
        <v>61</v>
      </c>
      <c r="AD786" t="s">
        <v>49</v>
      </c>
      <c r="AE786" t="s">
        <v>49</v>
      </c>
      <c r="AF786" t="s">
        <v>49</v>
      </c>
      <c r="AG786" t="s">
        <v>49</v>
      </c>
      <c r="AH786" t="s">
        <v>48</v>
      </c>
      <c r="AI786" t="s">
        <v>48</v>
      </c>
      <c r="AJ786" t="s">
        <v>48</v>
      </c>
      <c r="AK786" t="s">
        <v>62</v>
      </c>
      <c r="AL786" t="s">
        <v>63</v>
      </c>
      <c r="AM786" t="s">
        <v>61</v>
      </c>
      <c r="AN786" t="s">
        <v>64</v>
      </c>
      <c r="AO786" t="s">
        <v>253</v>
      </c>
      <c r="AP786">
        <v>37</v>
      </c>
      <c r="AQ786" t="s">
        <v>254</v>
      </c>
      <c r="AR786" t="s">
        <v>48</v>
      </c>
      <c r="AS786">
        <v>2015</v>
      </c>
      <c r="AT786" t="s">
        <v>49</v>
      </c>
      <c r="AU786" t="s">
        <v>48</v>
      </c>
      <c r="AV786" t="s">
        <v>48</v>
      </c>
      <c r="AW786" t="s">
        <v>48</v>
      </c>
    </row>
    <row r="787" spans="1:49" x14ac:dyDescent="0.3">
      <c r="A787" t="s">
        <v>2163</v>
      </c>
      <c r="B787" t="s">
        <v>48</v>
      </c>
      <c r="C787" t="s">
        <v>49</v>
      </c>
      <c r="D787">
        <v>577.57000000000005</v>
      </c>
      <c r="E787">
        <v>2</v>
      </c>
      <c r="F787">
        <v>0.27</v>
      </c>
      <c r="G787" t="s">
        <v>2164</v>
      </c>
      <c r="H787" t="s">
        <v>2165</v>
      </c>
      <c r="I787" t="s">
        <v>52</v>
      </c>
      <c r="J787" t="s">
        <v>53</v>
      </c>
      <c r="K787">
        <v>17000</v>
      </c>
      <c r="L787" t="s">
        <v>126</v>
      </c>
      <c r="M787">
        <f>DOWNLOAD_2kLRbPnDtawQopEJ_UKtt22ud9U57gk8mqebZIeugNk[[#This Row],[Standard Value]]</f>
        <v>17000</v>
      </c>
      <c r="N787">
        <f>-LOG(DOWNLOAD_2kLRbPnDtawQopEJ_UKtt22ud9U57gk8mqebZIeugNk[[#This Row],[IC50]]*POWER(10, -9), 10)</f>
        <v>4.7695510786217259</v>
      </c>
      <c r="O787">
        <v>4.7699999999999996</v>
      </c>
      <c r="P787" t="s">
        <v>48</v>
      </c>
      <c r="Q787">
        <v>302940</v>
      </c>
      <c r="R787" t="s">
        <v>127</v>
      </c>
      <c r="S787">
        <v>8.26</v>
      </c>
      <c r="T787">
        <v>0.16</v>
      </c>
      <c r="U787">
        <v>4.5</v>
      </c>
      <c r="V787">
        <v>2.8</v>
      </c>
      <c r="W787">
        <v>0</v>
      </c>
      <c r="X787" t="s">
        <v>251</v>
      </c>
      <c r="Y787" t="s">
        <v>252</v>
      </c>
      <c r="Z787" t="s">
        <v>58</v>
      </c>
      <c r="AA787" t="s">
        <v>59</v>
      </c>
      <c r="AB787" t="s">
        <v>60</v>
      </c>
      <c r="AC787" t="s">
        <v>61</v>
      </c>
      <c r="AD787" t="s">
        <v>49</v>
      </c>
      <c r="AE787" t="s">
        <v>49</v>
      </c>
      <c r="AF787" t="s">
        <v>49</v>
      </c>
      <c r="AG787" t="s">
        <v>49</v>
      </c>
      <c r="AH787" t="s">
        <v>48</v>
      </c>
      <c r="AI787" t="s">
        <v>48</v>
      </c>
      <c r="AJ787" t="s">
        <v>48</v>
      </c>
      <c r="AK787" t="s">
        <v>62</v>
      </c>
      <c r="AL787" t="s">
        <v>63</v>
      </c>
      <c r="AM787" t="s">
        <v>61</v>
      </c>
      <c r="AN787" t="s">
        <v>64</v>
      </c>
      <c r="AO787" t="s">
        <v>253</v>
      </c>
      <c r="AP787">
        <v>37</v>
      </c>
      <c r="AQ787" t="s">
        <v>254</v>
      </c>
      <c r="AR787" t="s">
        <v>48</v>
      </c>
      <c r="AS787">
        <v>2015</v>
      </c>
      <c r="AT787" t="s">
        <v>49</v>
      </c>
      <c r="AU787" t="s">
        <v>48</v>
      </c>
      <c r="AV787" t="s">
        <v>48</v>
      </c>
      <c r="AW787" t="s">
        <v>48</v>
      </c>
    </row>
    <row r="788" spans="1:49" x14ac:dyDescent="0.3">
      <c r="A788" t="s">
        <v>2166</v>
      </c>
      <c r="B788" t="s">
        <v>48</v>
      </c>
      <c r="C788" t="s">
        <v>49</v>
      </c>
      <c r="D788">
        <v>512.52</v>
      </c>
      <c r="E788">
        <v>1</v>
      </c>
      <c r="F788">
        <v>2.04</v>
      </c>
      <c r="G788" t="s">
        <v>2167</v>
      </c>
      <c r="H788" t="s">
        <v>2168</v>
      </c>
      <c r="I788" t="s">
        <v>52</v>
      </c>
      <c r="J788" t="s">
        <v>53</v>
      </c>
      <c r="K788">
        <v>600</v>
      </c>
      <c r="L788" t="s">
        <v>126</v>
      </c>
      <c r="M788">
        <f>DOWNLOAD_2kLRbPnDtawQopEJ_UKtt22ud9U57gk8mqebZIeugNk[[#This Row],[Standard Value]]</f>
        <v>600</v>
      </c>
      <c r="N788">
        <f>-LOG(DOWNLOAD_2kLRbPnDtawQopEJ_UKtt22ud9U57gk8mqebZIeugNk[[#This Row],[IC50]]*POWER(10, -9), 10)</f>
        <v>6.2218487496163553</v>
      </c>
      <c r="O788">
        <v>6.22</v>
      </c>
      <c r="P788" t="s">
        <v>48</v>
      </c>
      <c r="Q788">
        <v>302948</v>
      </c>
      <c r="R788" t="s">
        <v>127</v>
      </c>
      <c r="S788">
        <v>12.14</v>
      </c>
      <c r="T788">
        <v>0.24</v>
      </c>
      <c r="U788">
        <v>4.18</v>
      </c>
      <c r="V788">
        <v>4.46</v>
      </c>
      <c r="W788">
        <v>0</v>
      </c>
      <c r="X788" t="s">
        <v>251</v>
      </c>
      <c r="Y788" t="s">
        <v>252</v>
      </c>
      <c r="Z788" t="s">
        <v>58</v>
      </c>
      <c r="AA788" t="s">
        <v>59</v>
      </c>
      <c r="AB788" t="s">
        <v>60</v>
      </c>
      <c r="AC788" t="s">
        <v>61</v>
      </c>
      <c r="AD788" t="s">
        <v>49</v>
      </c>
      <c r="AE788" t="s">
        <v>49</v>
      </c>
      <c r="AF788" t="s">
        <v>49</v>
      </c>
      <c r="AG788" t="s">
        <v>49</v>
      </c>
      <c r="AH788" t="s">
        <v>48</v>
      </c>
      <c r="AI788" t="s">
        <v>48</v>
      </c>
      <c r="AJ788" t="s">
        <v>48</v>
      </c>
      <c r="AK788" t="s">
        <v>62</v>
      </c>
      <c r="AL788" t="s">
        <v>63</v>
      </c>
      <c r="AM788" t="s">
        <v>61</v>
      </c>
      <c r="AN788" t="s">
        <v>64</v>
      </c>
      <c r="AO788" t="s">
        <v>253</v>
      </c>
      <c r="AP788">
        <v>37</v>
      </c>
      <c r="AQ788" t="s">
        <v>254</v>
      </c>
      <c r="AR788" t="s">
        <v>48</v>
      </c>
      <c r="AS788">
        <v>2015</v>
      </c>
      <c r="AT788" t="s">
        <v>49</v>
      </c>
      <c r="AU788" t="s">
        <v>48</v>
      </c>
      <c r="AV788" t="s">
        <v>48</v>
      </c>
      <c r="AW788" t="s">
        <v>48</v>
      </c>
    </row>
    <row r="789" spans="1:49" x14ac:dyDescent="0.3">
      <c r="A789" t="s">
        <v>2169</v>
      </c>
      <c r="B789" t="s">
        <v>48</v>
      </c>
      <c r="C789" t="s">
        <v>49</v>
      </c>
      <c r="D789">
        <v>509.5</v>
      </c>
      <c r="E789">
        <v>1</v>
      </c>
      <c r="F789">
        <v>1.38</v>
      </c>
      <c r="G789" t="s">
        <v>2170</v>
      </c>
      <c r="H789" t="s">
        <v>2171</v>
      </c>
      <c r="I789" t="s">
        <v>52</v>
      </c>
      <c r="J789" t="s">
        <v>53</v>
      </c>
      <c r="K789">
        <v>5000</v>
      </c>
      <c r="L789" t="s">
        <v>126</v>
      </c>
      <c r="M789">
        <f>DOWNLOAD_2kLRbPnDtawQopEJ_UKtt22ud9U57gk8mqebZIeugNk[[#This Row],[Standard Value]]</f>
        <v>5000</v>
      </c>
      <c r="N789">
        <f>-LOG(DOWNLOAD_2kLRbPnDtawQopEJ_UKtt22ud9U57gk8mqebZIeugNk[[#This Row],[IC50]]*POWER(10, -9), 10)</f>
        <v>5.3010299956639813</v>
      </c>
      <c r="O789">
        <v>5.3</v>
      </c>
      <c r="P789" t="s">
        <v>48</v>
      </c>
      <c r="Q789">
        <v>302956</v>
      </c>
      <c r="R789" t="s">
        <v>127</v>
      </c>
      <c r="S789">
        <v>10.4</v>
      </c>
      <c r="T789">
        <v>0.2</v>
      </c>
      <c r="U789">
        <v>3.92</v>
      </c>
      <c r="V789">
        <v>3.71</v>
      </c>
      <c r="W789">
        <v>0</v>
      </c>
      <c r="X789" t="s">
        <v>251</v>
      </c>
      <c r="Y789" t="s">
        <v>252</v>
      </c>
      <c r="Z789" t="s">
        <v>58</v>
      </c>
      <c r="AA789" t="s">
        <v>59</v>
      </c>
      <c r="AB789" t="s">
        <v>60</v>
      </c>
      <c r="AC789" t="s">
        <v>61</v>
      </c>
      <c r="AD789" t="s">
        <v>49</v>
      </c>
      <c r="AE789" t="s">
        <v>49</v>
      </c>
      <c r="AF789" t="s">
        <v>49</v>
      </c>
      <c r="AG789" t="s">
        <v>49</v>
      </c>
      <c r="AH789" t="s">
        <v>48</v>
      </c>
      <c r="AI789" t="s">
        <v>48</v>
      </c>
      <c r="AJ789" t="s">
        <v>48</v>
      </c>
      <c r="AK789" t="s">
        <v>62</v>
      </c>
      <c r="AL789" t="s">
        <v>63</v>
      </c>
      <c r="AM789" t="s">
        <v>61</v>
      </c>
      <c r="AN789" t="s">
        <v>64</v>
      </c>
      <c r="AO789" t="s">
        <v>253</v>
      </c>
      <c r="AP789">
        <v>37</v>
      </c>
      <c r="AQ789" t="s">
        <v>254</v>
      </c>
      <c r="AR789" t="s">
        <v>48</v>
      </c>
      <c r="AS789">
        <v>2015</v>
      </c>
      <c r="AT789" t="s">
        <v>49</v>
      </c>
      <c r="AU789" t="s">
        <v>48</v>
      </c>
      <c r="AV789" t="s">
        <v>48</v>
      </c>
      <c r="AW789" t="s">
        <v>48</v>
      </c>
    </row>
    <row r="790" spans="1:49" x14ac:dyDescent="0.3">
      <c r="A790" t="s">
        <v>2172</v>
      </c>
      <c r="B790" t="s">
        <v>48</v>
      </c>
      <c r="C790" t="s">
        <v>49</v>
      </c>
      <c r="D790">
        <v>511.47</v>
      </c>
      <c r="E790">
        <v>1</v>
      </c>
      <c r="F790">
        <v>0.4</v>
      </c>
      <c r="G790" t="s">
        <v>2173</v>
      </c>
      <c r="H790" t="s">
        <v>2174</v>
      </c>
      <c r="I790" t="s">
        <v>52</v>
      </c>
      <c r="J790" t="s">
        <v>53</v>
      </c>
      <c r="K790">
        <v>2700</v>
      </c>
      <c r="L790" t="s">
        <v>126</v>
      </c>
      <c r="M790">
        <f>DOWNLOAD_2kLRbPnDtawQopEJ_UKtt22ud9U57gk8mqebZIeugNk[[#This Row],[Standard Value]]</f>
        <v>2700</v>
      </c>
      <c r="N790">
        <f>-LOG(DOWNLOAD_2kLRbPnDtawQopEJ_UKtt22ud9U57gk8mqebZIeugNk[[#This Row],[IC50]]*POWER(10, -9), 10)</f>
        <v>5.5686362358410122</v>
      </c>
      <c r="O790">
        <v>5.57</v>
      </c>
      <c r="P790" t="s">
        <v>48</v>
      </c>
      <c r="Q790">
        <v>302966</v>
      </c>
      <c r="R790" t="s">
        <v>127</v>
      </c>
      <c r="S790">
        <v>10.89</v>
      </c>
      <c r="T790">
        <v>0.21</v>
      </c>
      <c r="U790">
        <v>5.17</v>
      </c>
      <c r="V790">
        <v>3.47</v>
      </c>
      <c r="W790">
        <v>0</v>
      </c>
      <c r="X790" t="s">
        <v>251</v>
      </c>
      <c r="Y790" t="s">
        <v>252</v>
      </c>
      <c r="Z790" t="s">
        <v>58</v>
      </c>
      <c r="AA790" t="s">
        <v>59</v>
      </c>
      <c r="AB790" t="s">
        <v>60</v>
      </c>
      <c r="AC790" t="s">
        <v>61</v>
      </c>
      <c r="AD790" t="s">
        <v>49</v>
      </c>
      <c r="AE790" t="s">
        <v>49</v>
      </c>
      <c r="AF790" t="s">
        <v>49</v>
      </c>
      <c r="AG790" t="s">
        <v>49</v>
      </c>
      <c r="AH790" t="s">
        <v>48</v>
      </c>
      <c r="AI790" t="s">
        <v>48</v>
      </c>
      <c r="AJ790" t="s">
        <v>48</v>
      </c>
      <c r="AK790" t="s">
        <v>62</v>
      </c>
      <c r="AL790" t="s">
        <v>63</v>
      </c>
      <c r="AM790" t="s">
        <v>61</v>
      </c>
      <c r="AN790" t="s">
        <v>64</v>
      </c>
      <c r="AO790" t="s">
        <v>253</v>
      </c>
      <c r="AP790">
        <v>37</v>
      </c>
      <c r="AQ790" t="s">
        <v>254</v>
      </c>
      <c r="AR790" t="s">
        <v>48</v>
      </c>
      <c r="AS790">
        <v>2015</v>
      </c>
      <c r="AT790" t="s">
        <v>49</v>
      </c>
      <c r="AU790" t="s">
        <v>48</v>
      </c>
      <c r="AV790" t="s">
        <v>48</v>
      </c>
      <c r="AW790" t="s">
        <v>48</v>
      </c>
    </row>
    <row r="791" spans="1:49" x14ac:dyDescent="0.3">
      <c r="A791" t="s">
        <v>2175</v>
      </c>
      <c r="B791" t="s">
        <v>48</v>
      </c>
      <c r="C791" t="s">
        <v>49</v>
      </c>
      <c r="D791">
        <v>485.09</v>
      </c>
      <c r="E791">
        <v>0</v>
      </c>
      <c r="F791">
        <v>3.08</v>
      </c>
      <c r="G791" t="s">
        <v>907</v>
      </c>
      <c r="H791" t="s">
        <v>2176</v>
      </c>
      <c r="I791" t="s">
        <v>52</v>
      </c>
      <c r="J791" t="s">
        <v>53</v>
      </c>
      <c r="K791">
        <v>1500</v>
      </c>
      <c r="L791" t="s">
        <v>126</v>
      </c>
      <c r="M791">
        <f>DOWNLOAD_2kLRbPnDtawQopEJ_UKtt22ud9U57gk8mqebZIeugNk[[#This Row],[Standard Value]]</f>
        <v>1500</v>
      </c>
      <c r="N791">
        <f>-LOG(DOWNLOAD_2kLRbPnDtawQopEJ_UKtt22ud9U57gk8mqebZIeugNk[[#This Row],[IC50]]*POWER(10, -9), 10)</f>
        <v>5.8239087409443187</v>
      </c>
      <c r="O791">
        <v>5.82</v>
      </c>
      <c r="P791" t="s">
        <v>48</v>
      </c>
      <c r="R791" t="s">
        <v>127</v>
      </c>
      <c r="S791">
        <v>12.01</v>
      </c>
      <c r="T791">
        <v>0.31</v>
      </c>
      <c r="U791">
        <v>2.74</v>
      </c>
      <c r="V791">
        <v>4.16</v>
      </c>
      <c r="W791">
        <v>0</v>
      </c>
      <c r="X791" t="s">
        <v>684</v>
      </c>
      <c r="Y791" t="s">
        <v>327</v>
      </c>
      <c r="Z791" t="s">
        <v>58</v>
      </c>
      <c r="AA791" t="s">
        <v>59</v>
      </c>
      <c r="AB791" t="s">
        <v>60</v>
      </c>
      <c r="AC791" t="s">
        <v>61</v>
      </c>
      <c r="AD791" t="s">
        <v>49</v>
      </c>
      <c r="AE791" t="s">
        <v>49</v>
      </c>
      <c r="AF791" t="s">
        <v>49</v>
      </c>
      <c r="AG791" t="s">
        <v>49</v>
      </c>
      <c r="AH791" t="s">
        <v>48</v>
      </c>
      <c r="AI791" t="s">
        <v>48</v>
      </c>
      <c r="AJ791" t="s">
        <v>48</v>
      </c>
      <c r="AK791" t="s">
        <v>62</v>
      </c>
      <c r="AL791" t="s">
        <v>63</v>
      </c>
      <c r="AM791" t="s">
        <v>61</v>
      </c>
      <c r="AN791" t="s">
        <v>64</v>
      </c>
      <c r="AO791" t="s">
        <v>685</v>
      </c>
      <c r="AP791">
        <v>1</v>
      </c>
      <c r="AQ791" t="s">
        <v>66</v>
      </c>
      <c r="AR791" t="s">
        <v>686</v>
      </c>
      <c r="AS791">
        <v>2020</v>
      </c>
      <c r="AT791" t="s">
        <v>49</v>
      </c>
      <c r="AU791" t="s">
        <v>299</v>
      </c>
      <c r="AV791" t="s">
        <v>269</v>
      </c>
      <c r="AW791" t="s">
        <v>48</v>
      </c>
    </row>
    <row r="792" spans="1:49" x14ac:dyDescent="0.3">
      <c r="A792" t="s">
        <v>2177</v>
      </c>
      <c r="B792" t="s">
        <v>48</v>
      </c>
      <c r="C792" t="s">
        <v>49</v>
      </c>
      <c r="D792">
        <v>441.3</v>
      </c>
      <c r="E792">
        <v>0</v>
      </c>
      <c r="F792">
        <v>3.99</v>
      </c>
      <c r="G792" t="s">
        <v>672</v>
      </c>
      <c r="H792" t="s">
        <v>2178</v>
      </c>
      <c r="I792" t="s">
        <v>52</v>
      </c>
      <c r="J792" t="s">
        <v>53</v>
      </c>
      <c r="K792">
        <v>48</v>
      </c>
      <c r="L792" t="s">
        <v>126</v>
      </c>
      <c r="M792">
        <f>DOWNLOAD_2kLRbPnDtawQopEJ_UKtt22ud9U57gk8mqebZIeugNk[[#This Row],[Standard Value]]</f>
        <v>48</v>
      </c>
      <c r="N792">
        <f>-LOG(DOWNLOAD_2kLRbPnDtawQopEJ_UKtt22ud9U57gk8mqebZIeugNk[[#This Row],[IC50]]*POWER(10, -9), 10)</f>
        <v>7.3187587626244124</v>
      </c>
      <c r="O792">
        <v>7.32</v>
      </c>
      <c r="P792" t="s">
        <v>48</v>
      </c>
      <c r="R792" t="s">
        <v>127</v>
      </c>
      <c r="S792">
        <v>16.579999999999998</v>
      </c>
      <c r="T792">
        <v>0.36</v>
      </c>
      <c r="U792">
        <v>3.33</v>
      </c>
      <c r="V792">
        <v>6.47</v>
      </c>
      <c r="W792">
        <v>0</v>
      </c>
      <c r="X792" t="s">
        <v>684</v>
      </c>
      <c r="Y792" t="s">
        <v>327</v>
      </c>
      <c r="Z792" t="s">
        <v>58</v>
      </c>
      <c r="AA792" t="s">
        <v>59</v>
      </c>
      <c r="AB792" t="s">
        <v>60</v>
      </c>
      <c r="AC792" t="s">
        <v>61</v>
      </c>
      <c r="AD792" t="s">
        <v>49</v>
      </c>
      <c r="AE792" t="s">
        <v>49</v>
      </c>
      <c r="AF792" t="s">
        <v>49</v>
      </c>
      <c r="AG792" t="s">
        <v>49</v>
      </c>
      <c r="AH792" t="s">
        <v>48</v>
      </c>
      <c r="AI792" t="s">
        <v>48</v>
      </c>
      <c r="AJ792" t="s">
        <v>48</v>
      </c>
      <c r="AK792" t="s">
        <v>62</v>
      </c>
      <c r="AL792" t="s">
        <v>63</v>
      </c>
      <c r="AM792" t="s">
        <v>61</v>
      </c>
      <c r="AN792" t="s">
        <v>64</v>
      </c>
      <c r="AO792" t="s">
        <v>685</v>
      </c>
      <c r="AP792">
        <v>1</v>
      </c>
      <c r="AQ792" t="s">
        <v>66</v>
      </c>
      <c r="AR792" t="s">
        <v>686</v>
      </c>
      <c r="AS792">
        <v>2020</v>
      </c>
      <c r="AT792" t="s">
        <v>49</v>
      </c>
      <c r="AU792" t="s">
        <v>299</v>
      </c>
      <c r="AV792" t="s">
        <v>269</v>
      </c>
      <c r="AW792" t="s">
        <v>48</v>
      </c>
    </row>
    <row r="793" spans="1:49" x14ac:dyDescent="0.3">
      <c r="A793" t="s">
        <v>2179</v>
      </c>
      <c r="B793" t="s">
        <v>48</v>
      </c>
      <c r="C793" t="s">
        <v>49</v>
      </c>
      <c r="D793">
        <v>497.49</v>
      </c>
      <c r="E793">
        <v>0</v>
      </c>
      <c r="F793">
        <v>1.2</v>
      </c>
      <c r="G793" t="s">
        <v>2180</v>
      </c>
      <c r="H793" t="s">
        <v>2181</v>
      </c>
      <c r="I793" t="s">
        <v>52</v>
      </c>
      <c r="J793" t="s">
        <v>53</v>
      </c>
      <c r="K793">
        <v>1200</v>
      </c>
      <c r="L793" t="s">
        <v>126</v>
      </c>
      <c r="M793">
        <f>DOWNLOAD_2kLRbPnDtawQopEJ_UKtt22ud9U57gk8mqebZIeugNk[[#This Row],[Standard Value]]</f>
        <v>1200</v>
      </c>
      <c r="N793">
        <f>-LOG(DOWNLOAD_2kLRbPnDtawQopEJ_UKtt22ud9U57gk8mqebZIeugNk[[#This Row],[IC50]]*POWER(10, -9), 10)</f>
        <v>5.920818753952374</v>
      </c>
      <c r="O793">
        <v>5.92</v>
      </c>
      <c r="P793" t="s">
        <v>48</v>
      </c>
      <c r="Q793">
        <v>302779</v>
      </c>
      <c r="R793" t="s">
        <v>127</v>
      </c>
      <c r="S793">
        <v>11.9</v>
      </c>
      <c r="T793">
        <v>0.22</v>
      </c>
      <c r="U793">
        <v>4.72</v>
      </c>
      <c r="V793">
        <v>4.12</v>
      </c>
      <c r="W793">
        <v>0</v>
      </c>
      <c r="X793" t="s">
        <v>251</v>
      </c>
      <c r="Y793" t="s">
        <v>252</v>
      </c>
      <c r="Z793" t="s">
        <v>58</v>
      </c>
      <c r="AA793" t="s">
        <v>59</v>
      </c>
      <c r="AB793" t="s">
        <v>60</v>
      </c>
      <c r="AC793" t="s">
        <v>61</v>
      </c>
      <c r="AD793" t="s">
        <v>49</v>
      </c>
      <c r="AE793" t="s">
        <v>49</v>
      </c>
      <c r="AF793" t="s">
        <v>49</v>
      </c>
      <c r="AG793" t="s">
        <v>49</v>
      </c>
      <c r="AH793" t="s">
        <v>48</v>
      </c>
      <c r="AI793" t="s">
        <v>48</v>
      </c>
      <c r="AJ793" t="s">
        <v>48</v>
      </c>
      <c r="AK793" t="s">
        <v>62</v>
      </c>
      <c r="AL793" t="s">
        <v>63</v>
      </c>
      <c r="AM793" t="s">
        <v>61</v>
      </c>
      <c r="AN793" t="s">
        <v>64</v>
      </c>
      <c r="AO793" t="s">
        <v>253</v>
      </c>
      <c r="AP793">
        <v>37</v>
      </c>
      <c r="AQ793" t="s">
        <v>254</v>
      </c>
      <c r="AR793" t="s">
        <v>48</v>
      </c>
      <c r="AS793">
        <v>2015</v>
      </c>
      <c r="AT793" t="s">
        <v>49</v>
      </c>
      <c r="AU793" t="s">
        <v>48</v>
      </c>
      <c r="AV793" t="s">
        <v>48</v>
      </c>
      <c r="AW793" t="s">
        <v>48</v>
      </c>
    </row>
    <row r="794" spans="1:49" x14ac:dyDescent="0.3">
      <c r="A794" t="s">
        <v>2182</v>
      </c>
      <c r="B794" t="s">
        <v>48</v>
      </c>
      <c r="C794" t="s">
        <v>49</v>
      </c>
      <c r="D794">
        <v>473.46</v>
      </c>
      <c r="E794">
        <v>0</v>
      </c>
      <c r="F794">
        <v>0.69</v>
      </c>
      <c r="G794" t="s">
        <v>2183</v>
      </c>
      <c r="H794" t="s">
        <v>2184</v>
      </c>
      <c r="I794" t="s">
        <v>52</v>
      </c>
      <c r="J794" t="s">
        <v>53</v>
      </c>
      <c r="K794">
        <v>2600</v>
      </c>
      <c r="L794" t="s">
        <v>126</v>
      </c>
      <c r="M794">
        <f>DOWNLOAD_2kLRbPnDtawQopEJ_UKtt22ud9U57gk8mqebZIeugNk[[#This Row],[Standard Value]]</f>
        <v>2600</v>
      </c>
      <c r="N794">
        <f>-LOG(DOWNLOAD_2kLRbPnDtawQopEJ_UKtt22ud9U57gk8mqebZIeugNk[[#This Row],[IC50]]*POWER(10, -9), 10)</f>
        <v>5.5850266520291809</v>
      </c>
      <c r="O794">
        <v>5.58</v>
      </c>
      <c r="P794" t="s">
        <v>48</v>
      </c>
      <c r="Q794">
        <v>302789</v>
      </c>
      <c r="R794" t="s">
        <v>127</v>
      </c>
      <c r="S794">
        <v>11.8</v>
      </c>
      <c r="T794">
        <v>0.22</v>
      </c>
      <c r="U794">
        <v>4.9000000000000004</v>
      </c>
      <c r="V794">
        <v>4.42</v>
      </c>
      <c r="W794">
        <v>0</v>
      </c>
      <c r="X794" t="s">
        <v>251</v>
      </c>
      <c r="Y794" t="s">
        <v>252</v>
      </c>
      <c r="Z794" t="s">
        <v>58</v>
      </c>
      <c r="AA794" t="s">
        <v>59</v>
      </c>
      <c r="AB794" t="s">
        <v>60</v>
      </c>
      <c r="AC794" t="s">
        <v>61</v>
      </c>
      <c r="AD794" t="s">
        <v>49</v>
      </c>
      <c r="AE794" t="s">
        <v>49</v>
      </c>
      <c r="AF794" t="s">
        <v>49</v>
      </c>
      <c r="AG794" t="s">
        <v>49</v>
      </c>
      <c r="AH794" t="s">
        <v>48</v>
      </c>
      <c r="AI794" t="s">
        <v>48</v>
      </c>
      <c r="AJ794" t="s">
        <v>48</v>
      </c>
      <c r="AK794" t="s">
        <v>62</v>
      </c>
      <c r="AL794" t="s">
        <v>63</v>
      </c>
      <c r="AM794" t="s">
        <v>61</v>
      </c>
      <c r="AN794" t="s">
        <v>64</v>
      </c>
      <c r="AO794" t="s">
        <v>253</v>
      </c>
      <c r="AP794">
        <v>37</v>
      </c>
      <c r="AQ794" t="s">
        <v>254</v>
      </c>
      <c r="AR794" t="s">
        <v>48</v>
      </c>
      <c r="AS794">
        <v>2015</v>
      </c>
      <c r="AT794" t="s">
        <v>49</v>
      </c>
      <c r="AU794" t="s">
        <v>48</v>
      </c>
      <c r="AV794" t="s">
        <v>48</v>
      </c>
      <c r="AW794" t="s">
        <v>48</v>
      </c>
    </row>
    <row r="795" spans="1:49" x14ac:dyDescent="0.3">
      <c r="A795" t="s">
        <v>2185</v>
      </c>
      <c r="B795" t="s">
        <v>48</v>
      </c>
      <c r="C795" t="s">
        <v>49</v>
      </c>
      <c r="D795">
        <v>459.48</v>
      </c>
      <c r="E795">
        <v>0</v>
      </c>
      <c r="F795">
        <v>1.7</v>
      </c>
      <c r="G795" t="s">
        <v>2186</v>
      </c>
      <c r="H795" t="s">
        <v>2187</v>
      </c>
      <c r="I795" t="s">
        <v>52</v>
      </c>
      <c r="J795" t="s">
        <v>53</v>
      </c>
      <c r="K795">
        <v>4300</v>
      </c>
      <c r="L795" t="s">
        <v>126</v>
      </c>
      <c r="M795">
        <f>DOWNLOAD_2kLRbPnDtawQopEJ_UKtt22ud9U57gk8mqebZIeugNk[[#This Row],[Standard Value]]</f>
        <v>4300</v>
      </c>
      <c r="N795">
        <f>-LOG(DOWNLOAD_2kLRbPnDtawQopEJ_UKtt22ud9U57gk8mqebZIeugNk[[#This Row],[IC50]]*POWER(10, -9), 10)</f>
        <v>5.3665315444204129</v>
      </c>
      <c r="O795">
        <v>5.37</v>
      </c>
      <c r="P795" t="s">
        <v>48</v>
      </c>
      <c r="Q795">
        <v>302790</v>
      </c>
      <c r="R795" t="s">
        <v>127</v>
      </c>
      <c r="S795">
        <v>11.68</v>
      </c>
      <c r="T795">
        <v>0.22</v>
      </c>
      <c r="U795">
        <v>3.67</v>
      </c>
      <c r="V795">
        <v>4.59</v>
      </c>
      <c r="W795">
        <v>0</v>
      </c>
      <c r="X795" t="s">
        <v>251</v>
      </c>
      <c r="Y795" t="s">
        <v>252</v>
      </c>
      <c r="Z795" t="s">
        <v>58</v>
      </c>
      <c r="AA795" t="s">
        <v>59</v>
      </c>
      <c r="AB795" t="s">
        <v>60</v>
      </c>
      <c r="AC795" t="s">
        <v>61</v>
      </c>
      <c r="AD795" t="s">
        <v>49</v>
      </c>
      <c r="AE795" t="s">
        <v>49</v>
      </c>
      <c r="AF795" t="s">
        <v>49</v>
      </c>
      <c r="AG795" t="s">
        <v>49</v>
      </c>
      <c r="AH795" t="s">
        <v>48</v>
      </c>
      <c r="AI795" t="s">
        <v>48</v>
      </c>
      <c r="AJ795" t="s">
        <v>48</v>
      </c>
      <c r="AK795" t="s">
        <v>62</v>
      </c>
      <c r="AL795" t="s">
        <v>63</v>
      </c>
      <c r="AM795" t="s">
        <v>61</v>
      </c>
      <c r="AN795" t="s">
        <v>64</v>
      </c>
      <c r="AO795" t="s">
        <v>253</v>
      </c>
      <c r="AP795">
        <v>37</v>
      </c>
      <c r="AQ795" t="s">
        <v>254</v>
      </c>
      <c r="AR795" t="s">
        <v>48</v>
      </c>
      <c r="AS795">
        <v>2015</v>
      </c>
      <c r="AT795" t="s">
        <v>49</v>
      </c>
      <c r="AU795" t="s">
        <v>48</v>
      </c>
      <c r="AV795" t="s">
        <v>48</v>
      </c>
      <c r="AW795" t="s">
        <v>48</v>
      </c>
    </row>
    <row r="796" spans="1:49" x14ac:dyDescent="0.3">
      <c r="A796" t="s">
        <v>2188</v>
      </c>
      <c r="B796" t="s">
        <v>48</v>
      </c>
      <c r="C796" t="s">
        <v>49</v>
      </c>
      <c r="D796">
        <v>491.76</v>
      </c>
      <c r="E796">
        <v>0</v>
      </c>
      <c r="F796">
        <v>2.44</v>
      </c>
      <c r="G796" t="s">
        <v>331</v>
      </c>
      <c r="H796" t="s">
        <v>2189</v>
      </c>
      <c r="I796" t="s">
        <v>52</v>
      </c>
      <c r="J796" t="s">
        <v>53</v>
      </c>
      <c r="K796">
        <v>31</v>
      </c>
      <c r="L796" t="s">
        <v>126</v>
      </c>
      <c r="M796">
        <f>DOWNLOAD_2kLRbPnDtawQopEJ_UKtt22ud9U57gk8mqebZIeugNk[[#This Row],[Standard Value]]</f>
        <v>31</v>
      </c>
      <c r="N796">
        <f>-LOG(DOWNLOAD_2kLRbPnDtawQopEJ_UKtt22ud9U57gk8mqebZIeugNk[[#This Row],[IC50]]*POWER(10, -9), 10)</f>
        <v>7.5086383061657269</v>
      </c>
      <c r="O796">
        <v>7.51</v>
      </c>
      <c r="P796" t="s">
        <v>48</v>
      </c>
      <c r="R796" t="s">
        <v>127</v>
      </c>
      <c r="S796">
        <v>16.489999999999998</v>
      </c>
      <c r="T796">
        <v>0.34</v>
      </c>
      <c r="U796">
        <v>5.07</v>
      </c>
      <c r="V796">
        <v>5.66</v>
      </c>
      <c r="W796">
        <v>0</v>
      </c>
      <c r="X796" t="s">
        <v>716</v>
      </c>
      <c r="Y796" t="s">
        <v>717</v>
      </c>
      <c r="Z796" t="s">
        <v>58</v>
      </c>
      <c r="AA796" t="s">
        <v>59</v>
      </c>
      <c r="AB796" t="s">
        <v>60</v>
      </c>
      <c r="AC796" t="s">
        <v>61</v>
      </c>
      <c r="AD796" t="s">
        <v>49</v>
      </c>
      <c r="AE796" t="s">
        <v>49</v>
      </c>
      <c r="AF796" t="s">
        <v>49</v>
      </c>
      <c r="AG796" t="s">
        <v>49</v>
      </c>
      <c r="AH796" t="s">
        <v>48</v>
      </c>
      <c r="AI796" t="s">
        <v>48</v>
      </c>
      <c r="AJ796" t="s">
        <v>48</v>
      </c>
      <c r="AK796" t="s">
        <v>62</v>
      </c>
      <c r="AL796" t="s">
        <v>63</v>
      </c>
      <c r="AM796" t="s">
        <v>61</v>
      </c>
      <c r="AN796" t="s">
        <v>64</v>
      </c>
      <c r="AO796" t="s">
        <v>718</v>
      </c>
      <c r="AP796">
        <v>1</v>
      </c>
      <c r="AQ796" t="s">
        <v>66</v>
      </c>
      <c r="AR796" t="s">
        <v>131</v>
      </c>
      <c r="AS796">
        <v>2019</v>
      </c>
      <c r="AT796" t="s">
        <v>49</v>
      </c>
      <c r="AU796" t="s">
        <v>299</v>
      </c>
      <c r="AV796" t="s">
        <v>269</v>
      </c>
      <c r="AW796" t="s">
        <v>48</v>
      </c>
    </row>
    <row r="797" spans="1:49" x14ac:dyDescent="0.3">
      <c r="A797" t="s">
        <v>2021</v>
      </c>
      <c r="B797" t="s">
        <v>48</v>
      </c>
      <c r="C797" t="s">
        <v>49</v>
      </c>
      <c r="D797">
        <v>403.37</v>
      </c>
      <c r="E797">
        <v>0</v>
      </c>
      <c r="F797">
        <v>0.44</v>
      </c>
      <c r="G797" t="s">
        <v>2190</v>
      </c>
      <c r="H797" t="s">
        <v>2023</v>
      </c>
      <c r="I797" t="s">
        <v>52</v>
      </c>
      <c r="J797" t="s">
        <v>53</v>
      </c>
      <c r="K797">
        <v>260</v>
      </c>
      <c r="L797" t="s">
        <v>126</v>
      </c>
      <c r="M797">
        <f>DOWNLOAD_2kLRbPnDtawQopEJ_UKtt22ud9U57gk8mqebZIeugNk[[#This Row],[Standard Value]]</f>
        <v>260</v>
      </c>
      <c r="N797">
        <f>-LOG(DOWNLOAD_2kLRbPnDtawQopEJ_UKtt22ud9U57gk8mqebZIeugNk[[#This Row],[IC50]]*POWER(10, -9), 10)</f>
        <v>6.5850266520291818</v>
      </c>
      <c r="O797">
        <v>6.58</v>
      </c>
      <c r="P797" t="s">
        <v>48</v>
      </c>
      <c r="R797" t="s">
        <v>127</v>
      </c>
      <c r="S797">
        <v>16.329999999999998</v>
      </c>
      <c r="T797">
        <v>0.31</v>
      </c>
      <c r="U797">
        <v>6.15</v>
      </c>
      <c r="V797">
        <v>4.71</v>
      </c>
      <c r="W797">
        <v>0</v>
      </c>
      <c r="X797" t="s">
        <v>519</v>
      </c>
      <c r="Y797" t="s">
        <v>520</v>
      </c>
      <c r="Z797" t="s">
        <v>58</v>
      </c>
      <c r="AA797" t="s">
        <v>59</v>
      </c>
      <c r="AB797" t="s">
        <v>60</v>
      </c>
      <c r="AC797" t="s">
        <v>61</v>
      </c>
      <c r="AD797" t="s">
        <v>49</v>
      </c>
      <c r="AE797" t="s">
        <v>49</v>
      </c>
      <c r="AF797" t="s">
        <v>49</v>
      </c>
      <c r="AG797" t="s">
        <v>49</v>
      </c>
      <c r="AH797" t="s">
        <v>48</v>
      </c>
      <c r="AI797" t="s">
        <v>48</v>
      </c>
      <c r="AJ797" t="s">
        <v>48</v>
      </c>
      <c r="AK797" t="s">
        <v>62</v>
      </c>
      <c r="AL797" t="s">
        <v>63</v>
      </c>
      <c r="AM797" t="s">
        <v>61</v>
      </c>
      <c r="AN797" t="s">
        <v>64</v>
      </c>
      <c r="AO797" t="s">
        <v>521</v>
      </c>
      <c r="AP797">
        <v>1</v>
      </c>
      <c r="AQ797" t="s">
        <v>66</v>
      </c>
      <c r="AR797" t="s">
        <v>67</v>
      </c>
      <c r="AS797">
        <v>2014</v>
      </c>
      <c r="AT797" t="s">
        <v>49</v>
      </c>
      <c r="AU797" t="s">
        <v>48</v>
      </c>
      <c r="AV797" t="s">
        <v>48</v>
      </c>
      <c r="AW797" t="s">
        <v>48</v>
      </c>
    </row>
    <row r="798" spans="1:49" x14ac:dyDescent="0.3">
      <c r="A798" t="s">
        <v>2191</v>
      </c>
      <c r="B798" t="s">
        <v>48</v>
      </c>
      <c r="C798" t="s">
        <v>49</v>
      </c>
      <c r="D798">
        <v>377.41</v>
      </c>
      <c r="E798">
        <v>0</v>
      </c>
      <c r="F798">
        <v>3.01</v>
      </c>
      <c r="G798" t="s">
        <v>2192</v>
      </c>
      <c r="H798" t="s">
        <v>2193</v>
      </c>
      <c r="I798" t="s">
        <v>52</v>
      </c>
      <c r="J798" t="s">
        <v>53</v>
      </c>
      <c r="K798">
        <v>93</v>
      </c>
      <c r="L798" t="s">
        <v>126</v>
      </c>
      <c r="M798">
        <f>DOWNLOAD_2kLRbPnDtawQopEJ_UKtt22ud9U57gk8mqebZIeugNk[[#This Row],[Standard Value]]</f>
        <v>93</v>
      </c>
      <c r="N798">
        <f>-LOG(DOWNLOAD_2kLRbPnDtawQopEJ_UKtt22ud9U57gk8mqebZIeugNk[[#This Row],[IC50]]*POWER(10, -9), 10)</f>
        <v>7.0315170514460634</v>
      </c>
      <c r="O798">
        <v>7.03</v>
      </c>
      <c r="P798" t="s">
        <v>48</v>
      </c>
      <c r="R798" t="s">
        <v>127</v>
      </c>
      <c r="S798">
        <v>18.63</v>
      </c>
      <c r="T798">
        <v>0.34</v>
      </c>
      <c r="U798">
        <v>4.0199999999999996</v>
      </c>
      <c r="V798">
        <v>5.81</v>
      </c>
      <c r="W798">
        <v>0</v>
      </c>
      <c r="X798" t="s">
        <v>128</v>
      </c>
      <c r="Y798" t="s">
        <v>129</v>
      </c>
      <c r="Z798" t="s">
        <v>58</v>
      </c>
      <c r="AA798" t="s">
        <v>59</v>
      </c>
      <c r="AB798" t="s">
        <v>60</v>
      </c>
      <c r="AC798" t="s">
        <v>61</v>
      </c>
      <c r="AD798" t="s">
        <v>49</v>
      </c>
      <c r="AE798" t="s">
        <v>49</v>
      </c>
      <c r="AF798" t="s">
        <v>49</v>
      </c>
      <c r="AG798" t="s">
        <v>49</v>
      </c>
      <c r="AH798" t="s">
        <v>48</v>
      </c>
      <c r="AI798" t="s">
        <v>48</v>
      </c>
      <c r="AJ798" t="s">
        <v>48</v>
      </c>
      <c r="AK798" t="s">
        <v>62</v>
      </c>
      <c r="AL798" t="s">
        <v>63</v>
      </c>
      <c r="AM798" t="s">
        <v>61</v>
      </c>
      <c r="AN798" t="s">
        <v>64</v>
      </c>
      <c r="AO798" t="s">
        <v>130</v>
      </c>
      <c r="AP798">
        <v>1</v>
      </c>
      <c r="AQ798" t="s">
        <v>66</v>
      </c>
      <c r="AR798" t="s">
        <v>131</v>
      </c>
      <c r="AS798">
        <v>2014</v>
      </c>
      <c r="AT798" t="s">
        <v>49</v>
      </c>
      <c r="AU798" t="s">
        <v>48</v>
      </c>
      <c r="AV798" t="s">
        <v>48</v>
      </c>
      <c r="AW798" t="s">
        <v>48</v>
      </c>
    </row>
    <row r="799" spans="1:49" x14ac:dyDescent="0.3">
      <c r="A799" t="s">
        <v>2194</v>
      </c>
      <c r="B799" t="s">
        <v>48</v>
      </c>
      <c r="C799" t="s">
        <v>49</v>
      </c>
      <c r="D799">
        <v>395.85</v>
      </c>
      <c r="E799">
        <v>0</v>
      </c>
      <c r="F799">
        <v>4.1900000000000004</v>
      </c>
      <c r="G799" t="s">
        <v>2195</v>
      </c>
      <c r="H799" t="s">
        <v>2196</v>
      </c>
      <c r="I799" t="s">
        <v>52</v>
      </c>
      <c r="J799" t="s">
        <v>53</v>
      </c>
      <c r="K799">
        <v>3020</v>
      </c>
      <c r="L799" t="s">
        <v>126</v>
      </c>
      <c r="M799">
        <f>DOWNLOAD_2kLRbPnDtawQopEJ_UKtt22ud9U57gk8mqebZIeugNk[[#This Row],[Standard Value]]</f>
        <v>3020</v>
      </c>
      <c r="N799">
        <f>-LOG(DOWNLOAD_2kLRbPnDtawQopEJ_UKtt22ud9U57gk8mqebZIeugNk[[#This Row],[IC50]]*POWER(10, -9), 10)</f>
        <v>5.5199930570428482</v>
      </c>
      <c r="O799">
        <v>5.52</v>
      </c>
      <c r="P799" t="s">
        <v>48</v>
      </c>
      <c r="R799" t="s">
        <v>127</v>
      </c>
      <c r="S799">
        <v>13.94</v>
      </c>
      <c r="T799">
        <v>0.27</v>
      </c>
      <c r="U799">
        <v>1.33</v>
      </c>
      <c r="V799">
        <v>5.75</v>
      </c>
      <c r="W799">
        <v>0</v>
      </c>
      <c r="X799" t="s">
        <v>128</v>
      </c>
      <c r="Y799" t="s">
        <v>129</v>
      </c>
      <c r="Z799" t="s">
        <v>58</v>
      </c>
      <c r="AA799" t="s">
        <v>59</v>
      </c>
      <c r="AB799" t="s">
        <v>60</v>
      </c>
      <c r="AC799" t="s">
        <v>61</v>
      </c>
      <c r="AD799" t="s">
        <v>49</v>
      </c>
      <c r="AE799" t="s">
        <v>49</v>
      </c>
      <c r="AF799" t="s">
        <v>49</v>
      </c>
      <c r="AG799" t="s">
        <v>49</v>
      </c>
      <c r="AH799" t="s">
        <v>48</v>
      </c>
      <c r="AI799" t="s">
        <v>48</v>
      </c>
      <c r="AJ799" t="s">
        <v>48</v>
      </c>
      <c r="AK799" t="s">
        <v>62</v>
      </c>
      <c r="AL799" t="s">
        <v>63</v>
      </c>
      <c r="AM799" t="s">
        <v>61</v>
      </c>
      <c r="AN799" t="s">
        <v>64</v>
      </c>
      <c r="AO799" t="s">
        <v>130</v>
      </c>
      <c r="AP799">
        <v>1</v>
      </c>
      <c r="AQ799" t="s">
        <v>66</v>
      </c>
      <c r="AR799" t="s">
        <v>131</v>
      </c>
      <c r="AS799">
        <v>2014</v>
      </c>
      <c r="AT799" t="s">
        <v>49</v>
      </c>
      <c r="AU799" t="s">
        <v>48</v>
      </c>
      <c r="AV799" t="s">
        <v>48</v>
      </c>
      <c r="AW799" t="s">
        <v>48</v>
      </c>
    </row>
    <row r="800" spans="1:49" x14ac:dyDescent="0.3">
      <c r="A800" t="s">
        <v>2197</v>
      </c>
      <c r="B800" t="s">
        <v>48</v>
      </c>
      <c r="C800" t="s">
        <v>49</v>
      </c>
      <c r="D800">
        <v>368.42</v>
      </c>
      <c r="E800">
        <v>0</v>
      </c>
      <c r="F800">
        <v>2.99</v>
      </c>
      <c r="G800" t="s">
        <v>2198</v>
      </c>
      <c r="H800" t="s">
        <v>2199</v>
      </c>
      <c r="I800" t="s">
        <v>52</v>
      </c>
      <c r="J800" t="s">
        <v>53</v>
      </c>
      <c r="K800">
        <v>560</v>
      </c>
      <c r="L800" t="s">
        <v>126</v>
      </c>
      <c r="M800">
        <f>DOWNLOAD_2kLRbPnDtawQopEJ_UKtt22ud9U57gk8mqebZIeugNk[[#This Row],[Standard Value]]</f>
        <v>560</v>
      </c>
      <c r="N800">
        <f>-LOG(DOWNLOAD_2kLRbPnDtawQopEJ_UKtt22ud9U57gk8mqebZIeugNk[[#This Row],[IC50]]*POWER(10, -9), 10)</f>
        <v>6.2518119729937984</v>
      </c>
      <c r="O800">
        <v>6.25</v>
      </c>
      <c r="P800" t="s">
        <v>48</v>
      </c>
      <c r="R800" t="s">
        <v>127</v>
      </c>
      <c r="S800">
        <v>16.97</v>
      </c>
      <c r="T800">
        <v>0.33</v>
      </c>
      <c r="U800">
        <v>3.26</v>
      </c>
      <c r="V800">
        <v>5.74</v>
      </c>
      <c r="W800">
        <v>0</v>
      </c>
      <c r="X800" t="s">
        <v>128</v>
      </c>
      <c r="Y800" t="s">
        <v>129</v>
      </c>
      <c r="Z800" t="s">
        <v>58</v>
      </c>
      <c r="AA800" t="s">
        <v>59</v>
      </c>
      <c r="AB800" t="s">
        <v>60</v>
      </c>
      <c r="AC800" t="s">
        <v>61</v>
      </c>
      <c r="AD800" t="s">
        <v>49</v>
      </c>
      <c r="AE800" t="s">
        <v>49</v>
      </c>
      <c r="AF800" t="s">
        <v>49</v>
      </c>
      <c r="AG800" t="s">
        <v>49</v>
      </c>
      <c r="AH800" t="s">
        <v>48</v>
      </c>
      <c r="AI800" t="s">
        <v>48</v>
      </c>
      <c r="AJ800" t="s">
        <v>48</v>
      </c>
      <c r="AK800" t="s">
        <v>62</v>
      </c>
      <c r="AL800" t="s">
        <v>63</v>
      </c>
      <c r="AM800" t="s">
        <v>61</v>
      </c>
      <c r="AN800" t="s">
        <v>64</v>
      </c>
      <c r="AO800" t="s">
        <v>130</v>
      </c>
      <c r="AP800">
        <v>1</v>
      </c>
      <c r="AQ800" t="s">
        <v>66</v>
      </c>
      <c r="AR800" t="s">
        <v>131</v>
      </c>
      <c r="AS800">
        <v>2014</v>
      </c>
      <c r="AT800" t="s">
        <v>49</v>
      </c>
      <c r="AU800" t="s">
        <v>48</v>
      </c>
      <c r="AV800" t="s">
        <v>48</v>
      </c>
      <c r="AW800" t="s">
        <v>48</v>
      </c>
    </row>
    <row r="801" spans="1:49" x14ac:dyDescent="0.3">
      <c r="A801" t="s">
        <v>2200</v>
      </c>
      <c r="B801" t="s">
        <v>48</v>
      </c>
      <c r="C801" t="s">
        <v>49</v>
      </c>
      <c r="D801">
        <v>299.33</v>
      </c>
      <c r="E801">
        <v>0</v>
      </c>
      <c r="F801">
        <v>2.1800000000000002</v>
      </c>
      <c r="G801" t="s">
        <v>473</v>
      </c>
      <c r="H801" t="s">
        <v>2201</v>
      </c>
      <c r="I801" t="s">
        <v>52</v>
      </c>
      <c r="J801" t="s">
        <v>53</v>
      </c>
      <c r="K801">
        <v>5300</v>
      </c>
      <c r="L801" t="s">
        <v>126</v>
      </c>
      <c r="M801">
        <f>DOWNLOAD_2kLRbPnDtawQopEJ_UKtt22ud9U57gk8mqebZIeugNk[[#This Row],[Standard Value]]</f>
        <v>5300</v>
      </c>
      <c r="N801">
        <f>-LOG(DOWNLOAD_2kLRbPnDtawQopEJ_UKtt22ud9U57gk8mqebZIeugNk[[#This Row],[IC50]]*POWER(10, -9), 10)</f>
        <v>5.2757241303992108</v>
      </c>
      <c r="O801">
        <v>5.28</v>
      </c>
      <c r="P801" t="s">
        <v>48</v>
      </c>
      <c r="R801" t="s">
        <v>127</v>
      </c>
      <c r="S801">
        <v>17.63</v>
      </c>
      <c r="T801">
        <v>0.33</v>
      </c>
      <c r="U801">
        <v>3.1</v>
      </c>
      <c r="V801">
        <v>5.49</v>
      </c>
      <c r="W801">
        <v>0</v>
      </c>
      <c r="X801" t="s">
        <v>128</v>
      </c>
      <c r="Y801" t="s">
        <v>129</v>
      </c>
      <c r="Z801" t="s">
        <v>58</v>
      </c>
      <c r="AA801" t="s">
        <v>59</v>
      </c>
      <c r="AB801" t="s">
        <v>60</v>
      </c>
      <c r="AC801" t="s">
        <v>61</v>
      </c>
      <c r="AD801" t="s">
        <v>49</v>
      </c>
      <c r="AE801" t="s">
        <v>49</v>
      </c>
      <c r="AF801" t="s">
        <v>49</v>
      </c>
      <c r="AG801" t="s">
        <v>49</v>
      </c>
      <c r="AH801" t="s">
        <v>48</v>
      </c>
      <c r="AI801" t="s">
        <v>48</v>
      </c>
      <c r="AJ801" t="s">
        <v>48</v>
      </c>
      <c r="AK801" t="s">
        <v>62</v>
      </c>
      <c r="AL801" t="s">
        <v>63</v>
      </c>
      <c r="AM801" t="s">
        <v>61</v>
      </c>
      <c r="AN801" t="s">
        <v>64</v>
      </c>
      <c r="AO801" t="s">
        <v>130</v>
      </c>
      <c r="AP801">
        <v>1</v>
      </c>
      <c r="AQ801" t="s">
        <v>66</v>
      </c>
      <c r="AR801" t="s">
        <v>131</v>
      </c>
      <c r="AS801">
        <v>2014</v>
      </c>
      <c r="AT801" t="s">
        <v>49</v>
      </c>
      <c r="AU801" t="s">
        <v>48</v>
      </c>
      <c r="AV801" t="s">
        <v>48</v>
      </c>
      <c r="AW801" t="s">
        <v>48</v>
      </c>
    </row>
    <row r="802" spans="1:49" x14ac:dyDescent="0.3">
      <c r="A802" t="s">
        <v>2202</v>
      </c>
      <c r="B802" t="s">
        <v>48</v>
      </c>
      <c r="C802" t="s">
        <v>49</v>
      </c>
      <c r="D802">
        <v>285.31</v>
      </c>
      <c r="E802">
        <v>0</v>
      </c>
      <c r="F802">
        <v>1.87</v>
      </c>
      <c r="G802" t="s">
        <v>233</v>
      </c>
      <c r="H802" t="s">
        <v>2203</v>
      </c>
      <c r="I802" t="s">
        <v>52</v>
      </c>
      <c r="J802" t="s">
        <v>53</v>
      </c>
      <c r="K802">
        <v>3500</v>
      </c>
      <c r="L802" t="s">
        <v>126</v>
      </c>
      <c r="M802">
        <f>DOWNLOAD_2kLRbPnDtawQopEJ_UKtt22ud9U57gk8mqebZIeugNk[[#This Row],[Standard Value]]</f>
        <v>3500</v>
      </c>
      <c r="N802">
        <f>-LOG(DOWNLOAD_2kLRbPnDtawQopEJ_UKtt22ud9U57gk8mqebZIeugNk[[#This Row],[IC50]]*POWER(10, -9), 10)</f>
        <v>5.4559319556497234</v>
      </c>
      <c r="O802">
        <v>5.46</v>
      </c>
      <c r="P802" t="s">
        <v>48</v>
      </c>
      <c r="R802" t="s">
        <v>127</v>
      </c>
      <c r="S802">
        <v>19.12</v>
      </c>
      <c r="T802">
        <v>0.35</v>
      </c>
      <c r="U802">
        <v>3.59</v>
      </c>
      <c r="V802">
        <v>5.68</v>
      </c>
      <c r="W802">
        <v>0</v>
      </c>
      <c r="X802" t="s">
        <v>128</v>
      </c>
      <c r="Y802" t="s">
        <v>129</v>
      </c>
      <c r="Z802" t="s">
        <v>58</v>
      </c>
      <c r="AA802" t="s">
        <v>59</v>
      </c>
      <c r="AB802" t="s">
        <v>60</v>
      </c>
      <c r="AC802" t="s">
        <v>61</v>
      </c>
      <c r="AD802" t="s">
        <v>49</v>
      </c>
      <c r="AE802" t="s">
        <v>49</v>
      </c>
      <c r="AF802" t="s">
        <v>49</v>
      </c>
      <c r="AG802" t="s">
        <v>49</v>
      </c>
      <c r="AH802" t="s">
        <v>48</v>
      </c>
      <c r="AI802" t="s">
        <v>48</v>
      </c>
      <c r="AJ802" t="s">
        <v>48</v>
      </c>
      <c r="AK802" t="s">
        <v>62</v>
      </c>
      <c r="AL802" t="s">
        <v>63</v>
      </c>
      <c r="AM802" t="s">
        <v>61</v>
      </c>
      <c r="AN802" t="s">
        <v>64</v>
      </c>
      <c r="AO802" t="s">
        <v>130</v>
      </c>
      <c r="AP802">
        <v>1</v>
      </c>
      <c r="AQ802" t="s">
        <v>66</v>
      </c>
      <c r="AR802" t="s">
        <v>131</v>
      </c>
      <c r="AS802">
        <v>2014</v>
      </c>
      <c r="AT802" t="s">
        <v>49</v>
      </c>
      <c r="AU802" t="s">
        <v>48</v>
      </c>
      <c r="AV802" t="s">
        <v>48</v>
      </c>
      <c r="AW802" t="s">
        <v>48</v>
      </c>
    </row>
    <row r="803" spans="1:49" x14ac:dyDescent="0.3">
      <c r="A803" t="s">
        <v>2204</v>
      </c>
      <c r="B803" t="s">
        <v>48</v>
      </c>
      <c r="C803" t="s">
        <v>49</v>
      </c>
      <c r="D803">
        <v>327.33999999999997</v>
      </c>
      <c r="E803">
        <v>0</v>
      </c>
      <c r="F803">
        <v>1.57</v>
      </c>
      <c r="G803" t="s">
        <v>271</v>
      </c>
      <c r="H803" t="s">
        <v>2205</v>
      </c>
      <c r="I803" t="s">
        <v>52</v>
      </c>
      <c r="J803" t="s">
        <v>53</v>
      </c>
      <c r="K803">
        <v>24500</v>
      </c>
      <c r="L803" t="s">
        <v>126</v>
      </c>
      <c r="M803">
        <f>DOWNLOAD_2kLRbPnDtawQopEJ_UKtt22ud9U57gk8mqebZIeugNk[[#This Row],[Standard Value]]</f>
        <v>24500</v>
      </c>
      <c r="N803">
        <f>-LOG(DOWNLOAD_2kLRbPnDtawQopEJ_UKtt22ud9U57gk8mqebZIeugNk[[#This Row],[IC50]]*POWER(10, -9), 10)</f>
        <v>4.6108339156354665</v>
      </c>
      <c r="O803">
        <v>4.6100000000000003</v>
      </c>
      <c r="P803" t="s">
        <v>48</v>
      </c>
      <c r="R803" t="s">
        <v>127</v>
      </c>
      <c r="S803">
        <v>14.09</v>
      </c>
      <c r="T803">
        <v>0.26</v>
      </c>
      <c r="U803">
        <v>3.04</v>
      </c>
      <c r="V803">
        <v>3.65</v>
      </c>
      <c r="W803">
        <v>0</v>
      </c>
      <c r="X803" t="s">
        <v>128</v>
      </c>
      <c r="Y803" t="s">
        <v>129</v>
      </c>
      <c r="Z803" t="s">
        <v>58</v>
      </c>
      <c r="AA803" t="s">
        <v>59</v>
      </c>
      <c r="AB803" t="s">
        <v>60</v>
      </c>
      <c r="AC803" t="s">
        <v>61</v>
      </c>
      <c r="AD803" t="s">
        <v>49</v>
      </c>
      <c r="AE803" t="s">
        <v>49</v>
      </c>
      <c r="AF803" t="s">
        <v>49</v>
      </c>
      <c r="AG803" t="s">
        <v>49</v>
      </c>
      <c r="AH803" t="s">
        <v>48</v>
      </c>
      <c r="AI803" t="s">
        <v>48</v>
      </c>
      <c r="AJ803" t="s">
        <v>48</v>
      </c>
      <c r="AK803" t="s">
        <v>62</v>
      </c>
      <c r="AL803" t="s">
        <v>63</v>
      </c>
      <c r="AM803" t="s">
        <v>61</v>
      </c>
      <c r="AN803" t="s">
        <v>64</v>
      </c>
      <c r="AO803" t="s">
        <v>130</v>
      </c>
      <c r="AP803">
        <v>1</v>
      </c>
      <c r="AQ803" t="s">
        <v>66</v>
      </c>
      <c r="AR803" t="s">
        <v>131</v>
      </c>
      <c r="AS803">
        <v>2014</v>
      </c>
      <c r="AT803" t="s">
        <v>49</v>
      </c>
      <c r="AU803" t="s">
        <v>48</v>
      </c>
      <c r="AV803" t="s">
        <v>48</v>
      </c>
      <c r="AW803" t="s">
        <v>48</v>
      </c>
    </row>
    <row r="804" spans="1:49" x14ac:dyDescent="0.3">
      <c r="A804" t="s">
        <v>2206</v>
      </c>
      <c r="B804" t="s">
        <v>48</v>
      </c>
      <c r="C804" t="s">
        <v>49</v>
      </c>
      <c r="D804">
        <v>384.25</v>
      </c>
      <c r="E804">
        <v>0</v>
      </c>
      <c r="F804">
        <v>3.98</v>
      </c>
      <c r="G804" t="s">
        <v>2207</v>
      </c>
      <c r="H804" t="s">
        <v>2208</v>
      </c>
      <c r="I804" t="s">
        <v>52</v>
      </c>
      <c r="J804" t="s">
        <v>53</v>
      </c>
      <c r="K804">
        <v>26</v>
      </c>
      <c r="L804" t="s">
        <v>126</v>
      </c>
      <c r="M804">
        <f>DOWNLOAD_2kLRbPnDtawQopEJ_UKtt22ud9U57gk8mqebZIeugNk[[#This Row],[Standard Value]]</f>
        <v>26</v>
      </c>
      <c r="N804">
        <f>-LOG(DOWNLOAD_2kLRbPnDtawQopEJ_UKtt22ud9U57gk8mqebZIeugNk[[#This Row],[IC50]]*POWER(10, -9), 10)</f>
        <v>7.5850266520291818</v>
      </c>
      <c r="O804">
        <v>7.58</v>
      </c>
      <c r="P804" t="s">
        <v>48</v>
      </c>
      <c r="R804" t="s">
        <v>127</v>
      </c>
      <c r="S804">
        <v>19.739999999999998</v>
      </c>
      <c r="T804">
        <v>0.43</v>
      </c>
      <c r="U804">
        <v>3.61</v>
      </c>
      <c r="V804">
        <v>6.72</v>
      </c>
      <c r="W804">
        <v>0</v>
      </c>
      <c r="X804" t="s">
        <v>684</v>
      </c>
      <c r="Y804" t="s">
        <v>327</v>
      </c>
      <c r="Z804" t="s">
        <v>58</v>
      </c>
      <c r="AA804" t="s">
        <v>59</v>
      </c>
      <c r="AB804" t="s">
        <v>60</v>
      </c>
      <c r="AC804" t="s">
        <v>61</v>
      </c>
      <c r="AD804" t="s">
        <v>49</v>
      </c>
      <c r="AE804" t="s">
        <v>49</v>
      </c>
      <c r="AF804" t="s">
        <v>49</v>
      </c>
      <c r="AG804" t="s">
        <v>49</v>
      </c>
      <c r="AH804" t="s">
        <v>48</v>
      </c>
      <c r="AI804" t="s">
        <v>48</v>
      </c>
      <c r="AJ804" t="s">
        <v>48</v>
      </c>
      <c r="AK804" t="s">
        <v>62</v>
      </c>
      <c r="AL804" t="s">
        <v>63</v>
      </c>
      <c r="AM804" t="s">
        <v>61</v>
      </c>
      <c r="AN804" t="s">
        <v>64</v>
      </c>
      <c r="AO804" t="s">
        <v>685</v>
      </c>
      <c r="AP804">
        <v>1</v>
      </c>
      <c r="AQ804" t="s">
        <v>66</v>
      </c>
      <c r="AR804" t="s">
        <v>686</v>
      </c>
      <c r="AS804">
        <v>2020</v>
      </c>
      <c r="AT804" t="s">
        <v>49</v>
      </c>
      <c r="AU804" t="s">
        <v>299</v>
      </c>
      <c r="AV804" t="s">
        <v>269</v>
      </c>
      <c r="AW804" t="s">
        <v>48</v>
      </c>
    </row>
    <row r="805" spans="1:49" x14ac:dyDescent="0.3">
      <c r="A805" t="s">
        <v>2209</v>
      </c>
      <c r="B805" t="s">
        <v>48</v>
      </c>
      <c r="C805" t="s">
        <v>49</v>
      </c>
      <c r="D805">
        <v>512.41999999999996</v>
      </c>
      <c r="E805">
        <v>2</v>
      </c>
      <c r="F805">
        <v>5.35</v>
      </c>
      <c r="G805" t="s">
        <v>2210</v>
      </c>
      <c r="H805" t="s">
        <v>2211</v>
      </c>
      <c r="I805" t="s">
        <v>52</v>
      </c>
      <c r="J805" t="s">
        <v>53</v>
      </c>
      <c r="K805">
        <v>110</v>
      </c>
      <c r="L805" t="s">
        <v>126</v>
      </c>
      <c r="M805">
        <f>DOWNLOAD_2kLRbPnDtawQopEJ_UKtt22ud9U57gk8mqebZIeugNk[[#This Row],[Standard Value]]</f>
        <v>110</v>
      </c>
      <c r="N805">
        <f>-LOG(DOWNLOAD_2kLRbPnDtawQopEJ_UKtt22ud9U57gk8mqebZIeugNk[[#This Row],[IC50]]*POWER(10, -9), 10)</f>
        <v>6.9586073148417746</v>
      </c>
      <c r="O805">
        <v>6.96</v>
      </c>
      <c r="P805" t="s">
        <v>48</v>
      </c>
      <c r="R805" t="s">
        <v>127</v>
      </c>
      <c r="S805">
        <v>13.58</v>
      </c>
      <c r="T805">
        <v>0.28999999999999998</v>
      </c>
      <c r="U805">
        <v>1.61</v>
      </c>
      <c r="V805">
        <v>5.56</v>
      </c>
      <c r="W805">
        <v>0</v>
      </c>
      <c r="X805" t="s">
        <v>684</v>
      </c>
      <c r="Y805" t="s">
        <v>327</v>
      </c>
      <c r="Z805" t="s">
        <v>58</v>
      </c>
      <c r="AA805" t="s">
        <v>59</v>
      </c>
      <c r="AB805" t="s">
        <v>60</v>
      </c>
      <c r="AC805" t="s">
        <v>61</v>
      </c>
      <c r="AD805" t="s">
        <v>49</v>
      </c>
      <c r="AE805" t="s">
        <v>49</v>
      </c>
      <c r="AF805" t="s">
        <v>49</v>
      </c>
      <c r="AG805" t="s">
        <v>49</v>
      </c>
      <c r="AH805" t="s">
        <v>48</v>
      </c>
      <c r="AI805" t="s">
        <v>48</v>
      </c>
      <c r="AJ805" t="s">
        <v>48</v>
      </c>
      <c r="AK805" t="s">
        <v>62</v>
      </c>
      <c r="AL805" t="s">
        <v>63</v>
      </c>
      <c r="AM805" t="s">
        <v>61</v>
      </c>
      <c r="AN805" t="s">
        <v>64</v>
      </c>
      <c r="AO805" t="s">
        <v>685</v>
      </c>
      <c r="AP805">
        <v>1</v>
      </c>
      <c r="AQ805" t="s">
        <v>66</v>
      </c>
      <c r="AR805" t="s">
        <v>686</v>
      </c>
      <c r="AS805">
        <v>2020</v>
      </c>
      <c r="AT805" t="s">
        <v>49</v>
      </c>
      <c r="AU805" t="s">
        <v>299</v>
      </c>
      <c r="AV805" t="s">
        <v>269</v>
      </c>
      <c r="AW805" t="s">
        <v>48</v>
      </c>
    </row>
    <row r="806" spans="1:49" x14ac:dyDescent="0.3">
      <c r="A806" t="s">
        <v>2212</v>
      </c>
      <c r="B806" t="s">
        <v>48</v>
      </c>
      <c r="C806" t="s">
        <v>49</v>
      </c>
      <c r="D806">
        <v>460.11</v>
      </c>
      <c r="E806">
        <v>0</v>
      </c>
      <c r="F806">
        <v>3.52</v>
      </c>
      <c r="G806" t="s">
        <v>403</v>
      </c>
      <c r="H806" t="s">
        <v>2213</v>
      </c>
      <c r="I806" t="s">
        <v>52</v>
      </c>
      <c r="J806" t="s">
        <v>53</v>
      </c>
      <c r="K806">
        <v>89</v>
      </c>
      <c r="L806" t="s">
        <v>126</v>
      </c>
      <c r="M806">
        <f>DOWNLOAD_2kLRbPnDtawQopEJ_UKtt22ud9U57gk8mqebZIeugNk[[#This Row],[Standard Value]]</f>
        <v>89</v>
      </c>
      <c r="N806">
        <f>-LOG(DOWNLOAD_2kLRbPnDtawQopEJ_UKtt22ud9U57gk8mqebZIeugNk[[#This Row],[IC50]]*POWER(10, -9), 10)</f>
        <v>7.0506099933550868</v>
      </c>
      <c r="O806">
        <v>7.05</v>
      </c>
      <c r="P806" t="s">
        <v>48</v>
      </c>
      <c r="R806" t="s">
        <v>127</v>
      </c>
      <c r="S806">
        <v>15.32</v>
      </c>
      <c r="T806">
        <v>0.42</v>
      </c>
      <c r="U806">
        <v>3.53</v>
      </c>
      <c r="V806">
        <v>6.58</v>
      </c>
      <c r="W806">
        <v>0</v>
      </c>
      <c r="X806" t="s">
        <v>296</v>
      </c>
      <c r="Y806" t="s">
        <v>297</v>
      </c>
      <c r="Z806" t="s">
        <v>58</v>
      </c>
      <c r="AA806" t="s">
        <v>59</v>
      </c>
      <c r="AB806" t="s">
        <v>60</v>
      </c>
      <c r="AC806" t="s">
        <v>61</v>
      </c>
      <c r="AD806" t="s">
        <v>49</v>
      </c>
      <c r="AE806" t="s">
        <v>49</v>
      </c>
      <c r="AF806" t="s">
        <v>49</v>
      </c>
      <c r="AG806" t="s">
        <v>49</v>
      </c>
      <c r="AH806" t="s">
        <v>48</v>
      </c>
      <c r="AI806" t="s">
        <v>48</v>
      </c>
      <c r="AJ806" t="s">
        <v>48</v>
      </c>
      <c r="AK806" t="s">
        <v>62</v>
      </c>
      <c r="AL806" t="s">
        <v>63</v>
      </c>
      <c r="AM806" t="s">
        <v>61</v>
      </c>
      <c r="AN806" t="s">
        <v>64</v>
      </c>
      <c r="AO806" t="s">
        <v>298</v>
      </c>
      <c r="AP806">
        <v>1</v>
      </c>
      <c r="AQ806" t="s">
        <v>66</v>
      </c>
      <c r="AR806" t="s">
        <v>131</v>
      </c>
      <c r="AS806">
        <v>2021</v>
      </c>
      <c r="AT806" t="s">
        <v>49</v>
      </c>
      <c r="AU806" t="s">
        <v>299</v>
      </c>
      <c r="AV806" t="s">
        <v>269</v>
      </c>
      <c r="AW806" t="s">
        <v>48</v>
      </c>
    </row>
    <row r="807" spans="1:49" x14ac:dyDescent="0.3">
      <c r="A807" t="s">
        <v>2214</v>
      </c>
      <c r="B807" t="s">
        <v>48</v>
      </c>
      <c r="C807" t="s">
        <v>49</v>
      </c>
      <c r="D807">
        <v>408.27</v>
      </c>
      <c r="E807">
        <v>0</v>
      </c>
      <c r="F807">
        <v>3.75</v>
      </c>
      <c r="G807" t="s">
        <v>2215</v>
      </c>
      <c r="H807" t="s">
        <v>2216</v>
      </c>
      <c r="I807" t="s">
        <v>52</v>
      </c>
      <c r="J807" t="s">
        <v>53</v>
      </c>
      <c r="K807">
        <v>16</v>
      </c>
      <c r="L807" t="s">
        <v>126</v>
      </c>
      <c r="M807">
        <f>DOWNLOAD_2kLRbPnDtawQopEJ_UKtt22ud9U57gk8mqebZIeugNk[[#This Row],[Standard Value]]</f>
        <v>16</v>
      </c>
      <c r="N807">
        <f>-LOG(DOWNLOAD_2kLRbPnDtawQopEJ_UKtt22ud9U57gk8mqebZIeugNk[[#This Row],[IC50]]*POWER(10, -9), 10)</f>
        <v>7.7958800173440741</v>
      </c>
      <c r="O807">
        <v>7.8</v>
      </c>
      <c r="P807" t="s">
        <v>48</v>
      </c>
      <c r="R807" t="s">
        <v>127</v>
      </c>
      <c r="S807">
        <v>19.09</v>
      </c>
      <c r="T807">
        <v>0.41</v>
      </c>
      <c r="U807">
        <v>4.05</v>
      </c>
      <c r="V807">
        <v>7.04</v>
      </c>
      <c r="W807">
        <v>0</v>
      </c>
      <c r="X807" t="s">
        <v>296</v>
      </c>
      <c r="Y807" t="s">
        <v>297</v>
      </c>
      <c r="Z807" t="s">
        <v>58</v>
      </c>
      <c r="AA807" t="s">
        <v>59</v>
      </c>
      <c r="AB807" t="s">
        <v>60</v>
      </c>
      <c r="AC807" t="s">
        <v>61</v>
      </c>
      <c r="AD807" t="s">
        <v>49</v>
      </c>
      <c r="AE807" t="s">
        <v>49</v>
      </c>
      <c r="AF807" t="s">
        <v>49</v>
      </c>
      <c r="AG807" t="s">
        <v>49</v>
      </c>
      <c r="AH807" t="s">
        <v>48</v>
      </c>
      <c r="AI807" t="s">
        <v>48</v>
      </c>
      <c r="AJ807" t="s">
        <v>48</v>
      </c>
      <c r="AK807" t="s">
        <v>62</v>
      </c>
      <c r="AL807" t="s">
        <v>63</v>
      </c>
      <c r="AM807" t="s">
        <v>61</v>
      </c>
      <c r="AN807" t="s">
        <v>64</v>
      </c>
      <c r="AO807" t="s">
        <v>298</v>
      </c>
      <c r="AP807">
        <v>1</v>
      </c>
      <c r="AQ807" t="s">
        <v>66</v>
      </c>
      <c r="AR807" t="s">
        <v>131</v>
      </c>
      <c r="AS807">
        <v>2021</v>
      </c>
      <c r="AT807" t="s">
        <v>49</v>
      </c>
      <c r="AU807" t="s">
        <v>299</v>
      </c>
      <c r="AV807" t="s">
        <v>269</v>
      </c>
      <c r="AW807" t="s">
        <v>48</v>
      </c>
    </row>
    <row r="808" spans="1:49" x14ac:dyDescent="0.3">
      <c r="A808" t="s">
        <v>2217</v>
      </c>
      <c r="B808" t="s">
        <v>48</v>
      </c>
      <c r="C808" t="s">
        <v>49</v>
      </c>
      <c r="D808">
        <v>514.39</v>
      </c>
      <c r="E808">
        <v>2</v>
      </c>
      <c r="F808">
        <v>5.32</v>
      </c>
      <c r="G808" t="s">
        <v>208</v>
      </c>
      <c r="H808" t="s">
        <v>2218</v>
      </c>
      <c r="I808" t="s">
        <v>52</v>
      </c>
      <c r="J808" t="s">
        <v>295</v>
      </c>
      <c r="K808">
        <v>10</v>
      </c>
      <c r="L808" t="s">
        <v>126</v>
      </c>
      <c r="M808">
        <f>DOWNLOAD_2kLRbPnDtawQopEJ_UKtt22ud9U57gk8mqebZIeugNk[[#This Row],[Standard Value]]</f>
        <v>10</v>
      </c>
      <c r="N808">
        <f>-LOG(DOWNLOAD_2kLRbPnDtawQopEJ_UKtt22ud9U57gk8mqebZIeugNk[[#This Row],[IC50]]*POWER(10, -9), 10)</f>
        <v>8</v>
      </c>
      <c r="P808" t="s">
        <v>48</v>
      </c>
      <c r="R808" t="s">
        <v>127</v>
      </c>
      <c r="W808">
        <v>0</v>
      </c>
      <c r="X808" t="s">
        <v>296</v>
      </c>
      <c r="Y808" t="s">
        <v>297</v>
      </c>
      <c r="Z808" t="s">
        <v>58</v>
      </c>
      <c r="AA808" t="s">
        <v>59</v>
      </c>
      <c r="AB808" t="s">
        <v>60</v>
      </c>
      <c r="AC808" t="s">
        <v>61</v>
      </c>
      <c r="AD808" t="s">
        <v>49</v>
      </c>
      <c r="AE808" t="s">
        <v>49</v>
      </c>
      <c r="AF808" t="s">
        <v>49</v>
      </c>
      <c r="AG808" t="s">
        <v>49</v>
      </c>
      <c r="AH808" t="s">
        <v>48</v>
      </c>
      <c r="AI808" t="s">
        <v>48</v>
      </c>
      <c r="AJ808" t="s">
        <v>48</v>
      </c>
      <c r="AK808" t="s">
        <v>62</v>
      </c>
      <c r="AL808" t="s">
        <v>63</v>
      </c>
      <c r="AM808" t="s">
        <v>61</v>
      </c>
      <c r="AN808" t="s">
        <v>64</v>
      </c>
      <c r="AO808" t="s">
        <v>298</v>
      </c>
      <c r="AP808">
        <v>1</v>
      </c>
      <c r="AQ808" t="s">
        <v>66</v>
      </c>
      <c r="AR808" t="s">
        <v>131</v>
      </c>
      <c r="AS808">
        <v>2021</v>
      </c>
      <c r="AT808" t="s">
        <v>49</v>
      </c>
      <c r="AU808" t="s">
        <v>299</v>
      </c>
      <c r="AV808" t="s">
        <v>269</v>
      </c>
      <c r="AW808" t="s">
        <v>48</v>
      </c>
    </row>
    <row r="809" spans="1:49" x14ac:dyDescent="0.3">
      <c r="A809" t="s">
        <v>2219</v>
      </c>
      <c r="B809" t="s">
        <v>48</v>
      </c>
      <c r="C809" t="s">
        <v>49</v>
      </c>
      <c r="D809">
        <v>462.17</v>
      </c>
      <c r="E809">
        <v>0</v>
      </c>
      <c r="F809">
        <v>3.24</v>
      </c>
      <c r="G809" t="s">
        <v>2220</v>
      </c>
      <c r="H809" t="s">
        <v>2221</v>
      </c>
      <c r="I809" t="s">
        <v>52</v>
      </c>
      <c r="J809" t="s">
        <v>53</v>
      </c>
      <c r="K809">
        <v>150</v>
      </c>
      <c r="L809" t="s">
        <v>126</v>
      </c>
      <c r="M809">
        <f>DOWNLOAD_2kLRbPnDtawQopEJ_UKtt22ud9U57gk8mqebZIeugNk[[#This Row],[Standard Value]]</f>
        <v>150</v>
      </c>
      <c r="N809">
        <f>-LOG(DOWNLOAD_2kLRbPnDtawQopEJ_UKtt22ud9U57gk8mqebZIeugNk[[#This Row],[IC50]]*POWER(10, -9), 10)</f>
        <v>6.8239087409443178</v>
      </c>
      <c r="O809">
        <v>6.82</v>
      </c>
      <c r="P809" t="s">
        <v>48</v>
      </c>
      <c r="R809" t="s">
        <v>127</v>
      </c>
      <c r="S809">
        <v>14.76</v>
      </c>
      <c r="T809">
        <v>0.41</v>
      </c>
      <c r="U809">
        <v>3.58</v>
      </c>
      <c r="V809">
        <v>7.85</v>
      </c>
      <c r="W809">
        <v>0</v>
      </c>
      <c r="X809" t="s">
        <v>144</v>
      </c>
      <c r="Y809" t="s">
        <v>145</v>
      </c>
      <c r="Z809" t="s">
        <v>58</v>
      </c>
      <c r="AA809" t="s">
        <v>59</v>
      </c>
      <c r="AB809" t="s">
        <v>60</v>
      </c>
      <c r="AC809" t="s">
        <v>61</v>
      </c>
      <c r="AD809" t="s">
        <v>49</v>
      </c>
      <c r="AE809" t="s">
        <v>49</v>
      </c>
      <c r="AF809" t="s">
        <v>49</v>
      </c>
      <c r="AG809" t="s">
        <v>49</v>
      </c>
      <c r="AH809" t="s">
        <v>48</v>
      </c>
      <c r="AI809" t="s">
        <v>48</v>
      </c>
      <c r="AJ809" t="s">
        <v>48</v>
      </c>
      <c r="AK809" t="s">
        <v>62</v>
      </c>
      <c r="AL809" t="s">
        <v>63</v>
      </c>
      <c r="AM809" t="s">
        <v>61</v>
      </c>
      <c r="AN809" t="s">
        <v>64</v>
      </c>
      <c r="AO809" t="s">
        <v>146</v>
      </c>
      <c r="AP809">
        <v>1</v>
      </c>
      <c r="AQ809" t="s">
        <v>66</v>
      </c>
      <c r="AR809" t="s">
        <v>67</v>
      </c>
      <c r="AS809">
        <v>2015</v>
      </c>
      <c r="AT809" t="s">
        <v>49</v>
      </c>
      <c r="AU809" t="s">
        <v>48</v>
      </c>
      <c r="AV809" t="s">
        <v>48</v>
      </c>
      <c r="AW809" t="s">
        <v>48</v>
      </c>
    </row>
    <row r="810" spans="1:49" x14ac:dyDescent="0.3">
      <c r="A810" t="s">
        <v>2222</v>
      </c>
      <c r="B810" t="s">
        <v>48</v>
      </c>
      <c r="C810" t="s">
        <v>49</v>
      </c>
      <c r="D810">
        <v>412.47</v>
      </c>
      <c r="E810">
        <v>0</v>
      </c>
      <c r="F810">
        <v>2.41</v>
      </c>
      <c r="G810" t="s">
        <v>324</v>
      </c>
      <c r="H810" t="s">
        <v>2223</v>
      </c>
      <c r="I810" t="s">
        <v>52</v>
      </c>
      <c r="J810" t="s">
        <v>53</v>
      </c>
      <c r="K810">
        <v>10000</v>
      </c>
      <c r="L810" t="s">
        <v>126</v>
      </c>
      <c r="M810">
        <f>DOWNLOAD_2kLRbPnDtawQopEJ_UKtt22ud9U57gk8mqebZIeugNk[[#This Row],[Standard Value]]</f>
        <v>10000</v>
      </c>
      <c r="N810">
        <f>-LOG(DOWNLOAD_2kLRbPnDtawQopEJ_UKtt22ud9U57gk8mqebZIeugNk[[#This Row],[IC50]]*POWER(10, -9), 10)</f>
        <v>5</v>
      </c>
      <c r="O810">
        <v>5</v>
      </c>
      <c r="P810" t="s">
        <v>48</v>
      </c>
      <c r="R810" t="s">
        <v>127</v>
      </c>
      <c r="S810">
        <v>12.12</v>
      </c>
      <c r="T810">
        <v>0.24</v>
      </c>
      <c r="U810">
        <v>2.59</v>
      </c>
      <c r="V810">
        <v>4.42</v>
      </c>
      <c r="W810">
        <v>0</v>
      </c>
      <c r="X810" t="s">
        <v>144</v>
      </c>
      <c r="Y810" t="s">
        <v>145</v>
      </c>
      <c r="Z810" t="s">
        <v>58</v>
      </c>
      <c r="AA810" t="s">
        <v>59</v>
      </c>
      <c r="AB810" t="s">
        <v>60</v>
      </c>
      <c r="AC810" t="s">
        <v>61</v>
      </c>
      <c r="AD810" t="s">
        <v>49</v>
      </c>
      <c r="AE810" t="s">
        <v>49</v>
      </c>
      <c r="AF810" t="s">
        <v>49</v>
      </c>
      <c r="AG810" t="s">
        <v>49</v>
      </c>
      <c r="AH810" t="s">
        <v>48</v>
      </c>
      <c r="AI810" t="s">
        <v>48</v>
      </c>
      <c r="AJ810" t="s">
        <v>48</v>
      </c>
      <c r="AK810" t="s">
        <v>62</v>
      </c>
      <c r="AL810" t="s">
        <v>63</v>
      </c>
      <c r="AM810" t="s">
        <v>61</v>
      </c>
      <c r="AN810" t="s">
        <v>64</v>
      </c>
      <c r="AO810" t="s">
        <v>146</v>
      </c>
      <c r="AP810">
        <v>1</v>
      </c>
      <c r="AQ810" t="s">
        <v>66</v>
      </c>
      <c r="AR810" t="s">
        <v>67</v>
      </c>
      <c r="AS810">
        <v>2015</v>
      </c>
      <c r="AT810" t="s">
        <v>49</v>
      </c>
      <c r="AU810" t="s">
        <v>48</v>
      </c>
      <c r="AV810" t="s">
        <v>48</v>
      </c>
      <c r="AW810" t="s">
        <v>48</v>
      </c>
    </row>
    <row r="811" spans="1:49" x14ac:dyDescent="0.3">
      <c r="A811" t="s">
        <v>2224</v>
      </c>
      <c r="B811" t="s">
        <v>48</v>
      </c>
      <c r="C811" t="s">
        <v>49</v>
      </c>
      <c r="D811">
        <v>331.23</v>
      </c>
      <c r="E811">
        <v>0</v>
      </c>
      <c r="F811">
        <v>2.65</v>
      </c>
      <c r="G811" t="s">
        <v>233</v>
      </c>
      <c r="H811" t="s">
        <v>2225</v>
      </c>
      <c r="I811" t="s">
        <v>52</v>
      </c>
      <c r="J811" t="s">
        <v>53</v>
      </c>
      <c r="K811">
        <v>12000</v>
      </c>
      <c r="L811" t="s">
        <v>126</v>
      </c>
      <c r="M811">
        <f>DOWNLOAD_2kLRbPnDtawQopEJ_UKtt22ud9U57gk8mqebZIeugNk[[#This Row],[Standard Value]]</f>
        <v>12000</v>
      </c>
      <c r="N811">
        <f>-LOG(DOWNLOAD_2kLRbPnDtawQopEJ_UKtt22ud9U57gk8mqebZIeugNk[[#This Row],[IC50]]*POWER(10, -9), 10)</f>
        <v>4.9208187539523749</v>
      </c>
      <c r="O811">
        <v>4.92</v>
      </c>
      <c r="P811" t="s">
        <v>48</v>
      </c>
      <c r="R811" t="s">
        <v>127</v>
      </c>
      <c r="S811">
        <v>14.86</v>
      </c>
      <c r="T811">
        <v>0.34</v>
      </c>
      <c r="U811">
        <v>2.27</v>
      </c>
      <c r="V811">
        <v>5.87</v>
      </c>
      <c r="W811">
        <v>0</v>
      </c>
      <c r="X811" t="s">
        <v>144</v>
      </c>
      <c r="Y811" t="s">
        <v>145</v>
      </c>
      <c r="Z811" t="s">
        <v>58</v>
      </c>
      <c r="AA811" t="s">
        <v>59</v>
      </c>
      <c r="AB811" t="s">
        <v>60</v>
      </c>
      <c r="AC811" t="s">
        <v>61</v>
      </c>
      <c r="AD811" t="s">
        <v>49</v>
      </c>
      <c r="AE811" t="s">
        <v>49</v>
      </c>
      <c r="AF811" t="s">
        <v>49</v>
      </c>
      <c r="AG811" t="s">
        <v>49</v>
      </c>
      <c r="AH811" t="s">
        <v>48</v>
      </c>
      <c r="AI811" t="s">
        <v>48</v>
      </c>
      <c r="AJ811" t="s">
        <v>48</v>
      </c>
      <c r="AK811" t="s">
        <v>62</v>
      </c>
      <c r="AL811" t="s">
        <v>63</v>
      </c>
      <c r="AM811" t="s">
        <v>61</v>
      </c>
      <c r="AN811" t="s">
        <v>64</v>
      </c>
      <c r="AO811" t="s">
        <v>146</v>
      </c>
      <c r="AP811">
        <v>1</v>
      </c>
      <c r="AQ811" t="s">
        <v>66</v>
      </c>
      <c r="AR811" t="s">
        <v>67</v>
      </c>
      <c r="AS811">
        <v>2015</v>
      </c>
      <c r="AT811" t="s">
        <v>49</v>
      </c>
      <c r="AU811" t="s">
        <v>48</v>
      </c>
      <c r="AV811" t="s">
        <v>48</v>
      </c>
      <c r="AW811" t="s">
        <v>48</v>
      </c>
    </row>
    <row r="812" spans="1:49" x14ac:dyDescent="0.3">
      <c r="A812" t="s">
        <v>181</v>
      </c>
      <c r="B812" t="s">
        <v>182</v>
      </c>
      <c r="C812" t="s">
        <v>112</v>
      </c>
      <c r="D812">
        <v>612.63</v>
      </c>
      <c r="E812">
        <v>2</v>
      </c>
      <c r="F812">
        <v>3.63</v>
      </c>
      <c r="G812" t="s">
        <v>898</v>
      </c>
      <c r="H812" t="s">
        <v>184</v>
      </c>
      <c r="I812" t="s">
        <v>52</v>
      </c>
      <c r="J812" t="s">
        <v>53</v>
      </c>
      <c r="K812">
        <v>170</v>
      </c>
      <c r="L812" t="s">
        <v>126</v>
      </c>
      <c r="M812">
        <f>DOWNLOAD_2kLRbPnDtawQopEJ_UKtt22ud9U57gk8mqebZIeugNk[[#This Row],[Standard Value]]</f>
        <v>170</v>
      </c>
      <c r="N812">
        <f>-LOG(DOWNLOAD_2kLRbPnDtawQopEJ_UKtt22ud9U57gk8mqebZIeugNk[[#This Row],[IC50]]*POWER(10, -9), 10)</f>
        <v>6.7695510786217259</v>
      </c>
      <c r="O812">
        <v>6.77</v>
      </c>
      <c r="P812" t="s">
        <v>48</v>
      </c>
      <c r="R812" t="s">
        <v>127</v>
      </c>
      <c r="S812">
        <v>11.05</v>
      </c>
      <c r="T812">
        <v>0.21</v>
      </c>
      <c r="U812">
        <v>3.14</v>
      </c>
      <c r="V812">
        <v>3.38</v>
      </c>
      <c r="W812">
        <v>0</v>
      </c>
      <c r="X812" t="s">
        <v>144</v>
      </c>
      <c r="Y812" t="s">
        <v>145</v>
      </c>
      <c r="Z812" t="s">
        <v>58</v>
      </c>
      <c r="AA812" t="s">
        <v>59</v>
      </c>
      <c r="AB812" t="s">
        <v>60</v>
      </c>
      <c r="AC812" t="s">
        <v>61</v>
      </c>
      <c r="AD812" t="s">
        <v>49</v>
      </c>
      <c r="AE812" t="s">
        <v>49</v>
      </c>
      <c r="AF812" t="s">
        <v>49</v>
      </c>
      <c r="AG812" t="s">
        <v>49</v>
      </c>
      <c r="AH812" t="s">
        <v>48</v>
      </c>
      <c r="AI812" t="s">
        <v>48</v>
      </c>
      <c r="AJ812" t="s">
        <v>48</v>
      </c>
      <c r="AK812" t="s">
        <v>62</v>
      </c>
      <c r="AL812" t="s">
        <v>63</v>
      </c>
      <c r="AM812" t="s">
        <v>61</v>
      </c>
      <c r="AN812" t="s">
        <v>64</v>
      </c>
      <c r="AO812" t="s">
        <v>146</v>
      </c>
      <c r="AP812">
        <v>1</v>
      </c>
      <c r="AQ812" t="s">
        <v>66</v>
      </c>
      <c r="AR812" t="s">
        <v>67</v>
      </c>
      <c r="AS812">
        <v>2015</v>
      </c>
      <c r="AT812" t="s">
        <v>49</v>
      </c>
      <c r="AU812" t="s">
        <v>48</v>
      </c>
      <c r="AV812" t="s">
        <v>48</v>
      </c>
      <c r="AW812" t="s">
        <v>48</v>
      </c>
    </row>
    <row r="813" spans="1:49" x14ac:dyDescent="0.3">
      <c r="A813" t="s">
        <v>2226</v>
      </c>
      <c r="B813" t="s">
        <v>48</v>
      </c>
      <c r="C813" t="s">
        <v>49</v>
      </c>
      <c r="D813">
        <v>341.23</v>
      </c>
      <c r="E813">
        <v>0</v>
      </c>
      <c r="F813">
        <v>2.1</v>
      </c>
      <c r="G813" t="s">
        <v>643</v>
      </c>
      <c r="H813" t="s">
        <v>2227</v>
      </c>
      <c r="I813" t="s">
        <v>52</v>
      </c>
      <c r="J813" t="s">
        <v>53</v>
      </c>
      <c r="K813">
        <v>520000</v>
      </c>
      <c r="L813" t="s">
        <v>126</v>
      </c>
      <c r="M813">
        <f>DOWNLOAD_2kLRbPnDtawQopEJ_UKtt22ud9U57gk8mqebZIeugNk[[#This Row],[Standard Value]]</f>
        <v>520000</v>
      </c>
      <c r="N813">
        <f>-LOG(DOWNLOAD_2kLRbPnDtawQopEJ_UKtt22ud9U57gk8mqebZIeugNk[[#This Row],[IC50]]*POWER(10, -9), 10)</f>
        <v>3.2839966563652006</v>
      </c>
      <c r="P813" t="s">
        <v>72</v>
      </c>
      <c r="R813" t="s">
        <v>127</v>
      </c>
      <c r="W813">
        <v>0</v>
      </c>
      <c r="X813" t="s">
        <v>144</v>
      </c>
      <c r="Y813" t="s">
        <v>145</v>
      </c>
      <c r="Z813" t="s">
        <v>58</v>
      </c>
      <c r="AA813" t="s">
        <v>59</v>
      </c>
      <c r="AB813" t="s">
        <v>60</v>
      </c>
      <c r="AC813" t="s">
        <v>61</v>
      </c>
      <c r="AD813" t="s">
        <v>49</v>
      </c>
      <c r="AE813" t="s">
        <v>49</v>
      </c>
      <c r="AF813" t="s">
        <v>49</v>
      </c>
      <c r="AG813" t="s">
        <v>49</v>
      </c>
      <c r="AH813" t="s">
        <v>48</v>
      </c>
      <c r="AI813" t="s">
        <v>48</v>
      </c>
      <c r="AJ813" t="s">
        <v>48</v>
      </c>
      <c r="AK813" t="s">
        <v>62</v>
      </c>
      <c r="AL813" t="s">
        <v>63</v>
      </c>
      <c r="AM813" t="s">
        <v>61</v>
      </c>
      <c r="AN813" t="s">
        <v>64</v>
      </c>
      <c r="AO813" t="s">
        <v>146</v>
      </c>
      <c r="AP813">
        <v>1</v>
      </c>
      <c r="AQ813" t="s">
        <v>66</v>
      </c>
      <c r="AR813" t="s">
        <v>67</v>
      </c>
      <c r="AS813">
        <v>2015</v>
      </c>
      <c r="AT813" t="s">
        <v>49</v>
      </c>
      <c r="AU813" t="s">
        <v>48</v>
      </c>
      <c r="AV813" t="s">
        <v>48</v>
      </c>
      <c r="AW813" t="s">
        <v>48</v>
      </c>
    </row>
    <row r="814" spans="1:49" x14ac:dyDescent="0.3">
      <c r="A814" t="s">
        <v>2228</v>
      </c>
      <c r="B814" t="s">
        <v>48</v>
      </c>
      <c r="C814" t="s">
        <v>49</v>
      </c>
      <c r="D814">
        <v>635.67999999999995</v>
      </c>
      <c r="E814">
        <v>1</v>
      </c>
      <c r="F814">
        <v>2.92</v>
      </c>
      <c r="G814" t="s">
        <v>1416</v>
      </c>
      <c r="H814" t="s">
        <v>2229</v>
      </c>
      <c r="I814" t="s">
        <v>52</v>
      </c>
      <c r="J814" t="s">
        <v>53</v>
      </c>
      <c r="K814">
        <v>1990</v>
      </c>
      <c r="L814" t="s">
        <v>126</v>
      </c>
      <c r="M814">
        <f>DOWNLOAD_2kLRbPnDtawQopEJ_UKtt22ud9U57gk8mqebZIeugNk[[#This Row],[Standard Value]]</f>
        <v>1990</v>
      </c>
      <c r="N814">
        <f>-LOG(DOWNLOAD_2kLRbPnDtawQopEJ_UKtt22ud9U57gk8mqebZIeugNk[[#This Row],[IC50]]*POWER(10, -9), 10)</f>
        <v>5.7011469235902927</v>
      </c>
      <c r="O814">
        <v>5.7</v>
      </c>
      <c r="P814" t="s">
        <v>48</v>
      </c>
      <c r="R814" t="s">
        <v>127</v>
      </c>
      <c r="S814">
        <v>8.9700000000000006</v>
      </c>
      <c r="T814">
        <v>0.17</v>
      </c>
      <c r="U814">
        <v>2.78</v>
      </c>
      <c r="V814">
        <v>3.42</v>
      </c>
      <c r="W814">
        <v>0</v>
      </c>
      <c r="X814" t="s">
        <v>1497</v>
      </c>
      <c r="Y814" t="s">
        <v>1498</v>
      </c>
      <c r="Z814" t="s">
        <v>58</v>
      </c>
      <c r="AA814" t="s">
        <v>59</v>
      </c>
      <c r="AB814" t="s">
        <v>60</v>
      </c>
      <c r="AC814" t="s">
        <v>61</v>
      </c>
      <c r="AD814" t="s">
        <v>49</v>
      </c>
      <c r="AE814" t="s">
        <v>49</v>
      </c>
      <c r="AF814" t="s">
        <v>49</v>
      </c>
      <c r="AG814" t="s">
        <v>49</v>
      </c>
      <c r="AH814" t="s">
        <v>48</v>
      </c>
      <c r="AI814" t="s">
        <v>48</v>
      </c>
      <c r="AJ814" t="s">
        <v>48</v>
      </c>
      <c r="AK814" t="s">
        <v>62</v>
      </c>
      <c r="AL814" t="s">
        <v>63</v>
      </c>
      <c r="AM814" t="s">
        <v>61</v>
      </c>
      <c r="AN814" t="s">
        <v>64</v>
      </c>
      <c r="AO814" t="s">
        <v>1499</v>
      </c>
      <c r="AP814">
        <v>1</v>
      </c>
      <c r="AQ814" t="s">
        <v>66</v>
      </c>
      <c r="AR814" t="s">
        <v>131</v>
      </c>
      <c r="AS814">
        <v>2022</v>
      </c>
      <c r="AT814" t="s">
        <v>49</v>
      </c>
      <c r="AU814" t="s">
        <v>299</v>
      </c>
      <c r="AV814" t="s">
        <v>269</v>
      </c>
      <c r="AW814" t="s">
        <v>48</v>
      </c>
    </row>
    <row r="815" spans="1:49" x14ac:dyDescent="0.3">
      <c r="A815" t="s">
        <v>2230</v>
      </c>
      <c r="B815" t="s">
        <v>48</v>
      </c>
      <c r="C815" t="s">
        <v>49</v>
      </c>
      <c r="D815">
        <v>638.67999999999995</v>
      </c>
      <c r="E815">
        <v>1</v>
      </c>
      <c r="F815">
        <v>3.42</v>
      </c>
      <c r="G815" t="s">
        <v>1295</v>
      </c>
      <c r="H815" t="s">
        <v>2231</v>
      </c>
      <c r="I815" t="s">
        <v>52</v>
      </c>
      <c r="J815" t="s">
        <v>53</v>
      </c>
      <c r="K815">
        <v>6310</v>
      </c>
      <c r="L815" t="s">
        <v>126</v>
      </c>
      <c r="M815">
        <f>DOWNLOAD_2kLRbPnDtawQopEJ_UKtt22ud9U57gk8mqebZIeugNk[[#This Row],[Standard Value]]</f>
        <v>6310</v>
      </c>
      <c r="N815">
        <f>-LOG(DOWNLOAD_2kLRbPnDtawQopEJ_UKtt22ud9U57gk8mqebZIeugNk[[#This Row],[IC50]]*POWER(10, -9), 10)</f>
        <v>5.1999706407558648</v>
      </c>
      <c r="O815">
        <v>5.2</v>
      </c>
      <c r="P815" t="s">
        <v>48</v>
      </c>
      <c r="R815" t="s">
        <v>127</v>
      </c>
      <c r="S815">
        <v>8.14</v>
      </c>
      <c r="T815">
        <v>0.16</v>
      </c>
      <c r="U815">
        <v>1.78</v>
      </c>
      <c r="V815">
        <v>3.11</v>
      </c>
      <c r="W815">
        <v>0</v>
      </c>
      <c r="X815" t="s">
        <v>1497</v>
      </c>
      <c r="Y815" t="s">
        <v>1498</v>
      </c>
      <c r="Z815" t="s">
        <v>58</v>
      </c>
      <c r="AA815" t="s">
        <v>59</v>
      </c>
      <c r="AB815" t="s">
        <v>60</v>
      </c>
      <c r="AC815" t="s">
        <v>61</v>
      </c>
      <c r="AD815" t="s">
        <v>49</v>
      </c>
      <c r="AE815" t="s">
        <v>49</v>
      </c>
      <c r="AF815" t="s">
        <v>49</v>
      </c>
      <c r="AG815" t="s">
        <v>49</v>
      </c>
      <c r="AH815" t="s">
        <v>48</v>
      </c>
      <c r="AI815" t="s">
        <v>48</v>
      </c>
      <c r="AJ815" t="s">
        <v>48</v>
      </c>
      <c r="AK815" t="s">
        <v>62</v>
      </c>
      <c r="AL815" t="s">
        <v>63</v>
      </c>
      <c r="AM815" t="s">
        <v>61</v>
      </c>
      <c r="AN815" t="s">
        <v>64</v>
      </c>
      <c r="AO815" t="s">
        <v>1499</v>
      </c>
      <c r="AP815">
        <v>1</v>
      </c>
      <c r="AQ815" t="s">
        <v>66</v>
      </c>
      <c r="AR815" t="s">
        <v>131</v>
      </c>
      <c r="AS815">
        <v>2022</v>
      </c>
      <c r="AT815" t="s">
        <v>49</v>
      </c>
      <c r="AU815" t="s">
        <v>299</v>
      </c>
      <c r="AV815" t="s">
        <v>269</v>
      </c>
      <c r="AW815" t="s">
        <v>48</v>
      </c>
    </row>
    <row r="816" spans="1:49" x14ac:dyDescent="0.3">
      <c r="A816" t="s">
        <v>2232</v>
      </c>
      <c r="B816" t="s">
        <v>48</v>
      </c>
      <c r="C816" t="s">
        <v>49</v>
      </c>
      <c r="D816">
        <v>466.43</v>
      </c>
      <c r="E816">
        <v>0</v>
      </c>
      <c r="F816">
        <v>1.31</v>
      </c>
      <c r="G816" t="s">
        <v>2233</v>
      </c>
      <c r="H816" t="s">
        <v>2234</v>
      </c>
      <c r="I816" t="s">
        <v>52</v>
      </c>
      <c r="J816" t="s">
        <v>53</v>
      </c>
      <c r="K816">
        <v>300</v>
      </c>
      <c r="L816" t="s">
        <v>126</v>
      </c>
      <c r="M816">
        <f>DOWNLOAD_2kLRbPnDtawQopEJ_UKtt22ud9U57gk8mqebZIeugNk[[#This Row],[Standard Value]]</f>
        <v>300</v>
      </c>
      <c r="N816">
        <f>-LOG(DOWNLOAD_2kLRbPnDtawQopEJ_UKtt22ud9U57gk8mqebZIeugNk[[#This Row],[IC50]]*POWER(10, -9), 10)</f>
        <v>6.5228787452803365</v>
      </c>
      <c r="O816">
        <v>6.52</v>
      </c>
      <c r="P816" t="s">
        <v>48</v>
      </c>
      <c r="Q816">
        <v>302843</v>
      </c>
      <c r="R816" t="s">
        <v>127</v>
      </c>
      <c r="S816">
        <v>13.98</v>
      </c>
      <c r="T816">
        <v>0.26</v>
      </c>
      <c r="U816">
        <v>5.21</v>
      </c>
      <c r="V816">
        <v>4.67</v>
      </c>
      <c r="W816">
        <v>0</v>
      </c>
      <c r="X816" t="s">
        <v>251</v>
      </c>
      <c r="Y816" t="s">
        <v>252</v>
      </c>
      <c r="Z816" t="s">
        <v>58</v>
      </c>
      <c r="AA816" t="s">
        <v>59</v>
      </c>
      <c r="AB816" t="s">
        <v>60</v>
      </c>
      <c r="AC816" t="s">
        <v>61</v>
      </c>
      <c r="AD816" t="s">
        <v>49</v>
      </c>
      <c r="AE816" t="s">
        <v>49</v>
      </c>
      <c r="AF816" t="s">
        <v>49</v>
      </c>
      <c r="AG816" t="s">
        <v>49</v>
      </c>
      <c r="AH816" t="s">
        <v>48</v>
      </c>
      <c r="AI816" t="s">
        <v>48</v>
      </c>
      <c r="AJ816" t="s">
        <v>48</v>
      </c>
      <c r="AK816" t="s">
        <v>62</v>
      </c>
      <c r="AL816" t="s">
        <v>63</v>
      </c>
      <c r="AM816" t="s">
        <v>61</v>
      </c>
      <c r="AN816" t="s">
        <v>64</v>
      </c>
      <c r="AO816" t="s">
        <v>253</v>
      </c>
      <c r="AP816">
        <v>37</v>
      </c>
      <c r="AQ816" t="s">
        <v>254</v>
      </c>
      <c r="AR816" t="s">
        <v>48</v>
      </c>
      <c r="AS816">
        <v>2015</v>
      </c>
      <c r="AT816" t="s">
        <v>49</v>
      </c>
      <c r="AU816" t="s">
        <v>48</v>
      </c>
      <c r="AV816" t="s">
        <v>48</v>
      </c>
      <c r="AW816" t="s">
        <v>48</v>
      </c>
    </row>
    <row r="817" spans="1:49" x14ac:dyDescent="0.3">
      <c r="A817" t="s">
        <v>2235</v>
      </c>
      <c r="B817" t="s">
        <v>48</v>
      </c>
      <c r="C817" t="s">
        <v>49</v>
      </c>
      <c r="D817">
        <v>504.47</v>
      </c>
      <c r="E817">
        <v>1</v>
      </c>
      <c r="F817">
        <v>2.17</v>
      </c>
      <c r="G817" t="s">
        <v>2236</v>
      </c>
      <c r="H817" t="s">
        <v>2237</v>
      </c>
      <c r="I817" t="s">
        <v>52</v>
      </c>
      <c r="J817" t="s">
        <v>53</v>
      </c>
      <c r="K817">
        <v>2700</v>
      </c>
      <c r="L817" t="s">
        <v>126</v>
      </c>
      <c r="M817">
        <f>DOWNLOAD_2kLRbPnDtawQopEJ_UKtt22ud9U57gk8mqebZIeugNk[[#This Row],[Standard Value]]</f>
        <v>2700</v>
      </c>
      <c r="N817">
        <f>-LOG(DOWNLOAD_2kLRbPnDtawQopEJ_UKtt22ud9U57gk8mqebZIeugNk[[#This Row],[IC50]]*POWER(10, -9), 10)</f>
        <v>5.5686362358410122</v>
      </c>
      <c r="O817">
        <v>5.57</v>
      </c>
      <c r="P817" t="s">
        <v>48</v>
      </c>
      <c r="Q817">
        <v>302874</v>
      </c>
      <c r="R817" t="s">
        <v>127</v>
      </c>
      <c r="S817">
        <v>11.04</v>
      </c>
      <c r="T817">
        <v>0.21</v>
      </c>
      <c r="U817">
        <v>3.4</v>
      </c>
      <c r="V817">
        <v>3.73</v>
      </c>
      <c r="W817">
        <v>0</v>
      </c>
      <c r="X817" t="s">
        <v>251</v>
      </c>
      <c r="Y817" t="s">
        <v>252</v>
      </c>
      <c r="Z817" t="s">
        <v>58</v>
      </c>
      <c r="AA817" t="s">
        <v>59</v>
      </c>
      <c r="AB817" t="s">
        <v>60</v>
      </c>
      <c r="AC817" t="s">
        <v>61</v>
      </c>
      <c r="AD817" t="s">
        <v>49</v>
      </c>
      <c r="AE817" t="s">
        <v>49</v>
      </c>
      <c r="AF817" t="s">
        <v>49</v>
      </c>
      <c r="AG817" t="s">
        <v>49</v>
      </c>
      <c r="AH817" t="s">
        <v>48</v>
      </c>
      <c r="AI817" t="s">
        <v>48</v>
      </c>
      <c r="AJ817" t="s">
        <v>48</v>
      </c>
      <c r="AK817" t="s">
        <v>62</v>
      </c>
      <c r="AL817" t="s">
        <v>63</v>
      </c>
      <c r="AM817" t="s">
        <v>61</v>
      </c>
      <c r="AN817" t="s">
        <v>64</v>
      </c>
      <c r="AO817" t="s">
        <v>253</v>
      </c>
      <c r="AP817">
        <v>37</v>
      </c>
      <c r="AQ817" t="s">
        <v>254</v>
      </c>
      <c r="AR817" t="s">
        <v>48</v>
      </c>
      <c r="AS817">
        <v>2015</v>
      </c>
      <c r="AT817" t="s">
        <v>49</v>
      </c>
      <c r="AU817" t="s">
        <v>48</v>
      </c>
      <c r="AV817" t="s">
        <v>48</v>
      </c>
      <c r="AW817" t="s">
        <v>48</v>
      </c>
    </row>
    <row r="818" spans="1:49" x14ac:dyDescent="0.3">
      <c r="A818" t="s">
        <v>2238</v>
      </c>
      <c r="B818" t="s">
        <v>48</v>
      </c>
      <c r="C818" t="s">
        <v>49</v>
      </c>
      <c r="D818">
        <v>502.94</v>
      </c>
      <c r="E818">
        <v>1</v>
      </c>
      <c r="F818">
        <v>2.2000000000000002</v>
      </c>
      <c r="G818" t="s">
        <v>2239</v>
      </c>
      <c r="H818" t="s">
        <v>2240</v>
      </c>
      <c r="I818" t="s">
        <v>52</v>
      </c>
      <c r="J818" t="s">
        <v>53</v>
      </c>
      <c r="K818">
        <v>500</v>
      </c>
      <c r="L818" t="s">
        <v>126</v>
      </c>
      <c r="M818">
        <f>DOWNLOAD_2kLRbPnDtawQopEJ_UKtt22ud9U57gk8mqebZIeugNk[[#This Row],[Standard Value]]</f>
        <v>500</v>
      </c>
      <c r="N818">
        <f>-LOG(DOWNLOAD_2kLRbPnDtawQopEJ_UKtt22ud9U57gk8mqebZIeugNk[[#This Row],[IC50]]*POWER(10, -9), 10)</f>
        <v>6.3010299956639804</v>
      </c>
      <c r="O818">
        <v>6.3</v>
      </c>
      <c r="P818" t="s">
        <v>48</v>
      </c>
      <c r="Q818">
        <v>302894</v>
      </c>
      <c r="R818" t="s">
        <v>127</v>
      </c>
      <c r="S818">
        <v>12.53</v>
      </c>
      <c r="T818">
        <v>0.25</v>
      </c>
      <c r="U818">
        <v>4.0999999999999996</v>
      </c>
      <c r="V818">
        <v>4.5199999999999996</v>
      </c>
      <c r="W818">
        <v>0</v>
      </c>
      <c r="X818" t="s">
        <v>251</v>
      </c>
      <c r="Y818" t="s">
        <v>252</v>
      </c>
      <c r="Z818" t="s">
        <v>58</v>
      </c>
      <c r="AA818" t="s">
        <v>59</v>
      </c>
      <c r="AB818" t="s">
        <v>60</v>
      </c>
      <c r="AC818" t="s">
        <v>61</v>
      </c>
      <c r="AD818" t="s">
        <v>49</v>
      </c>
      <c r="AE818" t="s">
        <v>49</v>
      </c>
      <c r="AF818" t="s">
        <v>49</v>
      </c>
      <c r="AG818" t="s">
        <v>49</v>
      </c>
      <c r="AH818" t="s">
        <v>48</v>
      </c>
      <c r="AI818" t="s">
        <v>48</v>
      </c>
      <c r="AJ818" t="s">
        <v>48</v>
      </c>
      <c r="AK818" t="s">
        <v>62</v>
      </c>
      <c r="AL818" t="s">
        <v>63</v>
      </c>
      <c r="AM818" t="s">
        <v>61</v>
      </c>
      <c r="AN818" t="s">
        <v>64</v>
      </c>
      <c r="AO818" t="s">
        <v>253</v>
      </c>
      <c r="AP818">
        <v>37</v>
      </c>
      <c r="AQ818" t="s">
        <v>254</v>
      </c>
      <c r="AR818" t="s">
        <v>48</v>
      </c>
      <c r="AS818">
        <v>2015</v>
      </c>
      <c r="AT818" t="s">
        <v>49</v>
      </c>
      <c r="AU818" t="s">
        <v>48</v>
      </c>
      <c r="AV818" t="s">
        <v>48</v>
      </c>
      <c r="AW818" t="s">
        <v>48</v>
      </c>
    </row>
    <row r="819" spans="1:49" x14ac:dyDescent="0.3">
      <c r="A819" t="s">
        <v>2241</v>
      </c>
      <c r="B819" t="s">
        <v>48</v>
      </c>
      <c r="C819" t="s">
        <v>49</v>
      </c>
      <c r="D819">
        <v>476.58</v>
      </c>
      <c r="E819">
        <v>0</v>
      </c>
      <c r="F819">
        <v>4.42</v>
      </c>
      <c r="G819" t="s">
        <v>2242</v>
      </c>
      <c r="H819" t="s">
        <v>2243</v>
      </c>
      <c r="I819" t="s">
        <v>52</v>
      </c>
      <c r="J819" t="s">
        <v>53</v>
      </c>
      <c r="K819">
        <v>3900</v>
      </c>
      <c r="L819" t="s">
        <v>126</v>
      </c>
      <c r="M819">
        <f>DOWNLOAD_2kLRbPnDtawQopEJ_UKtt22ud9U57gk8mqebZIeugNk[[#This Row],[Standard Value]]</f>
        <v>3900</v>
      </c>
      <c r="N819">
        <f>-LOG(DOWNLOAD_2kLRbPnDtawQopEJ_UKtt22ud9U57gk8mqebZIeugNk[[#This Row],[IC50]]*POWER(10, -9), 10)</f>
        <v>5.4089353929735005</v>
      </c>
      <c r="O819">
        <v>5.41</v>
      </c>
      <c r="P819" t="s">
        <v>48</v>
      </c>
      <c r="R819" t="s">
        <v>127</v>
      </c>
      <c r="S819">
        <v>11.35</v>
      </c>
      <c r="T819">
        <v>0.23</v>
      </c>
      <c r="U819">
        <v>0.99</v>
      </c>
      <c r="V819">
        <v>4.03</v>
      </c>
      <c r="W819">
        <v>0</v>
      </c>
      <c r="X819" t="s">
        <v>877</v>
      </c>
      <c r="Y819" t="s">
        <v>878</v>
      </c>
      <c r="Z819" t="s">
        <v>58</v>
      </c>
      <c r="AA819" t="s">
        <v>59</v>
      </c>
      <c r="AB819" t="s">
        <v>60</v>
      </c>
      <c r="AC819" t="s">
        <v>61</v>
      </c>
      <c r="AD819" t="s">
        <v>49</v>
      </c>
      <c r="AE819" t="s">
        <v>49</v>
      </c>
      <c r="AF819" t="s">
        <v>49</v>
      </c>
      <c r="AG819" t="s">
        <v>49</v>
      </c>
      <c r="AH819" t="s">
        <v>48</v>
      </c>
      <c r="AI819" t="s">
        <v>48</v>
      </c>
      <c r="AJ819" t="s">
        <v>48</v>
      </c>
      <c r="AK819" t="s">
        <v>62</v>
      </c>
      <c r="AL819" t="s">
        <v>63</v>
      </c>
      <c r="AM819" t="s">
        <v>61</v>
      </c>
      <c r="AN819" t="s">
        <v>64</v>
      </c>
      <c r="AO819" t="s">
        <v>879</v>
      </c>
      <c r="AP819">
        <v>1</v>
      </c>
      <c r="AQ819" t="s">
        <v>66</v>
      </c>
      <c r="AR819" t="s">
        <v>131</v>
      </c>
      <c r="AS819">
        <v>2020</v>
      </c>
      <c r="AT819" t="s">
        <v>49</v>
      </c>
      <c r="AU819" t="s">
        <v>48</v>
      </c>
      <c r="AV819" t="s">
        <v>269</v>
      </c>
      <c r="AW819" t="s">
        <v>48</v>
      </c>
    </row>
    <row r="820" spans="1:49" x14ac:dyDescent="0.3">
      <c r="A820" t="s">
        <v>2244</v>
      </c>
      <c r="B820" t="s">
        <v>48</v>
      </c>
      <c r="C820" t="s">
        <v>49</v>
      </c>
      <c r="D820">
        <v>426.07</v>
      </c>
      <c r="E820">
        <v>0</v>
      </c>
      <c r="F820">
        <v>3.05</v>
      </c>
      <c r="G820" t="s">
        <v>2245</v>
      </c>
      <c r="H820" t="s">
        <v>2246</v>
      </c>
      <c r="I820" t="s">
        <v>52</v>
      </c>
      <c r="J820" t="s">
        <v>53</v>
      </c>
      <c r="K820">
        <v>960</v>
      </c>
      <c r="L820" t="s">
        <v>126</v>
      </c>
      <c r="M820">
        <f>DOWNLOAD_2kLRbPnDtawQopEJ_UKtt22ud9U57gk8mqebZIeugNk[[#This Row],[Standard Value]]</f>
        <v>960</v>
      </c>
      <c r="N820">
        <f>-LOG(DOWNLOAD_2kLRbPnDtawQopEJ_UKtt22ud9U57gk8mqebZIeugNk[[#This Row],[IC50]]*POWER(10, -9), 10)</f>
        <v>6.0177287669604311</v>
      </c>
      <c r="O820">
        <v>6.02</v>
      </c>
      <c r="P820" t="s">
        <v>48</v>
      </c>
      <c r="R820" t="s">
        <v>127</v>
      </c>
      <c r="S820">
        <v>14.12</v>
      </c>
      <c r="T820">
        <v>0.37</v>
      </c>
      <c r="U820">
        <v>2.97</v>
      </c>
      <c r="V820">
        <v>6.15</v>
      </c>
      <c r="W820">
        <v>0</v>
      </c>
      <c r="X820" t="s">
        <v>716</v>
      </c>
      <c r="Y820" t="s">
        <v>717</v>
      </c>
      <c r="Z820" t="s">
        <v>58</v>
      </c>
      <c r="AA820" t="s">
        <v>59</v>
      </c>
      <c r="AB820" t="s">
        <v>60</v>
      </c>
      <c r="AC820" t="s">
        <v>61</v>
      </c>
      <c r="AD820" t="s">
        <v>49</v>
      </c>
      <c r="AE820" t="s">
        <v>49</v>
      </c>
      <c r="AF820" t="s">
        <v>49</v>
      </c>
      <c r="AG820" t="s">
        <v>49</v>
      </c>
      <c r="AH820" t="s">
        <v>48</v>
      </c>
      <c r="AI820" t="s">
        <v>48</v>
      </c>
      <c r="AJ820" t="s">
        <v>48</v>
      </c>
      <c r="AK820" t="s">
        <v>62</v>
      </c>
      <c r="AL820" t="s">
        <v>63</v>
      </c>
      <c r="AM820" t="s">
        <v>61</v>
      </c>
      <c r="AN820" t="s">
        <v>64</v>
      </c>
      <c r="AO820" t="s">
        <v>718</v>
      </c>
      <c r="AP820">
        <v>1</v>
      </c>
      <c r="AQ820" t="s">
        <v>66</v>
      </c>
      <c r="AR820" t="s">
        <v>131</v>
      </c>
      <c r="AS820">
        <v>2019</v>
      </c>
      <c r="AT820" t="s">
        <v>49</v>
      </c>
      <c r="AU820" t="s">
        <v>299</v>
      </c>
      <c r="AV820" t="s">
        <v>269</v>
      </c>
      <c r="AW820" t="s">
        <v>48</v>
      </c>
    </row>
    <row r="821" spans="1:49" x14ac:dyDescent="0.3">
      <c r="A821" t="s">
        <v>2247</v>
      </c>
      <c r="B821" t="s">
        <v>48</v>
      </c>
      <c r="C821" t="s">
        <v>49</v>
      </c>
      <c r="D821">
        <v>370.22</v>
      </c>
      <c r="E821">
        <v>0</v>
      </c>
      <c r="F821">
        <v>4.1900000000000004</v>
      </c>
      <c r="G821" t="s">
        <v>2248</v>
      </c>
      <c r="H821" t="s">
        <v>2249</v>
      </c>
      <c r="I821" t="s">
        <v>52</v>
      </c>
      <c r="J821" t="s">
        <v>53</v>
      </c>
      <c r="K821">
        <v>13</v>
      </c>
      <c r="L821" t="s">
        <v>126</v>
      </c>
      <c r="M821">
        <f>DOWNLOAD_2kLRbPnDtawQopEJ_UKtt22ud9U57gk8mqebZIeugNk[[#This Row],[Standard Value]]</f>
        <v>13</v>
      </c>
      <c r="N821">
        <f>-LOG(DOWNLOAD_2kLRbPnDtawQopEJ_UKtt22ud9U57gk8mqebZIeugNk[[#This Row],[IC50]]*POWER(10, -9), 10)</f>
        <v>7.8860566476931622</v>
      </c>
      <c r="O821">
        <v>7.89</v>
      </c>
      <c r="P821" t="s">
        <v>48</v>
      </c>
      <c r="R821" t="s">
        <v>127</v>
      </c>
      <c r="S821">
        <v>21.3</v>
      </c>
      <c r="T821">
        <v>0.47</v>
      </c>
      <c r="U821">
        <v>3.7</v>
      </c>
      <c r="V821">
        <v>8.2899999999999991</v>
      </c>
      <c r="W821">
        <v>0</v>
      </c>
      <c r="X821" t="s">
        <v>296</v>
      </c>
      <c r="Y821" t="s">
        <v>297</v>
      </c>
      <c r="Z821" t="s">
        <v>58</v>
      </c>
      <c r="AA821" t="s">
        <v>59</v>
      </c>
      <c r="AB821" t="s">
        <v>60</v>
      </c>
      <c r="AC821" t="s">
        <v>61</v>
      </c>
      <c r="AD821" t="s">
        <v>49</v>
      </c>
      <c r="AE821" t="s">
        <v>49</v>
      </c>
      <c r="AF821" t="s">
        <v>49</v>
      </c>
      <c r="AG821" t="s">
        <v>49</v>
      </c>
      <c r="AH821" t="s">
        <v>48</v>
      </c>
      <c r="AI821" t="s">
        <v>48</v>
      </c>
      <c r="AJ821" t="s">
        <v>48</v>
      </c>
      <c r="AK821" t="s">
        <v>62</v>
      </c>
      <c r="AL821" t="s">
        <v>63</v>
      </c>
      <c r="AM821" t="s">
        <v>61</v>
      </c>
      <c r="AN821" t="s">
        <v>64</v>
      </c>
      <c r="AO821" t="s">
        <v>298</v>
      </c>
      <c r="AP821">
        <v>1</v>
      </c>
      <c r="AQ821" t="s">
        <v>66</v>
      </c>
      <c r="AR821" t="s">
        <v>131</v>
      </c>
      <c r="AS821">
        <v>2021</v>
      </c>
      <c r="AT821" t="s">
        <v>49</v>
      </c>
      <c r="AU821" t="s">
        <v>299</v>
      </c>
      <c r="AV821" t="s">
        <v>269</v>
      </c>
      <c r="AW821" t="s">
        <v>48</v>
      </c>
    </row>
    <row r="822" spans="1:49" x14ac:dyDescent="0.3">
      <c r="A822" t="s">
        <v>2250</v>
      </c>
      <c r="B822" t="s">
        <v>48</v>
      </c>
      <c r="C822" t="s">
        <v>49</v>
      </c>
      <c r="D822">
        <v>573.89</v>
      </c>
      <c r="E822">
        <v>1</v>
      </c>
      <c r="F822">
        <v>3.46</v>
      </c>
      <c r="G822" t="s">
        <v>500</v>
      </c>
      <c r="H822" t="s">
        <v>2251</v>
      </c>
      <c r="I822" t="s">
        <v>52</v>
      </c>
      <c r="J822" t="s">
        <v>295</v>
      </c>
      <c r="K822">
        <v>10</v>
      </c>
      <c r="L822" t="s">
        <v>126</v>
      </c>
      <c r="M822">
        <f>DOWNLOAD_2kLRbPnDtawQopEJ_UKtt22ud9U57gk8mqebZIeugNk[[#This Row],[Standard Value]]</f>
        <v>10</v>
      </c>
      <c r="N822">
        <f>-LOG(DOWNLOAD_2kLRbPnDtawQopEJ_UKtt22ud9U57gk8mqebZIeugNk[[#This Row],[IC50]]*POWER(10, -9), 10)</f>
        <v>8</v>
      </c>
      <c r="P822" t="s">
        <v>48</v>
      </c>
      <c r="R822" t="s">
        <v>127</v>
      </c>
      <c r="W822">
        <v>0</v>
      </c>
      <c r="X822" t="s">
        <v>296</v>
      </c>
      <c r="Y822" t="s">
        <v>297</v>
      </c>
      <c r="Z822" t="s">
        <v>58</v>
      </c>
      <c r="AA822" t="s">
        <v>59</v>
      </c>
      <c r="AB822" t="s">
        <v>60</v>
      </c>
      <c r="AC822" t="s">
        <v>61</v>
      </c>
      <c r="AD822" t="s">
        <v>49</v>
      </c>
      <c r="AE822" t="s">
        <v>49</v>
      </c>
      <c r="AF822" t="s">
        <v>49</v>
      </c>
      <c r="AG822" t="s">
        <v>49</v>
      </c>
      <c r="AH822" t="s">
        <v>48</v>
      </c>
      <c r="AI822" t="s">
        <v>48</v>
      </c>
      <c r="AJ822" t="s">
        <v>48</v>
      </c>
      <c r="AK822" t="s">
        <v>62</v>
      </c>
      <c r="AL822" t="s">
        <v>63</v>
      </c>
      <c r="AM822" t="s">
        <v>61</v>
      </c>
      <c r="AN822" t="s">
        <v>64</v>
      </c>
      <c r="AO822" t="s">
        <v>298</v>
      </c>
      <c r="AP822">
        <v>1</v>
      </c>
      <c r="AQ822" t="s">
        <v>66</v>
      </c>
      <c r="AR822" t="s">
        <v>131</v>
      </c>
      <c r="AS822">
        <v>2021</v>
      </c>
      <c r="AT822" t="s">
        <v>49</v>
      </c>
      <c r="AU822" t="s">
        <v>299</v>
      </c>
      <c r="AV822" t="s">
        <v>269</v>
      </c>
      <c r="AW822" t="s">
        <v>48</v>
      </c>
    </row>
    <row r="823" spans="1:49" x14ac:dyDescent="0.3">
      <c r="A823" t="s">
        <v>2252</v>
      </c>
      <c r="B823" t="s">
        <v>48</v>
      </c>
      <c r="C823" t="s">
        <v>49</v>
      </c>
      <c r="D823">
        <v>467.5</v>
      </c>
      <c r="E823">
        <v>0</v>
      </c>
      <c r="F823">
        <v>2.02</v>
      </c>
      <c r="G823" t="s">
        <v>197</v>
      </c>
      <c r="H823" t="s">
        <v>2253</v>
      </c>
      <c r="I823" t="s">
        <v>52</v>
      </c>
      <c r="J823" t="s">
        <v>53</v>
      </c>
      <c r="K823">
        <v>7.29</v>
      </c>
      <c r="L823" t="s">
        <v>126</v>
      </c>
      <c r="M823">
        <f>DOWNLOAD_2kLRbPnDtawQopEJ_UKtt22ud9U57gk8mqebZIeugNk[[#This Row],[Standard Value]]</f>
        <v>7.29</v>
      </c>
      <c r="N823">
        <f>-LOG(DOWNLOAD_2kLRbPnDtawQopEJ_UKtt22ud9U57gk8mqebZIeugNk[[#This Row],[IC50]]*POWER(10, -9), 10)</f>
        <v>8.1372724716820244</v>
      </c>
      <c r="O823">
        <v>8.14</v>
      </c>
      <c r="P823" t="s">
        <v>48</v>
      </c>
      <c r="R823" t="s">
        <v>127</v>
      </c>
      <c r="S823">
        <v>17.41</v>
      </c>
      <c r="T823">
        <v>0.33</v>
      </c>
      <c r="U823">
        <v>6.12</v>
      </c>
      <c r="V823">
        <v>7.04</v>
      </c>
      <c r="W823">
        <v>0</v>
      </c>
      <c r="X823" t="s">
        <v>264</v>
      </c>
      <c r="Y823" t="s">
        <v>265</v>
      </c>
      <c r="Z823" t="s">
        <v>58</v>
      </c>
      <c r="AA823" t="s">
        <v>59</v>
      </c>
      <c r="AB823" t="s">
        <v>60</v>
      </c>
      <c r="AC823" t="s">
        <v>61</v>
      </c>
      <c r="AD823" t="s">
        <v>49</v>
      </c>
      <c r="AE823" t="s">
        <v>49</v>
      </c>
      <c r="AF823" t="s">
        <v>49</v>
      </c>
      <c r="AG823" t="s">
        <v>49</v>
      </c>
      <c r="AH823" t="s">
        <v>48</v>
      </c>
      <c r="AI823" t="s">
        <v>48</v>
      </c>
      <c r="AJ823" t="s">
        <v>48</v>
      </c>
      <c r="AK823" t="s">
        <v>62</v>
      </c>
      <c r="AL823" t="s">
        <v>63</v>
      </c>
      <c r="AM823" t="s">
        <v>61</v>
      </c>
      <c r="AN823" t="s">
        <v>64</v>
      </c>
      <c r="AO823" t="s">
        <v>266</v>
      </c>
      <c r="AP823">
        <v>1</v>
      </c>
      <c r="AQ823" t="s">
        <v>66</v>
      </c>
      <c r="AR823" t="s">
        <v>267</v>
      </c>
      <c r="AS823">
        <v>2020</v>
      </c>
      <c r="AT823" t="s">
        <v>49</v>
      </c>
      <c r="AU823" t="s">
        <v>268</v>
      </c>
      <c r="AV823" t="s">
        <v>269</v>
      </c>
      <c r="AW823" t="s">
        <v>48</v>
      </c>
    </row>
    <row r="824" spans="1:49" x14ac:dyDescent="0.3">
      <c r="A824" t="s">
        <v>2254</v>
      </c>
      <c r="B824" t="s">
        <v>48</v>
      </c>
      <c r="C824" t="s">
        <v>49</v>
      </c>
      <c r="D824">
        <v>547.03</v>
      </c>
      <c r="E824">
        <v>1</v>
      </c>
      <c r="F824">
        <v>3.79</v>
      </c>
      <c r="G824" t="s">
        <v>531</v>
      </c>
      <c r="H824" t="s">
        <v>2255</v>
      </c>
      <c r="I824" t="s">
        <v>52</v>
      </c>
      <c r="J824" t="s">
        <v>53</v>
      </c>
      <c r="K824">
        <v>0.28999999999999998</v>
      </c>
      <c r="L824" t="s">
        <v>126</v>
      </c>
      <c r="M824">
        <f>DOWNLOAD_2kLRbPnDtawQopEJ_UKtt22ud9U57gk8mqebZIeugNk[[#This Row],[Standard Value]]</f>
        <v>0.28999999999999998</v>
      </c>
      <c r="N824">
        <f>-LOG(DOWNLOAD_2kLRbPnDtawQopEJ_UKtt22ud9U57gk8mqebZIeugNk[[#This Row],[IC50]]*POWER(10, -9), 10)</f>
        <v>9.5376020021010426</v>
      </c>
      <c r="O824">
        <v>9.5399999999999991</v>
      </c>
      <c r="P824" t="s">
        <v>48</v>
      </c>
      <c r="R824" t="s">
        <v>127</v>
      </c>
      <c r="S824">
        <v>18.68</v>
      </c>
      <c r="T824">
        <v>0.35</v>
      </c>
      <c r="U824">
        <v>5.75</v>
      </c>
      <c r="V824">
        <v>7.08</v>
      </c>
      <c r="W824">
        <v>0</v>
      </c>
      <c r="X824" t="s">
        <v>264</v>
      </c>
      <c r="Y824" t="s">
        <v>265</v>
      </c>
      <c r="Z824" t="s">
        <v>58</v>
      </c>
      <c r="AA824" t="s">
        <v>59</v>
      </c>
      <c r="AB824" t="s">
        <v>60</v>
      </c>
      <c r="AC824" t="s">
        <v>61</v>
      </c>
      <c r="AD824" t="s">
        <v>49</v>
      </c>
      <c r="AE824" t="s">
        <v>49</v>
      </c>
      <c r="AF824" t="s">
        <v>49</v>
      </c>
      <c r="AG824" t="s">
        <v>49</v>
      </c>
      <c r="AH824" t="s">
        <v>48</v>
      </c>
      <c r="AI824" t="s">
        <v>48</v>
      </c>
      <c r="AJ824" t="s">
        <v>48</v>
      </c>
      <c r="AK824" t="s">
        <v>62</v>
      </c>
      <c r="AL824" t="s">
        <v>63</v>
      </c>
      <c r="AM824" t="s">
        <v>61</v>
      </c>
      <c r="AN824" t="s">
        <v>64</v>
      </c>
      <c r="AO824" t="s">
        <v>266</v>
      </c>
      <c r="AP824">
        <v>1</v>
      </c>
      <c r="AQ824" t="s">
        <v>66</v>
      </c>
      <c r="AR824" t="s">
        <v>267</v>
      </c>
      <c r="AS824">
        <v>2020</v>
      </c>
      <c r="AT824" t="s">
        <v>49</v>
      </c>
      <c r="AU824" t="s">
        <v>268</v>
      </c>
      <c r="AV824" t="s">
        <v>269</v>
      </c>
      <c r="AW824" t="s">
        <v>48</v>
      </c>
    </row>
    <row r="825" spans="1:49" x14ac:dyDescent="0.3">
      <c r="A825" t="s">
        <v>2256</v>
      </c>
      <c r="B825" t="s">
        <v>48</v>
      </c>
      <c r="C825" t="s">
        <v>49</v>
      </c>
      <c r="D825">
        <v>370.22</v>
      </c>
      <c r="E825">
        <v>0</v>
      </c>
      <c r="F825">
        <v>4.1900000000000004</v>
      </c>
      <c r="G825" t="s">
        <v>1305</v>
      </c>
      <c r="H825" t="s">
        <v>2257</v>
      </c>
      <c r="I825" t="s">
        <v>52</v>
      </c>
      <c r="J825" t="s">
        <v>53</v>
      </c>
      <c r="K825">
        <v>830</v>
      </c>
      <c r="L825" t="s">
        <v>126</v>
      </c>
      <c r="M825">
        <f>DOWNLOAD_2kLRbPnDtawQopEJ_UKtt22ud9U57gk8mqebZIeugNk[[#This Row],[Standard Value]]</f>
        <v>830</v>
      </c>
      <c r="N825">
        <f>-LOG(DOWNLOAD_2kLRbPnDtawQopEJ_UKtt22ud9U57gk8mqebZIeugNk[[#This Row],[IC50]]*POWER(10, -9), 10)</f>
        <v>6.0809219076239254</v>
      </c>
      <c r="O825">
        <v>6.08</v>
      </c>
      <c r="P825" t="s">
        <v>48</v>
      </c>
      <c r="R825" t="s">
        <v>127</v>
      </c>
      <c r="S825">
        <v>16.43</v>
      </c>
      <c r="T825">
        <v>0.36</v>
      </c>
      <c r="U825">
        <v>1.89</v>
      </c>
      <c r="V825">
        <v>6.4</v>
      </c>
      <c r="W825">
        <v>0</v>
      </c>
      <c r="X825" t="s">
        <v>296</v>
      </c>
      <c r="Y825" t="s">
        <v>297</v>
      </c>
      <c r="Z825" t="s">
        <v>58</v>
      </c>
      <c r="AA825" t="s">
        <v>59</v>
      </c>
      <c r="AB825" t="s">
        <v>60</v>
      </c>
      <c r="AC825" t="s">
        <v>61</v>
      </c>
      <c r="AD825" t="s">
        <v>49</v>
      </c>
      <c r="AE825" t="s">
        <v>49</v>
      </c>
      <c r="AF825" t="s">
        <v>49</v>
      </c>
      <c r="AG825" t="s">
        <v>49</v>
      </c>
      <c r="AH825" t="s">
        <v>48</v>
      </c>
      <c r="AI825" t="s">
        <v>48</v>
      </c>
      <c r="AJ825" t="s">
        <v>48</v>
      </c>
      <c r="AK825" t="s">
        <v>62</v>
      </c>
      <c r="AL825" t="s">
        <v>63</v>
      </c>
      <c r="AM825" t="s">
        <v>61</v>
      </c>
      <c r="AN825" t="s">
        <v>64</v>
      </c>
      <c r="AO825" t="s">
        <v>298</v>
      </c>
      <c r="AP825">
        <v>1</v>
      </c>
      <c r="AQ825" t="s">
        <v>66</v>
      </c>
      <c r="AR825" t="s">
        <v>131</v>
      </c>
      <c r="AS825">
        <v>2021</v>
      </c>
      <c r="AT825" t="s">
        <v>49</v>
      </c>
      <c r="AU825" t="s">
        <v>299</v>
      </c>
      <c r="AV825" t="s">
        <v>269</v>
      </c>
      <c r="AW825" t="s">
        <v>48</v>
      </c>
    </row>
    <row r="826" spans="1:49" x14ac:dyDescent="0.3">
      <c r="A826" t="s">
        <v>1569</v>
      </c>
      <c r="B826" t="s">
        <v>48</v>
      </c>
      <c r="C826" t="s">
        <v>49</v>
      </c>
      <c r="D826">
        <v>927.87</v>
      </c>
      <c r="E826">
        <v>3</v>
      </c>
      <c r="F826">
        <v>4.08</v>
      </c>
      <c r="G826" t="s">
        <v>1570</v>
      </c>
      <c r="H826" t="s">
        <v>1571</v>
      </c>
      <c r="I826" t="s">
        <v>52</v>
      </c>
      <c r="J826" t="s">
        <v>53</v>
      </c>
      <c r="K826">
        <v>9</v>
      </c>
      <c r="L826" t="s">
        <v>126</v>
      </c>
      <c r="M826">
        <f>DOWNLOAD_2kLRbPnDtawQopEJ_UKtt22ud9U57gk8mqebZIeugNk[[#This Row],[Standard Value]]</f>
        <v>9</v>
      </c>
      <c r="N826">
        <f>-LOG(DOWNLOAD_2kLRbPnDtawQopEJ_UKtt22ud9U57gk8mqebZIeugNk[[#This Row],[IC50]]*POWER(10, -9), 10)</f>
        <v>8.0457574905606748</v>
      </c>
      <c r="O826">
        <v>8.0500000000000007</v>
      </c>
      <c r="P826" t="s">
        <v>48</v>
      </c>
      <c r="R826" t="s">
        <v>127</v>
      </c>
      <c r="S826">
        <v>8.67</v>
      </c>
      <c r="T826">
        <v>0.17</v>
      </c>
      <c r="U826">
        <v>3.97</v>
      </c>
      <c r="V826">
        <v>3.11</v>
      </c>
      <c r="W826">
        <v>0</v>
      </c>
      <c r="X826" t="s">
        <v>2258</v>
      </c>
      <c r="Y826" t="s">
        <v>2259</v>
      </c>
      <c r="Z826" t="s">
        <v>58</v>
      </c>
      <c r="AA826" t="s">
        <v>59</v>
      </c>
      <c r="AB826" t="s">
        <v>60</v>
      </c>
      <c r="AC826" t="s">
        <v>61</v>
      </c>
      <c r="AD826" t="s">
        <v>49</v>
      </c>
      <c r="AE826" t="s">
        <v>49</v>
      </c>
      <c r="AF826" t="s">
        <v>49</v>
      </c>
      <c r="AG826" t="s">
        <v>49</v>
      </c>
      <c r="AH826" t="s">
        <v>48</v>
      </c>
      <c r="AI826" t="s">
        <v>48</v>
      </c>
      <c r="AJ826" t="s">
        <v>48</v>
      </c>
      <c r="AK826" t="s">
        <v>62</v>
      </c>
      <c r="AL826" t="s">
        <v>63</v>
      </c>
      <c r="AM826" t="s">
        <v>61</v>
      </c>
      <c r="AN826" t="s">
        <v>64</v>
      </c>
      <c r="AO826" t="s">
        <v>1568</v>
      </c>
      <c r="AP826">
        <v>1</v>
      </c>
      <c r="AQ826" t="s">
        <v>66</v>
      </c>
      <c r="AR826" t="s">
        <v>267</v>
      </c>
      <c r="AS826">
        <v>2016</v>
      </c>
      <c r="AT826" t="s">
        <v>49</v>
      </c>
      <c r="AU826" t="s">
        <v>268</v>
      </c>
      <c r="AV826" t="s">
        <v>269</v>
      </c>
      <c r="AW826" t="s">
        <v>48</v>
      </c>
    </row>
    <row r="827" spans="1:49" x14ac:dyDescent="0.3">
      <c r="A827" t="s">
        <v>542</v>
      </c>
      <c r="B827" t="s">
        <v>543</v>
      </c>
      <c r="C827" t="s">
        <v>112</v>
      </c>
      <c r="D827">
        <v>319.33999999999997</v>
      </c>
      <c r="E827">
        <v>0</v>
      </c>
      <c r="F827">
        <v>1.27</v>
      </c>
      <c r="G827" t="s">
        <v>2260</v>
      </c>
      <c r="H827" t="s">
        <v>545</v>
      </c>
      <c r="I827" t="s">
        <v>52</v>
      </c>
      <c r="J827" t="s">
        <v>53</v>
      </c>
      <c r="K827">
        <v>18600</v>
      </c>
      <c r="L827" t="s">
        <v>126</v>
      </c>
      <c r="M827">
        <f>DOWNLOAD_2kLRbPnDtawQopEJ_UKtt22ud9U57gk8mqebZIeugNk[[#This Row],[Standard Value]]</f>
        <v>18600</v>
      </c>
      <c r="N827">
        <f>-LOG(DOWNLOAD_2kLRbPnDtawQopEJ_UKtt22ud9U57gk8mqebZIeugNk[[#This Row],[IC50]]*POWER(10, -9), 10)</f>
        <v>4.7304870557820831</v>
      </c>
      <c r="O827">
        <v>4.7300000000000004</v>
      </c>
      <c r="P827" t="s">
        <v>48</v>
      </c>
      <c r="R827" t="s">
        <v>127</v>
      </c>
      <c r="S827">
        <v>14.81</v>
      </c>
      <c r="T827">
        <v>0.28000000000000003</v>
      </c>
      <c r="U827">
        <v>3.46</v>
      </c>
      <c r="V827">
        <v>6.34</v>
      </c>
      <c r="W827">
        <v>1</v>
      </c>
      <c r="X827" t="s">
        <v>877</v>
      </c>
      <c r="Y827" t="s">
        <v>878</v>
      </c>
      <c r="Z827" t="s">
        <v>58</v>
      </c>
      <c r="AA827" t="s">
        <v>59</v>
      </c>
      <c r="AB827" t="s">
        <v>60</v>
      </c>
      <c r="AC827" t="s">
        <v>61</v>
      </c>
      <c r="AD827" t="s">
        <v>49</v>
      </c>
      <c r="AE827" t="s">
        <v>49</v>
      </c>
      <c r="AF827" t="s">
        <v>49</v>
      </c>
      <c r="AG827" t="s">
        <v>49</v>
      </c>
      <c r="AH827" t="s">
        <v>48</v>
      </c>
      <c r="AI827" t="s">
        <v>48</v>
      </c>
      <c r="AJ827" t="s">
        <v>48</v>
      </c>
      <c r="AK827" t="s">
        <v>62</v>
      </c>
      <c r="AL827" t="s">
        <v>63</v>
      </c>
      <c r="AM827" t="s">
        <v>61</v>
      </c>
      <c r="AN827" t="s">
        <v>64</v>
      </c>
      <c r="AO827" t="s">
        <v>879</v>
      </c>
      <c r="AP827">
        <v>1</v>
      </c>
      <c r="AQ827" t="s">
        <v>66</v>
      </c>
      <c r="AR827" t="s">
        <v>131</v>
      </c>
      <c r="AS827">
        <v>2020</v>
      </c>
      <c r="AT827" t="s">
        <v>49</v>
      </c>
      <c r="AU827" t="s">
        <v>48</v>
      </c>
      <c r="AV827" t="s">
        <v>269</v>
      </c>
      <c r="AW827" t="s">
        <v>48</v>
      </c>
    </row>
    <row r="828" spans="1:49" x14ac:dyDescent="0.3">
      <c r="A828" t="s">
        <v>2261</v>
      </c>
      <c r="B828" t="s">
        <v>48</v>
      </c>
      <c r="C828" t="s">
        <v>49</v>
      </c>
      <c r="D828">
        <v>480.42</v>
      </c>
      <c r="E828">
        <v>1</v>
      </c>
      <c r="F828">
        <v>0.31</v>
      </c>
      <c r="G828" t="s">
        <v>2262</v>
      </c>
      <c r="H828" t="s">
        <v>2263</v>
      </c>
      <c r="I828" t="s">
        <v>52</v>
      </c>
      <c r="J828" t="s">
        <v>53</v>
      </c>
      <c r="K828">
        <v>2600</v>
      </c>
      <c r="L828" t="s">
        <v>126</v>
      </c>
      <c r="M828">
        <f>DOWNLOAD_2kLRbPnDtawQopEJ_UKtt22ud9U57gk8mqebZIeugNk[[#This Row],[Standard Value]]</f>
        <v>2600</v>
      </c>
      <c r="N828">
        <f>-LOG(DOWNLOAD_2kLRbPnDtawQopEJ_UKtt22ud9U57gk8mqebZIeugNk[[#This Row],[IC50]]*POWER(10, -9), 10)</f>
        <v>5.5850266520291809</v>
      </c>
      <c r="O828">
        <v>5.58</v>
      </c>
      <c r="P828" t="s">
        <v>48</v>
      </c>
      <c r="Q828">
        <v>302823</v>
      </c>
      <c r="R828" t="s">
        <v>127</v>
      </c>
      <c r="S828">
        <v>11.63</v>
      </c>
      <c r="T828">
        <v>0.22</v>
      </c>
      <c r="U828">
        <v>5.28</v>
      </c>
      <c r="V828">
        <v>3.32</v>
      </c>
      <c r="W828">
        <v>0</v>
      </c>
      <c r="X828" t="s">
        <v>251</v>
      </c>
      <c r="Y828" t="s">
        <v>252</v>
      </c>
      <c r="Z828" t="s">
        <v>58</v>
      </c>
      <c r="AA828" t="s">
        <v>59</v>
      </c>
      <c r="AB828" t="s">
        <v>60</v>
      </c>
      <c r="AC828" t="s">
        <v>61</v>
      </c>
      <c r="AD828" t="s">
        <v>49</v>
      </c>
      <c r="AE828" t="s">
        <v>49</v>
      </c>
      <c r="AF828" t="s">
        <v>49</v>
      </c>
      <c r="AG828" t="s">
        <v>49</v>
      </c>
      <c r="AH828" t="s">
        <v>48</v>
      </c>
      <c r="AI828" t="s">
        <v>48</v>
      </c>
      <c r="AJ828" t="s">
        <v>48</v>
      </c>
      <c r="AK828" t="s">
        <v>62</v>
      </c>
      <c r="AL828" t="s">
        <v>63</v>
      </c>
      <c r="AM828" t="s">
        <v>61</v>
      </c>
      <c r="AN828" t="s">
        <v>64</v>
      </c>
      <c r="AO828" t="s">
        <v>253</v>
      </c>
      <c r="AP828">
        <v>37</v>
      </c>
      <c r="AQ828" t="s">
        <v>254</v>
      </c>
      <c r="AR828" t="s">
        <v>48</v>
      </c>
      <c r="AS828">
        <v>2015</v>
      </c>
      <c r="AT828" t="s">
        <v>49</v>
      </c>
      <c r="AU828" t="s">
        <v>48</v>
      </c>
      <c r="AV828" t="s">
        <v>48</v>
      </c>
      <c r="AW828" t="s">
        <v>48</v>
      </c>
    </row>
    <row r="829" spans="1:49" x14ac:dyDescent="0.3">
      <c r="A829" t="s">
        <v>2264</v>
      </c>
      <c r="B829" t="s">
        <v>48</v>
      </c>
      <c r="C829" t="s">
        <v>49</v>
      </c>
      <c r="D829">
        <v>468.45</v>
      </c>
      <c r="E829">
        <v>0</v>
      </c>
      <c r="F829">
        <v>1.35</v>
      </c>
      <c r="G829" t="s">
        <v>2265</v>
      </c>
      <c r="H829" t="s">
        <v>2266</v>
      </c>
      <c r="I829" t="s">
        <v>52</v>
      </c>
      <c r="J829" t="s">
        <v>53</v>
      </c>
      <c r="K829">
        <v>1200</v>
      </c>
      <c r="L829" t="s">
        <v>126</v>
      </c>
      <c r="M829">
        <f>DOWNLOAD_2kLRbPnDtawQopEJ_UKtt22ud9U57gk8mqebZIeugNk[[#This Row],[Standard Value]]</f>
        <v>1200</v>
      </c>
      <c r="N829">
        <f>-LOG(DOWNLOAD_2kLRbPnDtawQopEJ_UKtt22ud9U57gk8mqebZIeugNk[[#This Row],[IC50]]*POWER(10, -9), 10)</f>
        <v>5.920818753952374</v>
      </c>
      <c r="O829">
        <v>5.92</v>
      </c>
      <c r="P829" t="s">
        <v>48</v>
      </c>
      <c r="Q829">
        <v>302828</v>
      </c>
      <c r="R829" t="s">
        <v>127</v>
      </c>
      <c r="S829">
        <v>12.64</v>
      </c>
      <c r="T829">
        <v>0.24</v>
      </c>
      <c r="U829">
        <v>4.57</v>
      </c>
      <c r="V829">
        <v>4.5</v>
      </c>
      <c r="W829">
        <v>0</v>
      </c>
      <c r="X829" t="s">
        <v>251</v>
      </c>
      <c r="Y829" t="s">
        <v>252</v>
      </c>
      <c r="Z829" t="s">
        <v>58</v>
      </c>
      <c r="AA829" t="s">
        <v>59</v>
      </c>
      <c r="AB829" t="s">
        <v>60</v>
      </c>
      <c r="AC829" t="s">
        <v>61</v>
      </c>
      <c r="AD829" t="s">
        <v>49</v>
      </c>
      <c r="AE829" t="s">
        <v>49</v>
      </c>
      <c r="AF829" t="s">
        <v>49</v>
      </c>
      <c r="AG829" t="s">
        <v>49</v>
      </c>
      <c r="AH829" t="s">
        <v>48</v>
      </c>
      <c r="AI829" t="s">
        <v>48</v>
      </c>
      <c r="AJ829" t="s">
        <v>48</v>
      </c>
      <c r="AK829" t="s">
        <v>62</v>
      </c>
      <c r="AL829" t="s">
        <v>63</v>
      </c>
      <c r="AM829" t="s">
        <v>61</v>
      </c>
      <c r="AN829" t="s">
        <v>64</v>
      </c>
      <c r="AO829" t="s">
        <v>253</v>
      </c>
      <c r="AP829">
        <v>37</v>
      </c>
      <c r="AQ829" t="s">
        <v>254</v>
      </c>
      <c r="AR829" t="s">
        <v>48</v>
      </c>
      <c r="AS829">
        <v>2015</v>
      </c>
      <c r="AT829" t="s">
        <v>49</v>
      </c>
      <c r="AU829" t="s">
        <v>48</v>
      </c>
      <c r="AV829" t="s">
        <v>48</v>
      </c>
      <c r="AW829" t="s">
        <v>48</v>
      </c>
    </row>
    <row r="830" spans="1:49" x14ac:dyDescent="0.3">
      <c r="A830" t="s">
        <v>2267</v>
      </c>
      <c r="B830" t="s">
        <v>48</v>
      </c>
      <c r="C830" t="s">
        <v>49</v>
      </c>
      <c r="D830">
        <v>465.44</v>
      </c>
      <c r="E830">
        <v>0</v>
      </c>
      <c r="F830">
        <v>1.92</v>
      </c>
      <c r="G830" t="s">
        <v>2268</v>
      </c>
      <c r="H830" t="s">
        <v>2269</v>
      </c>
      <c r="I830" t="s">
        <v>52</v>
      </c>
      <c r="J830" t="s">
        <v>53</v>
      </c>
      <c r="K830">
        <v>200</v>
      </c>
      <c r="L830" t="s">
        <v>126</v>
      </c>
      <c r="M830">
        <f>DOWNLOAD_2kLRbPnDtawQopEJ_UKtt22ud9U57gk8mqebZIeugNk[[#This Row],[Standard Value]]</f>
        <v>200</v>
      </c>
      <c r="N830">
        <f>-LOG(DOWNLOAD_2kLRbPnDtawQopEJ_UKtt22ud9U57gk8mqebZIeugNk[[#This Row],[IC50]]*POWER(10, -9), 10)</f>
        <v>6.6989700043360187</v>
      </c>
      <c r="O830">
        <v>6.7</v>
      </c>
      <c r="P830" t="s">
        <v>48</v>
      </c>
      <c r="Q830">
        <v>302850</v>
      </c>
      <c r="R830" t="s">
        <v>127</v>
      </c>
      <c r="S830">
        <v>14.39</v>
      </c>
      <c r="T830">
        <v>0.27</v>
      </c>
      <c r="U830">
        <v>4.78</v>
      </c>
      <c r="V830">
        <v>5.29</v>
      </c>
      <c r="W830">
        <v>0</v>
      </c>
      <c r="X830" t="s">
        <v>251</v>
      </c>
      <c r="Y830" t="s">
        <v>252</v>
      </c>
      <c r="Z830" t="s">
        <v>58</v>
      </c>
      <c r="AA830" t="s">
        <v>59</v>
      </c>
      <c r="AB830" t="s">
        <v>60</v>
      </c>
      <c r="AC830" t="s">
        <v>61</v>
      </c>
      <c r="AD830" t="s">
        <v>49</v>
      </c>
      <c r="AE830" t="s">
        <v>49</v>
      </c>
      <c r="AF830" t="s">
        <v>49</v>
      </c>
      <c r="AG830" t="s">
        <v>49</v>
      </c>
      <c r="AH830" t="s">
        <v>48</v>
      </c>
      <c r="AI830" t="s">
        <v>48</v>
      </c>
      <c r="AJ830" t="s">
        <v>48</v>
      </c>
      <c r="AK830" t="s">
        <v>62</v>
      </c>
      <c r="AL830" t="s">
        <v>63</v>
      </c>
      <c r="AM830" t="s">
        <v>61</v>
      </c>
      <c r="AN830" t="s">
        <v>64</v>
      </c>
      <c r="AO830" t="s">
        <v>253</v>
      </c>
      <c r="AP830">
        <v>37</v>
      </c>
      <c r="AQ830" t="s">
        <v>254</v>
      </c>
      <c r="AR830" t="s">
        <v>48</v>
      </c>
      <c r="AS830">
        <v>2015</v>
      </c>
      <c r="AT830" t="s">
        <v>49</v>
      </c>
      <c r="AU830" t="s">
        <v>48</v>
      </c>
      <c r="AV830" t="s">
        <v>48</v>
      </c>
      <c r="AW830" t="s">
        <v>48</v>
      </c>
    </row>
    <row r="831" spans="1:49" x14ac:dyDescent="0.3">
      <c r="A831" t="s">
        <v>596</v>
      </c>
      <c r="B831" t="s">
        <v>48</v>
      </c>
      <c r="C831" t="s">
        <v>49</v>
      </c>
      <c r="D831">
        <v>507.43</v>
      </c>
      <c r="E831">
        <v>1</v>
      </c>
      <c r="F831">
        <v>0.95</v>
      </c>
      <c r="G831" t="s">
        <v>597</v>
      </c>
      <c r="H831" t="s">
        <v>598</v>
      </c>
      <c r="I831" t="s">
        <v>52</v>
      </c>
      <c r="J831" t="s">
        <v>53</v>
      </c>
      <c r="K831">
        <v>1000</v>
      </c>
      <c r="L831" t="s">
        <v>126</v>
      </c>
      <c r="M831">
        <f>DOWNLOAD_2kLRbPnDtawQopEJ_UKtt22ud9U57gk8mqebZIeugNk[[#This Row],[Standard Value]]</f>
        <v>1000</v>
      </c>
      <c r="N831">
        <f>-LOG(DOWNLOAD_2kLRbPnDtawQopEJ_UKtt22ud9U57gk8mqebZIeugNk[[#This Row],[IC50]]*POWER(10, -9), 10)</f>
        <v>5.9999999999999991</v>
      </c>
      <c r="O831">
        <v>6</v>
      </c>
      <c r="P831" t="s">
        <v>48</v>
      </c>
      <c r="Q831">
        <v>302867</v>
      </c>
      <c r="R831" t="s">
        <v>127</v>
      </c>
      <c r="S831">
        <v>11.82</v>
      </c>
      <c r="T831">
        <v>0.23</v>
      </c>
      <c r="U831">
        <v>5.05</v>
      </c>
      <c r="V831">
        <v>4.47</v>
      </c>
      <c r="W831">
        <v>0</v>
      </c>
      <c r="X831" t="s">
        <v>251</v>
      </c>
      <c r="Y831" t="s">
        <v>252</v>
      </c>
      <c r="Z831" t="s">
        <v>58</v>
      </c>
      <c r="AA831" t="s">
        <v>59</v>
      </c>
      <c r="AB831" t="s">
        <v>60</v>
      </c>
      <c r="AC831" t="s">
        <v>61</v>
      </c>
      <c r="AD831" t="s">
        <v>49</v>
      </c>
      <c r="AE831" t="s">
        <v>49</v>
      </c>
      <c r="AF831" t="s">
        <v>49</v>
      </c>
      <c r="AG831" t="s">
        <v>49</v>
      </c>
      <c r="AH831" t="s">
        <v>48</v>
      </c>
      <c r="AI831" t="s">
        <v>48</v>
      </c>
      <c r="AJ831" t="s">
        <v>48</v>
      </c>
      <c r="AK831" t="s">
        <v>62</v>
      </c>
      <c r="AL831" t="s">
        <v>63</v>
      </c>
      <c r="AM831" t="s">
        <v>61</v>
      </c>
      <c r="AN831" t="s">
        <v>64</v>
      </c>
      <c r="AO831" t="s">
        <v>253</v>
      </c>
      <c r="AP831">
        <v>37</v>
      </c>
      <c r="AQ831" t="s">
        <v>254</v>
      </c>
      <c r="AR831" t="s">
        <v>48</v>
      </c>
      <c r="AS831">
        <v>2015</v>
      </c>
      <c r="AT831" t="s">
        <v>49</v>
      </c>
      <c r="AU831" t="s">
        <v>48</v>
      </c>
      <c r="AV831" t="s">
        <v>48</v>
      </c>
      <c r="AW831" t="s">
        <v>48</v>
      </c>
    </row>
    <row r="832" spans="1:49" x14ac:dyDescent="0.3">
      <c r="A832" t="s">
        <v>2270</v>
      </c>
      <c r="B832" t="s">
        <v>48</v>
      </c>
      <c r="C832" t="s">
        <v>49</v>
      </c>
      <c r="D832">
        <v>488.91</v>
      </c>
      <c r="E832">
        <v>0</v>
      </c>
      <c r="F832">
        <v>1.89</v>
      </c>
      <c r="G832" t="s">
        <v>2271</v>
      </c>
      <c r="H832" t="s">
        <v>2272</v>
      </c>
      <c r="I832" t="s">
        <v>52</v>
      </c>
      <c r="J832" t="s">
        <v>53</v>
      </c>
      <c r="K832">
        <v>83000</v>
      </c>
      <c r="L832" t="s">
        <v>126</v>
      </c>
      <c r="M832">
        <f>DOWNLOAD_2kLRbPnDtawQopEJ_UKtt22ud9U57gk8mqebZIeugNk[[#This Row],[Standard Value]]</f>
        <v>83000</v>
      </c>
      <c r="N832">
        <f>-LOG(DOWNLOAD_2kLRbPnDtawQopEJ_UKtt22ud9U57gk8mqebZIeugNk[[#This Row],[IC50]]*POWER(10, -9), 10)</f>
        <v>4.0809219076239254</v>
      </c>
      <c r="O832">
        <v>4.08</v>
      </c>
      <c r="P832" t="s">
        <v>48</v>
      </c>
      <c r="Q832">
        <v>302884</v>
      </c>
      <c r="R832" t="s">
        <v>127</v>
      </c>
      <c r="S832">
        <v>8.35</v>
      </c>
      <c r="T832">
        <v>0.17</v>
      </c>
      <c r="U832">
        <v>2.19</v>
      </c>
      <c r="V832">
        <v>2.92</v>
      </c>
      <c r="W832">
        <v>0</v>
      </c>
      <c r="X832" t="s">
        <v>251</v>
      </c>
      <c r="Y832" t="s">
        <v>252</v>
      </c>
      <c r="Z832" t="s">
        <v>58</v>
      </c>
      <c r="AA832" t="s">
        <v>59</v>
      </c>
      <c r="AB832" t="s">
        <v>60</v>
      </c>
      <c r="AC832" t="s">
        <v>61</v>
      </c>
      <c r="AD832" t="s">
        <v>49</v>
      </c>
      <c r="AE832" t="s">
        <v>49</v>
      </c>
      <c r="AF832" t="s">
        <v>49</v>
      </c>
      <c r="AG832" t="s">
        <v>49</v>
      </c>
      <c r="AH832" t="s">
        <v>48</v>
      </c>
      <c r="AI832" t="s">
        <v>48</v>
      </c>
      <c r="AJ832" t="s">
        <v>48</v>
      </c>
      <c r="AK832" t="s">
        <v>62</v>
      </c>
      <c r="AL832" t="s">
        <v>63</v>
      </c>
      <c r="AM832" t="s">
        <v>61</v>
      </c>
      <c r="AN832" t="s">
        <v>64</v>
      </c>
      <c r="AO832" t="s">
        <v>253</v>
      </c>
      <c r="AP832">
        <v>37</v>
      </c>
      <c r="AQ832" t="s">
        <v>254</v>
      </c>
      <c r="AR832" t="s">
        <v>48</v>
      </c>
      <c r="AS832">
        <v>2015</v>
      </c>
      <c r="AT832" t="s">
        <v>49</v>
      </c>
      <c r="AU832" t="s">
        <v>48</v>
      </c>
      <c r="AV832" t="s">
        <v>48</v>
      </c>
      <c r="AW832" t="s">
        <v>48</v>
      </c>
    </row>
    <row r="833" spans="1:49" x14ac:dyDescent="0.3">
      <c r="A833" t="s">
        <v>2273</v>
      </c>
      <c r="B833" t="s">
        <v>48</v>
      </c>
      <c r="C833" t="s">
        <v>49</v>
      </c>
      <c r="D833">
        <v>456.3</v>
      </c>
      <c r="E833">
        <v>0</v>
      </c>
      <c r="F833">
        <v>4.29</v>
      </c>
      <c r="G833" t="s">
        <v>531</v>
      </c>
      <c r="H833" t="s">
        <v>2274</v>
      </c>
      <c r="I833" t="s">
        <v>52</v>
      </c>
      <c r="J833" t="s">
        <v>53</v>
      </c>
      <c r="K833">
        <v>3.89</v>
      </c>
      <c r="L833" t="s">
        <v>54</v>
      </c>
      <c r="M833">
        <f>DOWNLOAD_2kLRbPnDtawQopEJ_UKtt22ud9U57gk8mqebZIeugNk[[#This Row],[Standard Value]]/DOWNLOAD_2kLRbPnDtawQopEJ_UKtt22ud9U57gk8mqebZIeugNk[[#This Row],[Molecular Weight]]*1000*1000</f>
        <v>8525.0931404777548</v>
      </c>
      <c r="N833">
        <f>-LOG(DOWNLOAD_2kLRbPnDtawQopEJ_UKtt22ud9U57gk8mqebZIeugNk[[#This Row],[IC50]]*POWER(10, -9), 10)</f>
        <v>5.0693008674469526</v>
      </c>
      <c r="P833" t="s">
        <v>48</v>
      </c>
      <c r="R833" t="s">
        <v>55</v>
      </c>
      <c r="W833">
        <v>0</v>
      </c>
      <c r="X833" t="s">
        <v>877</v>
      </c>
      <c r="Y833" t="s">
        <v>878</v>
      </c>
      <c r="Z833" t="s">
        <v>58</v>
      </c>
      <c r="AA833" t="s">
        <v>59</v>
      </c>
      <c r="AB833" t="s">
        <v>60</v>
      </c>
      <c r="AC833" t="s">
        <v>61</v>
      </c>
      <c r="AD833" t="s">
        <v>49</v>
      </c>
      <c r="AE833" t="s">
        <v>49</v>
      </c>
      <c r="AF833" t="s">
        <v>49</v>
      </c>
      <c r="AG833" t="s">
        <v>49</v>
      </c>
      <c r="AH833" t="s">
        <v>48</v>
      </c>
      <c r="AI833" t="s">
        <v>48</v>
      </c>
      <c r="AJ833" t="s">
        <v>48</v>
      </c>
      <c r="AK833" t="s">
        <v>62</v>
      </c>
      <c r="AL833" t="s">
        <v>63</v>
      </c>
      <c r="AM833" t="s">
        <v>61</v>
      </c>
      <c r="AN833" t="s">
        <v>64</v>
      </c>
      <c r="AO833" t="s">
        <v>879</v>
      </c>
      <c r="AP833">
        <v>1</v>
      </c>
      <c r="AQ833" t="s">
        <v>66</v>
      </c>
      <c r="AR833" t="s">
        <v>131</v>
      </c>
      <c r="AS833">
        <v>2020</v>
      </c>
      <c r="AT833" t="s">
        <v>49</v>
      </c>
      <c r="AU833" t="s">
        <v>48</v>
      </c>
      <c r="AV833" t="s">
        <v>269</v>
      </c>
      <c r="AW833" t="s">
        <v>48</v>
      </c>
    </row>
    <row r="834" spans="1:49" x14ac:dyDescent="0.3">
      <c r="A834" t="s">
        <v>2275</v>
      </c>
      <c r="B834" t="s">
        <v>48</v>
      </c>
      <c r="C834" t="s">
        <v>49</v>
      </c>
      <c r="D834">
        <v>510.5</v>
      </c>
      <c r="E834">
        <v>1</v>
      </c>
      <c r="F834">
        <v>2.4</v>
      </c>
      <c r="G834" t="s">
        <v>173</v>
      </c>
      <c r="H834" t="s">
        <v>2276</v>
      </c>
      <c r="I834" t="s">
        <v>52</v>
      </c>
      <c r="J834" t="s">
        <v>53</v>
      </c>
      <c r="K834">
        <v>0.21</v>
      </c>
      <c r="L834" t="s">
        <v>54</v>
      </c>
      <c r="M834">
        <f>DOWNLOAD_2kLRbPnDtawQopEJ_UKtt22ud9U57gk8mqebZIeugNk[[#This Row],[Standard Value]]/DOWNLOAD_2kLRbPnDtawQopEJ_UKtt22ud9U57gk8mqebZIeugNk[[#This Row],[Molecular Weight]]*1000*1000</f>
        <v>411.36141038197849</v>
      </c>
      <c r="N834">
        <f>-LOG(DOWNLOAD_2kLRbPnDtawQopEJ_UKtt22ud9U57gk8mqebZIeugNk[[#This Row],[IC50]]*POWER(10, -9), 10)</f>
        <v>6.3857764516890096</v>
      </c>
      <c r="P834" t="s">
        <v>48</v>
      </c>
      <c r="R834" t="s">
        <v>55</v>
      </c>
      <c r="W834">
        <v>0</v>
      </c>
      <c r="X834" t="s">
        <v>877</v>
      </c>
      <c r="Y834" t="s">
        <v>878</v>
      </c>
      <c r="Z834" t="s">
        <v>58</v>
      </c>
      <c r="AA834" t="s">
        <v>59</v>
      </c>
      <c r="AB834" t="s">
        <v>60</v>
      </c>
      <c r="AC834" t="s">
        <v>61</v>
      </c>
      <c r="AD834" t="s">
        <v>49</v>
      </c>
      <c r="AE834" t="s">
        <v>49</v>
      </c>
      <c r="AF834" t="s">
        <v>49</v>
      </c>
      <c r="AG834" t="s">
        <v>49</v>
      </c>
      <c r="AH834" t="s">
        <v>48</v>
      </c>
      <c r="AI834" t="s">
        <v>48</v>
      </c>
      <c r="AJ834" t="s">
        <v>48</v>
      </c>
      <c r="AK834" t="s">
        <v>62</v>
      </c>
      <c r="AL834" t="s">
        <v>63</v>
      </c>
      <c r="AM834" t="s">
        <v>61</v>
      </c>
      <c r="AN834" t="s">
        <v>64</v>
      </c>
      <c r="AO834" t="s">
        <v>879</v>
      </c>
      <c r="AP834">
        <v>1</v>
      </c>
      <c r="AQ834" t="s">
        <v>66</v>
      </c>
      <c r="AR834" t="s">
        <v>131</v>
      </c>
      <c r="AS834">
        <v>2020</v>
      </c>
      <c r="AT834" t="s">
        <v>49</v>
      </c>
      <c r="AU834" t="s">
        <v>48</v>
      </c>
      <c r="AV834" t="s">
        <v>269</v>
      </c>
      <c r="AW834" t="s">
        <v>48</v>
      </c>
    </row>
    <row r="835" spans="1:49" x14ac:dyDescent="0.3">
      <c r="A835" t="s">
        <v>2277</v>
      </c>
      <c r="B835" t="s">
        <v>48</v>
      </c>
      <c r="C835" t="s">
        <v>49</v>
      </c>
      <c r="D835">
        <v>386.19</v>
      </c>
      <c r="E835">
        <v>0</v>
      </c>
      <c r="F835">
        <v>2.4</v>
      </c>
      <c r="G835" t="s">
        <v>2278</v>
      </c>
      <c r="H835" t="s">
        <v>2279</v>
      </c>
      <c r="I835" t="s">
        <v>52</v>
      </c>
      <c r="J835" t="s">
        <v>53</v>
      </c>
      <c r="K835">
        <v>120</v>
      </c>
      <c r="L835" t="s">
        <v>126</v>
      </c>
      <c r="M835">
        <f>DOWNLOAD_2kLRbPnDtawQopEJ_UKtt22ud9U57gk8mqebZIeugNk[[#This Row],[Standard Value]]</f>
        <v>120</v>
      </c>
      <c r="N835">
        <f>-LOG(DOWNLOAD_2kLRbPnDtawQopEJ_UKtt22ud9U57gk8mqebZIeugNk[[#This Row],[IC50]]*POWER(10, -9), 10)</f>
        <v>6.9208187539523749</v>
      </c>
      <c r="O835">
        <v>6.92</v>
      </c>
      <c r="P835" t="s">
        <v>48</v>
      </c>
      <c r="R835" t="s">
        <v>127</v>
      </c>
      <c r="S835">
        <v>17.920000000000002</v>
      </c>
      <c r="T835">
        <v>0.38</v>
      </c>
      <c r="U835">
        <v>4.5199999999999996</v>
      </c>
      <c r="V835">
        <v>5.74</v>
      </c>
      <c r="W835">
        <v>0</v>
      </c>
      <c r="X835" t="s">
        <v>877</v>
      </c>
      <c r="Y835" t="s">
        <v>878</v>
      </c>
      <c r="Z835" t="s">
        <v>58</v>
      </c>
      <c r="AA835" t="s">
        <v>59</v>
      </c>
      <c r="AB835" t="s">
        <v>60</v>
      </c>
      <c r="AC835" t="s">
        <v>61</v>
      </c>
      <c r="AD835" t="s">
        <v>49</v>
      </c>
      <c r="AE835" t="s">
        <v>49</v>
      </c>
      <c r="AF835" t="s">
        <v>49</v>
      </c>
      <c r="AG835" t="s">
        <v>49</v>
      </c>
      <c r="AH835" t="s">
        <v>48</v>
      </c>
      <c r="AI835" t="s">
        <v>48</v>
      </c>
      <c r="AJ835" t="s">
        <v>48</v>
      </c>
      <c r="AK835" t="s">
        <v>62</v>
      </c>
      <c r="AL835" t="s">
        <v>63</v>
      </c>
      <c r="AM835" t="s">
        <v>61</v>
      </c>
      <c r="AN835" t="s">
        <v>64</v>
      </c>
      <c r="AO835" t="s">
        <v>879</v>
      </c>
      <c r="AP835">
        <v>1</v>
      </c>
      <c r="AQ835" t="s">
        <v>66</v>
      </c>
      <c r="AR835" t="s">
        <v>131</v>
      </c>
      <c r="AS835">
        <v>2020</v>
      </c>
      <c r="AT835" t="s">
        <v>49</v>
      </c>
      <c r="AU835" t="s">
        <v>48</v>
      </c>
      <c r="AV835" t="s">
        <v>269</v>
      </c>
      <c r="AW835" t="s">
        <v>48</v>
      </c>
    </row>
    <row r="836" spans="1:49" x14ac:dyDescent="0.3">
      <c r="A836" t="s">
        <v>2280</v>
      </c>
      <c r="B836" t="s">
        <v>48</v>
      </c>
      <c r="C836" t="s">
        <v>49</v>
      </c>
      <c r="D836">
        <v>369.43</v>
      </c>
      <c r="E836">
        <v>0</v>
      </c>
      <c r="F836">
        <v>1.41</v>
      </c>
      <c r="G836" t="s">
        <v>470</v>
      </c>
      <c r="H836" t="s">
        <v>2281</v>
      </c>
      <c r="I836" t="s">
        <v>52</v>
      </c>
      <c r="J836" t="s">
        <v>53</v>
      </c>
      <c r="K836">
        <v>89</v>
      </c>
      <c r="L836" t="s">
        <v>126</v>
      </c>
      <c r="M836">
        <f>DOWNLOAD_2kLRbPnDtawQopEJ_UKtt22ud9U57gk8mqebZIeugNk[[#This Row],[Standard Value]]</f>
        <v>89</v>
      </c>
      <c r="N836">
        <f>-LOG(DOWNLOAD_2kLRbPnDtawQopEJ_UKtt22ud9U57gk8mqebZIeugNk[[#This Row],[IC50]]*POWER(10, -9), 10)</f>
        <v>7.0506099933550868</v>
      </c>
      <c r="O836">
        <v>7.05</v>
      </c>
      <c r="P836" t="s">
        <v>48</v>
      </c>
      <c r="R836" t="s">
        <v>127</v>
      </c>
      <c r="S836">
        <v>19.09</v>
      </c>
      <c r="T836">
        <v>0.36</v>
      </c>
      <c r="U836">
        <v>5.64</v>
      </c>
      <c r="V836">
        <v>5.63</v>
      </c>
      <c r="W836">
        <v>0</v>
      </c>
      <c r="X836" t="s">
        <v>450</v>
      </c>
      <c r="Y836" t="s">
        <v>451</v>
      </c>
      <c r="Z836" t="s">
        <v>58</v>
      </c>
      <c r="AA836" t="s">
        <v>59</v>
      </c>
      <c r="AB836" t="s">
        <v>60</v>
      </c>
      <c r="AC836" t="s">
        <v>61</v>
      </c>
      <c r="AD836" t="s">
        <v>49</v>
      </c>
      <c r="AE836" t="s">
        <v>49</v>
      </c>
      <c r="AF836" t="s">
        <v>49</v>
      </c>
      <c r="AG836" t="s">
        <v>49</v>
      </c>
      <c r="AH836" t="s">
        <v>48</v>
      </c>
      <c r="AI836" t="s">
        <v>48</v>
      </c>
      <c r="AJ836" t="s">
        <v>48</v>
      </c>
      <c r="AK836" t="s">
        <v>62</v>
      </c>
      <c r="AL836" t="s">
        <v>63</v>
      </c>
      <c r="AM836" t="s">
        <v>61</v>
      </c>
      <c r="AN836" t="s">
        <v>64</v>
      </c>
      <c r="AO836" t="s">
        <v>452</v>
      </c>
      <c r="AP836">
        <v>1</v>
      </c>
      <c r="AQ836" t="s">
        <v>66</v>
      </c>
      <c r="AR836" t="s">
        <v>267</v>
      </c>
      <c r="AS836">
        <v>2019</v>
      </c>
      <c r="AT836" t="s">
        <v>49</v>
      </c>
      <c r="AU836" t="s">
        <v>48</v>
      </c>
      <c r="AV836" t="s">
        <v>48</v>
      </c>
      <c r="AW836" t="s">
        <v>48</v>
      </c>
    </row>
    <row r="837" spans="1:49" x14ac:dyDescent="0.3">
      <c r="A837" t="s">
        <v>2282</v>
      </c>
      <c r="B837" t="s">
        <v>48</v>
      </c>
      <c r="C837" t="s">
        <v>49</v>
      </c>
      <c r="D837">
        <v>1095.32</v>
      </c>
      <c r="G837" t="s">
        <v>2283</v>
      </c>
      <c r="H837" t="s">
        <v>2284</v>
      </c>
      <c r="I837" t="s">
        <v>52</v>
      </c>
      <c r="J837" t="s">
        <v>53</v>
      </c>
      <c r="K837">
        <v>44100</v>
      </c>
      <c r="L837" t="s">
        <v>126</v>
      </c>
      <c r="M837">
        <f>DOWNLOAD_2kLRbPnDtawQopEJ_UKtt22ud9U57gk8mqebZIeugNk[[#This Row],[Standard Value]]</f>
        <v>44100</v>
      </c>
      <c r="N837">
        <f>-LOG(DOWNLOAD_2kLRbPnDtawQopEJ_UKtt22ud9U57gk8mqebZIeugNk[[#This Row],[IC50]]*POWER(10, -9), 10)</f>
        <v>4.3555614105321609</v>
      </c>
      <c r="O837">
        <v>4.3600000000000003</v>
      </c>
      <c r="P837" t="s">
        <v>48</v>
      </c>
      <c r="R837" t="s">
        <v>127</v>
      </c>
      <c r="S837">
        <v>3.98</v>
      </c>
      <c r="W837">
        <v>0</v>
      </c>
      <c r="X837" t="s">
        <v>285</v>
      </c>
      <c r="Y837" t="s">
        <v>286</v>
      </c>
      <c r="Z837" t="s">
        <v>58</v>
      </c>
      <c r="AA837" t="s">
        <v>59</v>
      </c>
      <c r="AB837" t="s">
        <v>60</v>
      </c>
      <c r="AC837" t="s">
        <v>61</v>
      </c>
      <c r="AD837" t="s">
        <v>49</v>
      </c>
      <c r="AE837" t="s">
        <v>49</v>
      </c>
      <c r="AF837" t="s">
        <v>49</v>
      </c>
      <c r="AG837" t="s">
        <v>49</v>
      </c>
      <c r="AH837" t="s">
        <v>48</v>
      </c>
      <c r="AI837" t="s">
        <v>48</v>
      </c>
      <c r="AJ837" t="s">
        <v>48</v>
      </c>
      <c r="AK837" t="s">
        <v>62</v>
      </c>
      <c r="AL837" t="s">
        <v>63</v>
      </c>
      <c r="AM837" t="s">
        <v>61</v>
      </c>
      <c r="AN837" t="s">
        <v>64</v>
      </c>
      <c r="AO837" t="s">
        <v>287</v>
      </c>
      <c r="AP837">
        <v>1</v>
      </c>
      <c r="AQ837" t="s">
        <v>66</v>
      </c>
      <c r="AR837" t="s">
        <v>131</v>
      </c>
      <c r="AS837">
        <v>2020</v>
      </c>
      <c r="AT837" t="s">
        <v>49</v>
      </c>
      <c r="AU837" t="s">
        <v>288</v>
      </c>
      <c r="AV837" t="s">
        <v>269</v>
      </c>
      <c r="AW837" t="s">
        <v>48</v>
      </c>
    </row>
    <row r="838" spans="1:49" x14ac:dyDescent="0.3">
      <c r="A838" t="s">
        <v>2285</v>
      </c>
      <c r="B838" t="s">
        <v>48</v>
      </c>
      <c r="C838" t="s">
        <v>49</v>
      </c>
      <c r="D838">
        <v>373.43</v>
      </c>
      <c r="E838">
        <v>0</v>
      </c>
      <c r="F838">
        <v>2.66</v>
      </c>
      <c r="G838" t="s">
        <v>643</v>
      </c>
      <c r="H838" t="s">
        <v>2286</v>
      </c>
      <c r="I838" t="s">
        <v>52</v>
      </c>
      <c r="J838" t="s">
        <v>53</v>
      </c>
      <c r="K838">
        <v>2910</v>
      </c>
      <c r="L838" t="s">
        <v>126</v>
      </c>
      <c r="M838">
        <f>DOWNLOAD_2kLRbPnDtawQopEJ_UKtt22ud9U57gk8mqebZIeugNk[[#This Row],[Standard Value]]</f>
        <v>2910</v>
      </c>
      <c r="N838">
        <f>-LOG(DOWNLOAD_2kLRbPnDtawQopEJ_UKtt22ud9U57gk8mqebZIeugNk[[#This Row],[IC50]]*POWER(10, -9), 10)</f>
        <v>5.5361070110140922</v>
      </c>
      <c r="O838">
        <v>5.54</v>
      </c>
      <c r="P838" t="s">
        <v>48</v>
      </c>
      <c r="R838" t="s">
        <v>127</v>
      </c>
      <c r="S838">
        <v>14.83</v>
      </c>
      <c r="T838">
        <v>0.28000000000000003</v>
      </c>
      <c r="U838">
        <v>2.88</v>
      </c>
      <c r="V838">
        <v>6.25</v>
      </c>
      <c r="W838">
        <v>0</v>
      </c>
      <c r="X838" t="s">
        <v>700</v>
      </c>
      <c r="Y838" t="s">
        <v>701</v>
      </c>
      <c r="Z838" t="s">
        <v>58</v>
      </c>
      <c r="AA838" t="s">
        <v>59</v>
      </c>
      <c r="AB838" t="s">
        <v>60</v>
      </c>
      <c r="AC838" t="s">
        <v>61</v>
      </c>
      <c r="AD838" t="s">
        <v>49</v>
      </c>
      <c r="AE838" t="s">
        <v>49</v>
      </c>
      <c r="AF838" t="s">
        <v>49</v>
      </c>
      <c r="AG838" t="s">
        <v>49</v>
      </c>
      <c r="AH838" t="s">
        <v>48</v>
      </c>
      <c r="AI838" t="s">
        <v>48</v>
      </c>
      <c r="AJ838" t="s">
        <v>48</v>
      </c>
      <c r="AK838" t="s">
        <v>62</v>
      </c>
      <c r="AL838" t="s">
        <v>63</v>
      </c>
      <c r="AM838" t="s">
        <v>61</v>
      </c>
      <c r="AN838" t="s">
        <v>64</v>
      </c>
      <c r="AO838" t="s">
        <v>702</v>
      </c>
      <c r="AP838">
        <v>1</v>
      </c>
      <c r="AQ838" t="s">
        <v>66</v>
      </c>
      <c r="AR838" t="s">
        <v>67</v>
      </c>
      <c r="AS838">
        <v>2020</v>
      </c>
      <c r="AT838" t="s">
        <v>49</v>
      </c>
      <c r="AU838" t="s">
        <v>48</v>
      </c>
      <c r="AV838" t="s">
        <v>48</v>
      </c>
      <c r="AW838" t="s">
        <v>48</v>
      </c>
    </row>
    <row r="839" spans="1:49" x14ac:dyDescent="0.3">
      <c r="A839" t="s">
        <v>2287</v>
      </c>
      <c r="B839" t="s">
        <v>48</v>
      </c>
      <c r="C839" t="s">
        <v>49</v>
      </c>
      <c r="D839">
        <v>382.89</v>
      </c>
      <c r="E839">
        <v>0</v>
      </c>
      <c r="F839">
        <v>3.79</v>
      </c>
      <c r="G839" t="s">
        <v>1197</v>
      </c>
      <c r="H839" t="s">
        <v>2288</v>
      </c>
      <c r="I839" t="s">
        <v>52</v>
      </c>
      <c r="J839" t="s">
        <v>53</v>
      </c>
      <c r="K839">
        <v>36000</v>
      </c>
      <c r="L839" t="s">
        <v>126</v>
      </c>
      <c r="M839">
        <f>DOWNLOAD_2kLRbPnDtawQopEJ_UKtt22ud9U57gk8mqebZIeugNk[[#This Row],[Standard Value]]</f>
        <v>36000</v>
      </c>
      <c r="N839">
        <f>-LOG(DOWNLOAD_2kLRbPnDtawQopEJ_UKtt22ud9U57gk8mqebZIeugNk[[#This Row],[IC50]]*POWER(10, -9), 10)</f>
        <v>4.4436974992327123</v>
      </c>
      <c r="O839">
        <v>4.4400000000000004</v>
      </c>
      <c r="P839" t="s">
        <v>48</v>
      </c>
      <c r="R839" t="s">
        <v>127</v>
      </c>
      <c r="S839">
        <v>12.83</v>
      </c>
      <c r="T839">
        <v>0.23</v>
      </c>
      <c r="U839">
        <v>0.65</v>
      </c>
      <c r="V839">
        <v>6.91</v>
      </c>
      <c r="W839">
        <v>0</v>
      </c>
      <c r="X839" t="s">
        <v>1546</v>
      </c>
      <c r="Y839" t="s">
        <v>1547</v>
      </c>
      <c r="Z839" t="s">
        <v>58</v>
      </c>
      <c r="AA839" t="s">
        <v>59</v>
      </c>
      <c r="AB839" t="s">
        <v>60</v>
      </c>
      <c r="AC839" t="s">
        <v>61</v>
      </c>
      <c r="AD839" t="s">
        <v>49</v>
      </c>
      <c r="AE839" t="s">
        <v>49</v>
      </c>
      <c r="AF839" t="s">
        <v>49</v>
      </c>
      <c r="AG839" t="s">
        <v>49</v>
      </c>
      <c r="AH839" t="s">
        <v>48</v>
      </c>
      <c r="AI839" t="s">
        <v>48</v>
      </c>
      <c r="AJ839" t="s">
        <v>48</v>
      </c>
      <c r="AK839" t="s">
        <v>62</v>
      </c>
      <c r="AL839" t="s">
        <v>63</v>
      </c>
      <c r="AM839" t="s">
        <v>61</v>
      </c>
      <c r="AN839" t="s">
        <v>64</v>
      </c>
      <c r="AO839" t="s">
        <v>1548</v>
      </c>
      <c r="AP839">
        <v>1</v>
      </c>
      <c r="AQ839" t="s">
        <v>66</v>
      </c>
      <c r="AR839" t="s">
        <v>1549</v>
      </c>
      <c r="AS839">
        <v>2022</v>
      </c>
      <c r="AT839" t="s">
        <v>49</v>
      </c>
      <c r="AU839" t="s">
        <v>299</v>
      </c>
      <c r="AV839" t="s">
        <v>269</v>
      </c>
      <c r="AW839" t="s">
        <v>48</v>
      </c>
    </row>
    <row r="840" spans="1:49" x14ac:dyDescent="0.3">
      <c r="A840" t="s">
        <v>2289</v>
      </c>
      <c r="B840" t="s">
        <v>48</v>
      </c>
      <c r="C840" t="s">
        <v>49</v>
      </c>
      <c r="D840">
        <v>363.85</v>
      </c>
      <c r="E840">
        <v>0</v>
      </c>
      <c r="F840">
        <v>4.96</v>
      </c>
      <c r="G840" t="s">
        <v>643</v>
      </c>
      <c r="H840" t="s">
        <v>2290</v>
      </c>
      <c r="I840" t="s">
        <v>52</v>
      </c>
      <c r="J840" t="s">
        <v>53</v>
      </c>
      <c r="K840">
        <v>1600</v>
      </c>
      <c r="L840" t="s">
        <v>126</v>
      </c>
      <c r="M840">
        <f>DOWNLOAD_2kLRbPnDtawQopEJ_UKtt22ud9U57gk8mqebZIeugNk[[#This Row],[Standard Value]]</f>
        <v>1600</v>
      </c>
      <c r="N840">
        <f>-LOG(DOWNLOAD_2kLRbPnDtawQopEJ_UKtt22ud9U57gk8mqebZIeugNk[[#This Row],[IC50]]*POWER(10, -9), 10)</f>
        <v>5.795880017344075</v>
      </c>
      <c r="O840">
        <v>5.8</v>
      </c>
      <c r="P840" t="s">
        <v>48</v>
      </c>
      <c r="R840" t="s">
        <v>127</v>
      </c>
      <c r="S840">
        <v>15.93</v>
      </c>
      <c r="T840">
        <v>0.3</v>
      </c>
      <c r="U840">
        <v>0.84</v>
      </c>
      <c r="V840">
        <v>9.07</v>
      </c>
      <c r="W840">
        <v>0</v>
      </c>
      <c r="X840" t="s">
        <v>563</v>
      </c>
      <c r="Y840" t="s">
        <v>564</v>
      </c>
      <c r="Z840" t="s">
        <v>58</v>
      </c>
      <c r="AA840" t="s">
        <v>59</v>
      </c>
      <c r="AB840" t="s">
        <v>60</v>
      </c>
      <c r="AC840" t="s">
        <v>61</v>
      </c>
      <c r="AD840" t="s">
        <v>49</v>
      </c>
      <c r="AE840" t="s">
        <v>49</v>
      </c>
      <c r="AF840" t="s">
        <v>49</v>
      </c>
      <c r="AG840" t="s">
        <v>49</v>
      </c>
      <c r="AH840" t="s">
        <v>48</v>
      </c>
      <c r="AI840" t="s">
        <v>48</v>
      </c>
      <c r="AJ840" t="s">
        <v>48</v>
      </c>
      <c r="AK840" t="s">
        <v>62</v>
      </c>
      <c r="AL840" t="s">
        <v>63</v>
      </c>
      <c r="AM840" t="s">
        <v>61</v>
      </c>
      <c r="AN840" t="s">
        <v>64</v>
      </c>
      <c r="AO840" t="s">
        <v>565</v>
      </c>
      <c r="AP840">
        <v>1</v>
      </c>
      <c r="AQ840" t="s">
        <v>66</v>
      </c>
      <c r="AR840" t="s">
        <v>76</v>
      </c>
      <c r="AS840">
        <v>2019</v>
      </c>
      <c r="AT840" t="s">
        <v>49</v>
      </c>
      <c r="AU840" t="s">
        <v>48</v>
      </c>
      <c r="AV840" t="s">
        <v>48</v>
      </c>
      <c r="AW840" t="s">
        <v>48</v>
      </c>
    </row>
    <row r="841" spans="1:49" x14ac:dyDescent="0.3">
      <c r="A841" t="s">
        <v>2291</v>
      </c>
      <c r="B841" t="s">
        <v>48</v>
      </c>
      <c r="C841" t="s">
        <v>49</v>
      </c>
      <c r="D841">
        <v>540.47</v>
      </c>
      <c r="E841">
        <v>0</v>
      </c>
      <c r="F841">
        <v>2.81</v>
      </c>
      <c r="G841" t="s">
        <v>473</v>
      </c>
      <c r="H841" t="s">
        <v>2292</v>
      </c>
      <c r="I841" t="s">
        <v>52</v>
      </c>
      <c r="J841" t="s">
        <v>53</v>
      </c>
      <c r="K841">
        <v>131.11000000000001</v>
      </c>
      <c r="L841" t="s">
        <v>126</v>
      </c>
      <c r="M841">
        <f>DOWNLOAD_2kLRbPnDtawQopEJ_UKtt22ud9U57gk8mqebZIeugNk[[#This Row],[Standard Value]]</f>
        <v>131.11000000000001</v>
      </c>
      <c r="N841">
        <f>-LOG(DOWNLOAD_2kLRbPnDtawQopEJ_UKtt22ud9U57gk8mqebZIeugNk[[#This Row],[IC50]]*POWER(10, -9), 10)</f>
        <v>6.8823641826105053</v>
      </c>
      <c r="O841">
        <v>6.88</v>
      </c>
      <c r="P841" t="s">
        <v>48</v>
      </c>
      <c r="R841" t="s">
        <v>127</v>
      </c>
      <c r="S841">
        <v>16.14</v>
      </c>
      <c r="T841">
        <v>0.3</v>
      </c>
      <c r="U841">
        <v>4.07</v>
      </c>
      <c r="V841">
        <v>5.58</v>
      </c>
      <c r="W841">
        <v>0</v>
      </c>
      <c r="X841" t="s">
        <v>264</v>
      </c>
      <c r="Y841" t="s">
        <v>265</v>
      </c>
      <c r="Z841" t="s">
        <v>58</v>
      </c>
      <c r="AA841" t="s">
        <v>59</v>
      </c>
      <c r="AB841" t="s">
        <v>60</v>
      </c>
      <c r="AC841" t="s">
        <v>61</v>
      </c>
      <c r="AD841" t="s">
        <v>49</v>
      </c>
      <c r="AE841" t="s">
        <v>49</v>
      </c>
      <c r="AF841" t="s">
        <v>49</v>
      </c>
      <c r="AG841" t="s">
        <v>49</v>
      </c>
      <c r="AH841" t="s">
        <v>48</v>
      </c>
      <c r="AI841" t="s">
        <v>48</v>
      </c>
      <c r="AJ841" t="s">
        <v>48</v>
      </c>
      <c r="AK841" t="s">
        <v>62</v>
      </c>
      <c r="AL841" t="s">
        <v>63</v>
      </c>
      <c r="AM841" t="s">
        <v>61</v>
      </c>
      <c r="AN841" t="s">
        <v>64</v>
      </c>
      <c r="AO841" t="s">
        <v>266</v>
      </c>
      <c r="AP841">
        <v>1</v>
      </c>
      <c r="AQ841" t="s">
        <v>66</v>
      </c>
      <c r="AR841" t="s">
        <v>267</v>
      </c>
      <c r="AS841">
        <v>2020</v>
      </c>
      <c r="AT841" t="s">
        <v>49</v>
      </c>
      <c r="AU841" t="s">
        <v>268</v>
      </c>
      <c r="AV841" t="s">
        <v>269</v>
      </c>
      <c r="AW841" t="s">
        <v>48</v>
      </c>
    </row>
    <row r="842" spans="1:49" x14ac:dyDescent="0.3">
      <c r="A842" t="s">
        <v>2293</v>
      </c>
      <c r="B842" t="s">
        <v>48</v>
      </c>
      <c r="C842" t="s">
        <v>49</v>
      </c>
      <c r="D842">
        <v>477.47</v>
      </c>
      <c r="E842">
        <v>0</v>
      </c>
      <c r="F842">
        <v>1.2</v>
      </c>
      <c r="G842" t="s">
        <v>500</v>
      </c>
      <c r="H842" t="s">
        <v>2294</v>
      </c>
      <c r="I842" t="s">
        <v>52</v>
      </c>
      <c r="J842" t="s">
        <v>53</v>
      </c>
      <c r="K842">
        <v>2.66</v>
      </c>
      <c r="L842" t="s">
        <v>126</v>
      </c>
      <c r="M842">
        <f>DOWNLOAD_2kLRbPnDtawQopEJ_UKtt22ud9U57gk8mqebZIeugNk[[#This Row],[Standard Value]]</f>
        <v>2.66</v>
      </c>
      <c r="N842">
        <f>-LOG(DOWNLOAD_2kLRbPnDtawQopEJ_UKtt22ud9U57gk8mqebZIeugNk[[#This Row],[IC50]]*POWER(10, -9), 10)</f>
        <v>8.5751183633689312</v>
      </c>
      <c r="O842">
        <v>8.57</v>
      </c>
      <c r="P842" t="s">
        <v>48</v>
      </c>
      <c r="R842" t="s">
        <v>127</v>
      </c>
      <c r="S842">
        <v>17.96</v>
      </c>
      <c r="T842">
        <v>0.35</v>
      </c>
      <c r="U842">
        <v>7.38</v>
      </c>
      <c r="V842">
        <v>5.34</v>
      </c>
      <c r="W842">
        <v>0</v>
      </c>
      <c r="X842" t="s">
        <v>264</v>
      </c>
      <c r="Y842" t="s">
        <v>265</v>
      </c>
      <c r="Z842" t="s">
        <v>58</v>
      </c>
      <c r="AA842" t="s">
        <v>59</v>
      </c>
      <c r="AB842" t="s">
        <v>60</v>
      </c>
      <c r="AC842" t="s">
        <v>61</v>
      </c>
      <c r="AD842" t="s">
        <v>49</v>
      </c>
      <c r="AE842" t="s">
        <v>49</v>
      </c>
      <c r="AF842" t="s">
        <v>49</v>
      </c>
      <c r="AG842" t="s">
        <v>49</v>
      </c>
      <c r="AH842" t="s">
        <v>48</v>
      </c>
      <c r="AI842" t="s">
        <v>48</v>
      </c>
      <c r="AJ842" t="s">
        <v>48</v>
      </c>
      <c r="AK842" t="s">
        <v>62</v>
      </c>
      <c r="AL842" t="s">
        <v>63</v>
      </c>
      <c r="AM842" t="s">
        <v>61</v>
      </c>
      <c r="AN842" t="s">
        <v>64</v>
      </c>
      <c r="AO842" t="s">
        <v>266</v>
      </c>
      <c r="AP842">
        <v>1</v>
      </c>
      <c r="AQ842" t="s">
        <v>66</v>
      </c>
      <c r="AR842" t="s">
        <v>267</v>
      </c>
      <c r="AS842">
        <v>2020</v>
      </c>
      <c r="AT842" t="s">
        <v>49</v>
      </c>
      <c r="AU842" t="s">
        <v>268</v>
      </c>
      <c r="AV842" t="s">
        <v>269</v>
      </c>
      <c r="AW842" t="s">
        <v>48</v>
      </c>
    </row>
    <row r="843" spans="1:49" x14ac:dyDescent="0.3">
      <c r="A843" t="s">
        <v>2295</v>
      </c>
      <c r="B843" t="s">
        <v>48</v>
      </c>
      <c r="C843" t="s">
        <v>49</v>
      </c>
      <c r="D843">
        <v>499.5</v>
      </c>
      <c r="E843">
        <v>1</v>
      </c>
      <c r="F843">
        <v>2.95</v>
      </c>
      <c r="G843" t="s">
        <v>1197</v>
      </c>
      <c r="H843" t="s">
        <v>2296</v>
      </c>
      <c r="I843" t="s">
        <v>52</v>
      </c>
      <c r="J843" t="s">
        <v>53</v>
      </c>
      <c r="K843">
        <v>2.15</v>
      </c>
      <c r="L843" t="s">
        <v>126</v>
      </c>
      <c r="M843">
        <f>DOWNLOAD_2kLRbPnDtawQopEJ_UKtt22ud9U57gk8mqebZIeugNk[[#This Row],[Standard Value]]</f>
        <v>2.15</v>
      </c>
      <c r="N843">
        <f>-LOG(DOWNLOAD_2kLRbPnDtawQopEJ_UKtt22ud9U57gk8mqebZIeugNk[[#This Row],[IC50]]*POWER(10, -9), 10)</f>
        <v>8.6675615400843942</v>
      </c>
      <c r="O843">
        <v>8.67</v>
      </c>
      <c r="P843" t="s">
        <v>48</v>
      </c>
      <c r="R843" t="s">
        <v>127</v>
      </c>
      <c r="S843">
        <v>19.11</v>
      </c>
      <c r="T843">
        <v>0.36</v>
      </c>
      <c r="U843">
        <v>5.72</v>
      </c>
      <c r="V843">
        <v>5.8</v>
      </c>
      <c r="W843">
        <v>0</v>
      </c>
      <c r="X843" t="s">
        <v>264</v>
      </c>
      <c r="Y843" t="s">
        <v>265</v>
      </c>
      <c r="Z843" t="s">
        <v>58</v>
      </c>
      <c r="AA843" t="s">
        <v>59</v>
      </c>
      <c r="AB843" t="s">
        <v>60</v>
      </c>
      <c r="AC843" t="s">
        <v>61</v>
      </c>
      <c r="AD843" t="s">
        <v>49</v>
      </c>
      <c r="AE843" t="s">
        <v>49</v>
      </c>
      <c r="AF843" t="s">
        <v>49</v>
      </c>
      <c r="AG843" t="s">
        <v>49</v>
      </c>
      <c r="AH843" t="s">
        <v>48</v>
      </c>
      <c r="AI843" t="s">
        <v>48</v>
      </c>
      <c r="AJ843" t="s">
        <v>48</v>
      </c>
      <c r="AK843" t="s">
        <v>62</v>
      </c>
      <c r="AL843" t="s">
        <v>63</v>
      </c>
      <c r="AM843" t="s">
        <v>61</v>
      </c>
      <c r="AN843" t="s">
        <v>64</v>
      </c>
      <c r="AO843" t="s">
        <v>266</v>
      </c>
      <c r="AP843">
        <v>1</v>
      </c>
      <c r="AQ843" t="s">
        <v>66</v>
      </c>
      <c r="AR843" t="s">
        <v>267</v>
      </c>
      <c r="AS843">
        <v>2020</v>
      </c>
      <c r="AT843" t="s">
        <v>49</v>
      </c>
      <c r="AU843" t="s">
        <v>268</v>
      </c>
      <c r="AV843" t="s">
        <v>269</v>
      </c>
      <c r="AW843" t="s">
        <v>48</v>
      </c>
    </row>
    <row r="844" spans="1:49" x14ac:dyDescent="0.3">
      <c r="A844" t="s">
        <v>2297</v>
      </c>
      <c r="B844" t="s">
        <v>48</v>
      </c>
      <c r="C844" t="s">
        <v>49</v>
      </c>
      <c r="D844">
        <v>513.53</v>
      </c>
      <c r="E844">
        <v>1</v>
      </c>
      <c r="F844">
        <v>3.07</v>
      </c>
      <c r="G844" t="s">
        <v>1175</v>
      </c>
      <c r="H844" t="s">
        <v>2298</v>
      </c>
      <c r="I844" t="s">
        <v>52</v>
      </c>
      <c r="J844" t="s">
        <v>53</v>
      </c>
      <c r="K844">
        <v>1.31</v>
      </c>
      <c r="L844" t="s">
        <v>126</v>
      </c>
      <c r="M844">
        <f>DOWNLOAD_2kLRbPnDtawQopEJ_UKtt22ud9U57gk8mqebZIeugNk[[#This Row],[Standard Value]]</f>
        <v>1.31</v>
      </c>
      <c r="N844">
        <f>-LOG(DOWNLOAD_2kLRbPnDtawQopEJ_UKtt22ud9U57gk8mqebZIeugNk[[#This Row],[IC50]]*POWER(10, -9), 10)</f>
        <v>8.8827287043442347</v>
      </c>
      <c r="O844">
        <v>8.8800000000000008</v>
      </c>
      <c r="P844" t="s">
        <v>48</v>
      </c>
      <c r="R844" t="s">
        <v>127</v>
      </c>
      <c r="S844">
        <v>19</v>
      </c>
      <c r="T844">
        <v>0.36</v>
      </c>
      <c r="U844">
        <v>5.81</v>
      </c>
      <c r="V844">
        <v>6.56</v>
      </c>
      <c r="W844">
        <v>0</v>
      </c>
      <c r="X844" t="s">
        <v>264</v>
      </c>
      <c r="Y844" t="s">
        <v>265</v>
      </c>
      <c r="Z844" t="s">
        <v>58</v>
      </c>
      <c r="AA844" t="s">
        <v>59</v>
      </c>
      <c r="AB844" t="s">
        <v>60</v>
      </c>
      <c r="AC844" t="s">
        <v>61</v>
      </c>
      <c r="AD844" t="s">
        <v>49</v>
      </c>
      <c r="AE844" t="s">
        <v>49</v>
      </c>
      <c r="AF844" t="s">
        <v>49</v>
      </c>
      <c r="AG844" t="s">
        <v>49</v>
      </c>
      <c r="AH844" t="s">
        <v>48</v>
      </c>
      <c r="AI844" t="s">
        <v>48</v>
      </c>
      <c r="AJ844" t="s">
        <v>48</v>
      </c>
      <c r="AK844" t="s">
        <v>62</v>
      </c>
      <c r="AL844" t="s">
        <v>63</v>
      </c>
      <c r="AM844" t="s">
        <v>61</v>
      </c>
      <c r="AN844" t="s">
        <v>64</v>
      </c>
      <c r="AO844" t="s">
        <v>266</v>
      </c>
      <c r="AP844">
        <v>1</v>
      </c>
      <c r="AQ844" t="s">
        <v>66</v>
      </c>
      <c r="AR844" t="s">
        <v>267</v>
      </c>
      <c r="AS844">
        <v>2020</v>
      </c>
      <c r="AT844" t="s">
        <v>49</v>
      </c>
      <c r="AU844" t="s">
        <v>268</v>
      </c>
      <c r="AV844" t="s">
        <v>269</v>
      </c>
      <c r="AW844" t="s">
        <v>48</v>
      </c>
    </row>
    <row r="845" spans="1:49" x14ac:dyDescent="0.3">
      <c r="A845" t="s">
        <v>281</v>
      </c>
      <c r="B845" t="s">
        <v>282</v>
      </c>
      <c r="C845" t="s">
        <v>112</v>
      </c>
      <c r="D845">
        <v>331.35</v>
      </c>
      <c r="E845">
        <v>0</v>
      </c>
      <c r="F845">
        <v>1.58</v>
      </c>
      <c r="G845" t="s">
        <v>1439</v>
      </c>
      <c r="H845" t="s">
        <v>284</v>
      </c>
      <c r="I845" t="s">
        <v>52</v>
      </c>
      <c r="J845" t="s">
        <v>53</v>
      </c>
      <c r="K845">
        <v>45</v>
      </c>
      <c r="L845" t="s">
        <v>126</v>
      </c>
      <c r="M845">
        <f>DOWNLOAD_2kLRbPnDtawQopEJ_UKtt22ud9U57gk8mqebZIeugNk[[#This Row],[Standard Value]]</f>
        <v>45</v>
      </c>
      <c r="N845">
        <f>-LOG(DOWNLOAD_2kLRbPnDtawQopEJ_UKtt22ud9U57gk8mqebZIeugNk[[#This Row],[IC50]]*POWER(10, -9), 10)</f>
        <v>7.346787486224656</v>
      </c>
      <c r="O845">
        <v>7.35</v>
      </c>
      <c r="P845" t="s">
        <v>48</v>
      </c>
      <c r="R845" t="s">
        <v>127</v>
      </c>
      <c r="S845">
        <v>22.17</v>
      </c>
      <c r="T845">
        <v>0.42</v>
      </c>
      <c r="U845">
        <v>5.77</v>
      </c>
      <c r="V845">
        <v>9.85</v>
      </c>
      <c r="W845">
        <v>0</v>
      </c>
      <c r="X845" t="s">
        <v>1534</v>
      </c>
      <c r="Y845" t="s">
        <v>1535</v>
      </c>
      <c r="Z845" t="s">
        <v>58</v>
      </c>
      <c r="AA845" t="s">
        <v>59</v>
      </c>
      <c r="AB845" t="s">
        <v>60</v>
      </c>
      <c r="AC845" t="s">
        <v>61</v>
      </c>
      <c r="AD845" t="s">
        <v>49</v>
      </c>
      <c r="AE845" t="s">
        <v>49</v>
      </c>
      <c r="AF845" t="s">
        <v>49</v>
      </c>
      <c r="AG845" t="s">
        <v>49</v>
      </c>
      <c r="AH845" t="s">
        <v>48</v>
      </c>
      <c r="AI845" t="s">
        <v>48</v>
      </c>
      <c r="AJ845" t="s">
        <v>48</v>
      </c>
      <c r="AK845" t="s">
        <v>62</v>
      </c>
      <c r="AL845" t="s">
        <v>63</v>
      </c>
      <c r="AM845" t="s">
        <v>61</v>
      </c>
      <c r="AN845" t="s">
        <v>64</v>
      </c>
      <c r="AO845" t="s">
        <v>1536</v>
      </c>
      <c r="AP845">
        <v>1</v>
      </c>
      <c r="AQ845" t="s">
        <v>66</v>
      </c>
      <c r="AR845" t="s">
        <v>76</v>
      </c>
      <c r="AS845">
        <v>2022</v>
      </c>
      <c r="AT845" t="s">
        <v>49</v>
      </c>
      <c r="AU845" t="s">
        <v>48</v>
      </c>
      <c r="AV845" t="s">
        <v>269</v>
      </c>
      <c r="AW845" t="s">
        <v>48</v>
      </c>
    </row>
    <row r="846" spans="1:49" x14ac:dyDescent="0.3">
      <c r="A846" t="s">
        <v>2299</v>
      </c>
      <c r="B846" t="s">
        <v>2300</v>
      </c>
      <c r="C846" t="s">
        <v>913</v>
      </c>
      <c r="D846">
        <v>448.53</v>
      </c>
      <c r="E846">
        <v>0</v>
      </c>
      <c r="F846">
        <v>1.0900000000000001</v>
      </c>
      <c r="G846" t="s">
        <v>2301</v>
      </c>
      <c r="H846" t="s">
        <v>2302</v>
      </c>
      <c r="I846" t="s">
        <v>52</v>
      </c>
      <c r="J846" t="s">
        <v>53</v>
      </c>
      <c r="K846">
        <v>60</v>
      </c>
      <c r="L846" t="s">
        <v>126</v>
      </c>
      <c r="M846">
        <f>DOWNLOAD_2kLRbPnDtawQopEJ_UKtt22ud9U57gk8mqebZIeugNk[[#This Row],[Standard Value]]</f>
        <v>60</v>
      </c>
      <c r="N846">
        <f>-LOG(DOWNLOAD_2kLRbPnDtawQopEJ_UKtt22ud9U57gk8mqebZIeugNk[[#This Row],[IC50]]*POWER(10, -9), 10)</f>
        <v>7.2218487496163553</v>
      </c>
      <c r="O846">
        <v>7.22</v>
      </c>
      <c r="P846" t="s">
        <v>48</v>
      </c>
      <c r="R846" t="s">
        <v>127</v>
      </c>
      <c r="S846">
        <v>16.100000000000001</v>
      </c>
      <c r="T846">
        <v>0.3</v>
      </c>
      <c r="U846">
        <v>6.13</v>
      </c>
      <c r="V846">
        <v>7.66</v>
      </c>
      <c r="W846">
        <v>0</v>
      </c>
      <c r="X846" t="s">
        <v>1534</v>
      </c>
      <c r="Y846" t="s">
        <v>1535</v>
      </c>
      <c r="Z846" t="s">
        <v>58</v>
      </c>
      <c r="AA846" t="s">
        <v>59</v>
      </c>
      <c r="AB846" t="s">
        <v>60</v>
      </c>
      <c r="AC846" t="s">
        <v>61</v>
      </c>
      <c r="AD846" t="s">
        <v>49</v>
      </c>
      <c r="AE846" t="s">
        <v>49</v>
      </c>
      <c r="AF846" t="s">
        <v>49</v>
      </c>
      <c r="AG846" t="s">
        <v>49</v>
      </c>
      <c r="AH846" t="s">
        <v>48</v>
      </c>
      <c r="AI846" t="s">
        <v>48</v>
      </c>
      <c r="AJ846" t="s">
        <v>48</v>
      </c>
      <c r="AK846" t="s">
        <v>62</v>
      </c>
      <c r="AL846" t="s">
        <v>63</v>
      </c>
      <c r="AM846" t="s">
        <v>61</v>
      </c>
      <c r="AN846" t="s">
        <v>64</v>
      </c>
      <c r="AO846" t="s">
        <v>1536</v>
      </c>
      <c r="AP846">
        <v>1</v>
      </c>
      <c r="AQ846" t="s">
        <v>66</v>
      </c>
      <c r="AR846" t="s">
        <v>76</v>
      </c>
      <c r="AS846">
        <v>2022</v>
      </c>
      <c r="AT846" t="s">
        <v>49</v>
      </c>
      <c r="AU846" t="s">
        <v>48</v>
      </c>
      <c r="AV846" t="s">
        <v>269</v>
      </c>
      <c r="AW846" t="s">
        <v>48</v>
      </c>
    </row>
    <row r="847" spans="1:49" x14ac:dyDescent="0.3">
      <c r="A847" t="s">
        <v>2303</v>
      </c>
      <c r="B847" t="s">
        <v>48</v>
      </c>
      <c r="C847" t="s">
        <v>49</v>
      </c>
      <c r="D847">
        <v>500.52</v>
      </c>
      <c r="E847">
        <v>1</v>
      </c>
      <c r="F847">
        <v>2.14</v>
      </c>
      <c r="G847" t="s">
        <v>482</v>
      </c>
      <c r="H847" t="s">
        <v>2304</v>
      </c>
      <c r="I847" t="s">
        <v>52</v>
      </c>
      <c r="J847" t="s">
        <v>53</v>
      </c>
      <c r="K847">
        <v>30</v>
      </c>
      <c r="L847" t="s">
        <v>126</v>
      </c>
      <c r="M847">
        <f>DOWNLOAD_2kLRbPnDtawQopEJ_UKtt22ud9U57gk8mqebZIeugNk[[#This Row],[Standard Value]]</f>
        <v>30</v>
      </c>
      <c r="N847">
        <f>-LOG(DOWNLOAD_2kLRbPnDtawQopEJ_UKtt22ud9U57gk8mqebZIeugNk[[#This Row],[IC50]]*POWER(10, -9), 10)</f>
        <v>7.5228787452803374</v>
      </c>
      <c r="O847">
        <v>7.52</v>
      </c>
      <c r="P847" t="s">
        <v>48</v>
      </c>
      <c r="R847" t="s">
        <v>127</v>
      </c>
      <c r="S847">
        <v>15.03</v>
      </c>
      <c r="T847">
        <v>0.28000000000000003</v>
      </c>
      <c r="U847">
        <v>5.38</v>
      </c>
      <c r="V847">
        <v>5.43</v>
      </c>
      <c r="W847">
        <v>0</v>
      </c>
      <c r="X847" t="s">
        <v>1534</v>
      </c>
      <c r="Y847" t="s">
        <v>1535</v>
      </c>
      <c r="Z847" t="s">
        <v>58</v>
      </c>
      <c r="AA847" t="s">
        <v>59</v>
      </c>
      <c r="AB847" t="s">
        <v>60</v>
      </c>
      <c r="AC847" t="s">
        <v>61</v>
      </c>
      <c r="AD847" t="s">
        <v>49</v>
      </c>
      <c r="AE847" t="s">
        <v>49</v>
      </c>
      <c r="AF847" t="s">
        <v>49</v>
      </c>
      <c r="AG847" t="s">
        <v>49</v>
      </c>
      <c r="AH847" t="s">
        <v>48</v>
      </c>
      <c r="AI847" t="s">
        <v>48</v>
      </c>
      <c r="AJ847" t="s">
        <v>48</v>
      </c>
      <c r="AK847" t="s">
        <v>62</v>
      </c>
      <c r="AL847" t="s">
        <v>63</v>
      </c>
      <c r="AM847" t="s">
        <v>61</v>
      </c>
      <c r="AN847" t="s">
        <v>64</v>
      </c>
      <c r="AO847" t="s">
        <v>1536</v>
      </c>
      <c r="AP847">
        <v>1</v>
      </c>
      <c r="AQ847" t="s">
        <v>66</v>
      </c>
      <c r="AR847" t="s">
        <v>76</v>
      </c>
      <c r="AS847">
        <v>2022</v>
      </c>
      <c r="AT847" t="s">
        <v>49</v>
      </c>
      <c r="AU847" t="s">
        <v>48</v>
      </c>
      <c r="AV847" t="s">
        <v>269</v>
      </c>
      <c r="AW847" t="s">
        <v>48</v>
      </c>
    </row>
    <row r="848" spans="1:49" x14ac:dyDescent="0.3">
      <c r="A848" t="s">
        <v>2305</v>
      </c>
      <c r="B848" t="s">
        <v>48</v>
      </c>
      <c r="C848" t="s">
        <v>49</v>
      </c>
      <c r="D848">
        <v>417.27</v>
      </c>
      <c r="E848">
        <v>0</v>
      </c>
      <c r="F848">
        <v>2.48</v>
      </c>
      <c r="G848" t="s">
        <v>2000</v>
      </c>
      <c r="H848" t="s">
        <v>2306</v>
      </c>
      <c r="I848" t="s">
        <v>52</v>
      </c>
      <c r="J848" t="s">
        <v>53</v>
      </c>
      <c r="K848">
        <v>130</v>
      </c>
      <c r="L848" t="s">
        <v>126</v>
      </c>
      <c r="M848">
        <f>DOWNLOAD_2kLRbPnDtawQopEJ_UKtt22ud9U57gk8mqebZIeugNk[[#This Row],[Standard Value]]</f>
        <v>130</v>
      </c>
      <c r="N848">
        <f>-LOG(DOWNLOAD_2kLRbPnDtawQopEJ_UKtt22ud9U57gk8mqebZIeugNk[[#This Row],[IC50]]*POWER(10, -9), 10)</f>
        <v>6.8860566476931631</v>
      </c>
      <c r="O848">
        <v>6.89</v>
      </c>
      <c r="P848" t="s">
        <v>48</v>
      </c>
      <c r="R848" t="s">
        <v>127</v>
      </c>
      <c r="S848">
        <v>16.5</v>
      </c>
      <c r="T848">
        <v>0.36</v>
      </c>
      <c r="U848">
        <v>4.41</v>
      </c>
      <c r="V848">
        <v>5.55</v>
      </c>
      <c r="W848">
        <v>0</v>
      </c>
      <c r="X848" t="s">
        <v>144</v>
      </c>
      <c r="Y848" t="s">
        <v>145</v>
      </c>
      <c r="Z848" t="s">
        <v>58</v>
      </c>
      <c r="AA848" t="s">
        <v>59</v>
      </c>
      <c r="AB848" t="s">
        <v>60</v>
      </c>
      <c r="AC848" t="s">
        <v>61</v>
      </c>
      <c r="AD848" t="s">
        <v>49</v>
      </c>
      <c r="AE848" t="s">
        <v>49</v>
      </c>
      <c r="AF848" t="s">
        <v>49</v>
      </c>
      <c r="AG848" t="s">
        <v>49</v>
      </c>
      <c r="AH848" t="s">
        <v>48</v>
      </c>
      <c r="AI848" t="s">
        <v>48</v>
      </c>
      <c r="AJ848" t="s">
        <v>48</v>
      </c>
      <c r="AK848" t="s">
        <v>62</v>
      </c>
      <c r="AL848" t="s">
        <v>63</v>
      </c>
      <c r="AM848" t="s">
        <v>61</v>
      </c>
      <c r="AN848" t="s">
        <v>64</v>
      </c>
      <c r="AO848" t="s">
        <v>146</v>
      </c>
      <c r="AP848">
        <v>1</v>
      </c>
      <c r="AQ848" t="s">
        <v>66</v>
      </c>
      <c r="AR848" t="s">
        <v>67</v>
      </c>
      <c r="AS848">
        <v>2015</v>
      </c>
      <c r="AT848" t="s">
        <v>49</v>
      </c>
      <c r="AU848" t="s">
        <v>48</v>
      </c>
      <c r="AV848" t="s">
        <v>48</v>
      </c>
      <c r="AW848" t="s">
        <v>48</v>
      </c>
    </row>
    <row r="849" spans="1:49" x14ac:dyDescent="0.3">
      <c r="A849" t="s">
        <v>281</v>
      </c>
      <c r="B849" t="s">
        <v>282</v>
      </c>
      <c r="C849" t="s">
        <v>112</v>
      </c>
      <c r="D849">
        <v>331.35</v>
      </c>
      <c r="E849">
        <v>0</v>
      </c>
      <c r="F849">
        <v>1.58</v>
      </c>
      <c r="G849" t="s">
        <v>584</v>
      </c>
      <c r="H849" t="s">
        <v>284</v>
      </c>
      <c r="I849" t="s">
        <v>52</v>
      </c>
      <c r="J849" t="s">
        <v>53</v>
      </c>
      <c r="K849">
        <v>661</v>
      </c>
      <c r="L849" t="s">
        <v>126</v>
      </c>
      <c r="M849">
        <f>DOWNLOAD_2kLRbPnDtawQopEJ_UKtt22ud9U57gk8mqebZIeugNk[[#This Row],[Standard Value]]</f>
        <v>661</v>
      </c>
      <c r="N849">
        <f>-LOG(DOWNLOAD_2kLRbPnDtawQopEJ_UKtt22ud9U57gk8mqebZIeugNk[[#This Row],[IC50]]*POWER(10, -9), 10)</f>
        <v>6.1797985405143594</v>
      </c>
      <c r="O849">
        <v>6.18</v>
      </c>
      <c r="P849" t="s">
        <v>48</v>
      </c>
      <c r="R849" t="s">
        <v>127</v>
      </c>
      <c r="S849">
        <v>18.649999999999999</v>
      </c>
      <c r="T849">
        <v>0.35</v>
      </c>
      <c r="U849">
        <v>4.5999999999999996</v>
      </c>
      <c r="V849">
        <v>8.2899999999999991</v>
      </c>
      <c r="W849">
        <v>0</v>
      </c>
      <c r="X849" t="s">
        <v>2066</v>
      </c>
      <c r="Y849" t="s">
        <v>2067</v>
      </c>
      <c r="Z849" t="s">
        <v>58</v>
      </c>
      <c r="AA849" t="s">
        <v>59</v>
      </c>
      <c r="AB849" t="s">
        <v>60</v>
      </c>
      <c r="AC849" t="s">
        <v>61</v>
      </c>
      <c r="AD849" t="s">
        <v>49</v>
      </c>
      <c r="AE849" t="s">
        <v>49</v>
      </c>
      <c r="AF849" t="s">
        <v>49</v>
      </c>
      <c r="AG849" t="s">
        <v>49</v>
      </c>
      <c r="AH849" t="s">
        <v>48</v>
      </c>
      <c r="AI849" t="s">
        <v>48</v>
      </c>
      <c r="AJ849" t="s">
        <v>48</v>
      </c>
      <c r="AK849" t="s">
        <v>62</v>
      </c>
      <c r="AL849" t="s">
        <v>63</v>
      </c>
      <c r="AM849" t="s">
        <v>61</v>
      </c>
      <c r="AN849" t="s">
        <v>64</v>
      </c>
      <c r="AO849" t="s">
        <v>2068</v>
      </c>
      <c r="AP849">
        <v>1</v>
      </c>
      <c r="AQ849" t="s">
        <v>66</v>
      </c>
      <c r="AR849" t="s">
        <v>267</v>
      </c>
      <c r="AS849">
        <v>2022</v>
      </c>
      <c r="AT849" t="s">
        <v>49</v>
      </c>
      <c r="AU849" t="s">
        <v>2069</v>
      </c>
      <c r="AV849" t="s">
        <v>269</v>
      </c>
      <c r="AW849" t="s">
        <v>48</v>
      </c>
    </row>
    <row r="850" spans="1:49" x14ac:dyDescent="0.3">
      <c r="A850" t="s">
        <v>2307</v>
      </c>
      <c r="B850" t="s">
        <v>48</v>
      </c>
      <c r="C850" t="s">
        <v>49</v>
      </c>
      <c r="D850">
        <v>549.54</v>
      </c>
      <c r="E850">
        <v>1</v>
      </c>
      <c r="F850">
        <v>-0.27</v>
      </c>
      <c r="G850" t="s">
        <v>2308</v>
      </c>
      <c r="H850" t="s">
        <v>2309</v>
      </c>
      <c r="I850" t="s">
        <v>52</v>
      </c>
      <c r="J850" t="s">
        <v>53</v>
      </c>
      <c r="K850">
        <v>5200</v>
      </c>
      <c r="L850" t="s">
        <v>126</v>
      </c>
      <c r="M850">
        <f>DOWNLOAD_2kLRbPnDtawQopEJ_UKtt22ud9U57gk8mqebZIeugNk[[#This Row],[Standard Value]]</f>
        <v>5200</v>
      </c>
      <c r="N850">
        <f>-LOG(DOWNLOAD_2kLRbPnDtawQopEJ_UKtt22ud9U57gk8mqebZIeugNk[[#This Row],[IC50]]*POWER(10, -9), 10)</f>
        <v>5.2839966563651997</v>
      </c>
      <c r="O850">
        <v>5.28</v>
      </c>
      <c r="P850" t="s">
        <v>48</v>
      </c>
      <c r="Q850">
        <v>302919</v>
      </c>
      <c r="R850" t="s">
        <v>127</v>
      </c>
      <c r="S850">
        <v>9.6199999999999992</v>
      </c>
      <c r="T850">
        <v>0.19</v>
      </c>
      <c r="U850">
        <v>5.55</v>
      </c>
      <c r="V850">
        <v>3.14</v>
      </c>
      <c r="W850">
        <v>0</v>
      </c>
      <c r="X850" t="s">
        <v>251</v>
      </c>
      <c r="Y850" t="s">
        <v>252</v>
      </c>
      <c r="Z850" t="s">
        <v>58</v>
      </c>
      <c r="AA850" t="s">
        <v>59</v>
      </c>
      <c r="AB850" t="s">
        <v>60</v>
      </c>
      <c r="AC850" t="s">
        <v>61</v>
      </c>
      <c r="AD850" t="s">
        <v>49</v>
      </c>
      <c r="AE850" t="s">
        <v>49</v>
      </c>
      <c r="AF850" t="s">
        <v>49</v>
      </c>
      <c r="AG850" t="s">
        <v>49</v>
      </c>
      <c r="AH850" t="s">
        <v>48</v>
      </c>
      <c r="AI850" t="s">
        <v>48</v>
      </c>
      <c r="AJ850" t="s">
        <v>48</v>
      </c>
      <c r="AK850" t="s">
        <v>62</v>
      </c>
      <c r="AL850" t="s">
        <v>63</v>
      </c>
      <c r="AM850" t="s">
        <v>61</v>
      </c>
      <c r="AN850" t="s">
        <v>64</v>
      </c>
      <c r="AO850" t="s">
        <v>253</v>
      </c>
      <c r="AP850">
        <v>37</v>
      </c>
      <c r="AQ850" t="s">
        <v>254</v>
      </c>
      <c r="AR850" t="s">
        <v>48</v>
      </c>
      <c r="AS850">
        <v>2015</v>
      </c>
      <c r="AT850" t="s">
        <v>49</v>
      </c>
      <c r="AU850" t="s">
        <v>48</v>
      </c>
      <c r="AV850" t="s">
        <v>48</v>
      </c>
      <c r="AW850" t="s">
        <v>48</v>
      </c>
    </row>
    <row r="851" spans="1:49" x14ac:dyDescent="0.3">
      <c r="A851" t="s">
        <v>2310</v>
      </c>
      <c r="B851" t="s">
        <v>48</v>
      </c>
      <c r="C851" t="s">
        <v>49</v>
      </c>
      <c r="D851">
        <v>592.61</v>
      </c>
      <c r="E851">
        <v>1</v>
      </c>
      <c r="F851">
        <v>3.59</v>
      </c>
      <c r="G851" t="s">
        <v>113</v>
      </c>
      <c r="H851" t="s">
        <v>2311</v>
      </c>
      <c r="I851" t="s">
        <v>52</v>
      </c>
      <c r="J851" t="s">
        <v>53</v>
      </c>
      <c r="K851">
        <v>12800</v>
      </c>
      <c r="L851" t="s">
        <v>126</v>
      </c>
      <c r="M851">
        <f>DOWNLOAD_2kLRbPnDtawQopEJ_UKtt22ud9U57gk8mqebZIeugNk[[#This Row],[Standard Value]]</f>
        <v>12800</v>
      </c>
      <c r="N851">
        <f>-LOG(DOWNLOAD_2kLRbPnDtawQopEJ_UKtt22ud9U57gk8mqebZIeugNk[[#This Row],[IC50]]*POWER(10, -9), 10)</f>
        <v>4.8927900303521312</v>
      </c>
      <c r="O851">
        <v>4.8899999999999997</v>
      </c>
      <c r="P851" t="s">
        <v>48</v>
      </c>
      <c r="R851" t="s">
        <v>127</v>
      </c>
      <c r="S851">
        <v>8.26</v>
      </c>
      <c r="T851">
        <v>0.16</v>
      </c>
      <c r="U851">
        <v>1.3</v>
      </c>
      <c r="V851">
        <v>3.01</v>
      </c>
      <c r="W851">
        <v>0</v>
      </c>
      <c r="X851" t="s">
        <v>1497</v>
      </c>
      <c r="Y851" t="s">
        <v>1498</v>
      </c>
      <c r="Z851" t="s">
        <v>58</v>
      </c>
      <c r="AA851" t="s">
        <v>59</v>
      </c>
      <c r="AB851" t="s">
        <v>60</v>
      </c>
      <c r="AC851" t="s">
        <v>61</v>
      </c>
      <c r="AD851" t="s">
        <v>49</v>
      </c>
      <c r="AE851" t="s">
        <v>49</v>
      </c>
      <c r="AF851" t="s">
        <v>49</v>
      </c>
      <c r="AG851" t="s">
        <v>49</v>
      </c>
      <c r="AH851" t="s">
        <v>48</v>
      </c>
      <c r="AI851" t="s">
        <v>48</v>
      </c>
      <c r="AJ851" t="s">
        <v>48</v>
      </c>
      <c r="AK851" t="s">
        <v>62</v>
      </c>
      <c r="AL851" t="s">
        <v>63</v>
      </c>
      <c r="AM851" t="s">
        <v>61</v>
      </c>
      <c r="AN851" t="s">
        <v>64</v>
      </c>
      <c r="AO851" t="s">
        <v>1499</v>
      </c>
      <c r="AP851">
        <v>1</v>
      </c>
      <c r="AQ851" t="s">
        <v>66</v>
      </c>
      <c r="AR851" t="s">
        <v>131</v>
      </c>
      <c r="AS851">
        <v>2022</v>
      </c>
      <c r="AT851" t="s">
        <v>49</v>
      </c>
      <c r="AU851" t="s">
        <v>299</v>
      </c>
      <c r="AV851" t="s">
        <v>269</v>
      </c>
      <c r="AW851" t="s">
        <v>48</v>
      </c>
    </row>
    <row r="852" spans="1:49" x14ac:dyDescent="0.3">
      <c r="A852" t="s">
        <v>2312</v>
      </c>
      <c r="B852" t="s">
        <v>48</v>
      </c>
      <c r="C852" t="s">
        <v>49</v>
      </c>
      <c r="D852">
        <v>499.53</v>
      </c>
      <c r="E852">
        <v>0</v>
      </c>
      <c r="F852">
        <v>4.38</v>
      </c>
      <c r="G852" t="s">
        <v>829</v>
      </c>
      <c r="H852" t="s">
        <v>2313</v>
      </c>
      <c r="I852" t="s">
        <v>52</v>
      </c>
      <c r="J852" t="s">
        <v>53</v>
      </c>
      <c r="K852">
        <v>6460</v>
      </c>
      <c r="L852" t="s">
        <v>126</v>
      </c>
      <c r="M852">
        <f>DOWNLOAD_2kLRbPnDtawQopEJ_UKtt22ud9U57gk8mqebZIeugNk[[#This Row],[Standard Value]]</f>
        <v>6460</v>
      </c>
      <c r="N852">
        <f>-LOG(DOWNLOAD_2kLRbPnDtawQopEJ_UKtt22ud9U57gk8mqebZIeugNk[[#This Row],[IC50]]*POWER(10, -9), 10)</f>
        <v>5.1897674820049158</v>
      </c>
      <c r="O852">
        <v>5.19</v>
      </c>
      <c r="P852" t="s">
        <v>48</v>
      </c>
      <c r="R852" t="s">
        <v>127</v>
      </c>
      <c r="S852">
        <v>10.39</v>
      </c>
      <c r="T852">
        <v>0.2</v>
      </c>
      <c r="U852">
        <v>0.81</v>
      </c>
      <c r="V852">
        <v>7.88</v>
      </c>
      <c r="W852">
        <v>0</v>
      </c>
      <c r="X852" t="s">
        <v>1510</v>
      </c>
      <c r="Y852" t="s">
        <v>1511</v>
      </c>
      <c r="Z852" t="s">
        <v>58</v>
      </c>
      <c r="AA852" t="s">
        <v>59</v>
      </c>
      <c r="AB852" t="s">
        <v>60</v>
      </c>
      <c r="AC852" t="s">
        <v>61</v>
      </c>
      <c r="AD852" t="s">
        <v>49</v>
      </c>
      <c r="AE852" t="s">
        <v>49</v>
      </c>
      <c r="AF852" t="s">
        <v>49</v>
      </c>
      <c r="AG852" t="s">
        <v>49</v>
      </c>
      <c r="AH852" t="s">
        <v>48</v>
      </c>
      <c r="AI852" t="s">
        <v>48</v>
      </c>
      <c r="AJ852" t="s">
        <v>48</v>
      </c>
      <c r="AK852" t="s">
        <v>62</v>
      </c>
      <c r="AL852" t="s">
        <v>63</v>
      </c>
      <c r="AM852" t="s">
        <v>61</v>
      </c>
      <c r="AN852" t="s">
        <v>64</v>
      </c>
      <c r="AO852" t="s">
        <v>1512</v>
      </c>
      <c r="AP852">
        <v>1</v>
      </c>
      <c r="AQ852" t="s">
        <v>66</v>
      </c>
      <c r="AR852" t="s">
        <v>76</v>
      </c>
      <c r="AS852">
        <v>2022</v>
      </c>
      <c r="AT852" t="s">
        <v>49</v>
      </c>
      <c r="AU852" t="s">
        <v>48</v>
      </c>
      <c r="AV852" t="s">
        <v>269</v>
      </c>
      <c r="AW852" t="s">
        <v>48</v>
      </c>
    </row>
    <row r="853" spans="1:49" x14ac:dyDescent="0.3">
      <c r="A853" t="s">
        <v>2314</v>
      </c>
      <c r="B853" t="s">
        <v>48</v>
      </c>
      <c r="C853" t="s">
        <v>49</v>
      </c>
      <c r="D853">
        <v>642.66999999999996</v>
      </c>
      <c r="E853">
        <v>1</v>
      </c>
      <c r="F853">
        <v>4.74</v>
      </c>
      <c r="G853" t="s">
        <v>1305</v>
      </c>
      <c r="H853" t="s">
        <v>2315</v>
      </c>
      <c r="I853" t="s">
        <v>52</v>
      </c>
      <c r="J853" t="s">
        <v>53</v>
      </c>
      <c r="K853">
        <v>5860</v>
      </c>
      <c r="L853" t="s">
        <v>126</v>
      </c>
      <c r="M853">
        <f>DOWNLOAD_2kLRbPnDtawQopEJ_UKtt22ud9U57gk8mqebZIeugNk[[#This Row],[Standard Value]]</f>
        <v>5860</v>
      </c>
      <c r="N853">
        <f>-LOG(DOWNLOAD_2kLRbPnDtawQopEJ_UKtt22ud9U57gk8mqebZIeugNk[[#This Row],[IC50]]*POWER(10, -9), 10)</f>
        <v>5.2321023839819087</v>
      </c>
      <c r="O853">
        <v>5.23</v>
      </c>
      <c r="P853" t="s">
        <v>48</v>
      </c>
      <c r="R853" t="s">
        <v>127</v>
      </c>
      <c r="S853">
        <v>8.14</v>
      </c>
      <c r="T853">
        <v>0.16</v>
      </c>
      <c r="U853">
        <v>0.49</v>
      </c>
      <c r="V853">
        <v>3.22</v>
      </c>
      <c r="W853">
        <v>0</v>
      </c>
      <c r="X853" t="s">
        <v>1497</v>
      </c>
      <c r="Y853" t="s">
        <v>1498</v>
      </c>
      <c r="Z853" t="s">
        <v>58</v>
      </c>
      <c r="AA853" t="s">
        <v>59</v>
      </c>
      <c r="AB853" t="s">
        <v>60</v>
      </c>
      <c r="AC853" t="s">
        <v>61</v>
      </c>
      <c r="AD853" t="s">
        <v>49</v>
      </c>
      <c r="AE853" t="s">
        <v>49</v>
      </c>
      <c r="AF853" t="s">
        <v>49</v>
      </c>
      <c r="AG853" t="s">
        <v>49</v>
      </c>
      <c r="AH853" t="s">
        <v>48</v>
      </c>
      <c r="AI853" t="s">
        <v>48</v>
      </c>
      <c r="AJ853" t="s">
        <v>48</v>
      </c>
      <c r="AK853" t="s">
        <v>62</v>
      </c>
      <c r="AL853" t="s">
        <v>63</v>
      </c>
      <c r="AM853" t="s">
        <v>61</v>
      </c>
      <c r="AN853" t="s">
        <v>64</v>
      </c>
      <c r="AO853" t="s">
        <v>1499</v>
      </c>
      <c r="AP853">
        <v>1</v>
      </c>
      <c r="AQ853" t="s">
        <v>66</v>
      </c>
      <c r="AR853" t="s">
        <v>131</v>
      </c>
      <c r="AS853">
        <v>2022</v>
      </c>
      <c r="AT853" t="s">
        <v>49</v>
      </c>
      <c r="AU853" t="s">
        <v>299</v>
      </c>
      <c r="AV853" t="s">
        <v>269</v>
      </c>
      <c r="AW853" t="s">
        <v>48</v>
      </c>
    </row>
    <row r="854" spans="1:49" x14ac:dyDescent="0.3">
      <c r="A854" t="s">
        <v>2316</v>
      </c>
      <c r="B854" t="s">
        <v>48</v>
      </c>
      <c r="C854" t="s">
        <v>49</v>
      </c>
      <c r="D854">
        <v>414.67</v>
      </c>
      <c r="E854">
        <v>0</v>
      </c>
      <c r="F854">
        <v>4.3</v>
      </c>
      <c r="G854" t="s">
        <v>1101</v>
      </c>
      <c r="H854" t="s">
        <v>2317</v>
      </c>
      <c r="I854" t="s">
        <v>52</v>
      </c>
      <c r="J854" t="s">
        <v>295</v>
      </c>
      <c r="K854">
        <v>10</v>
      </c>
      <c r="L854" t="s">
        <v>126</v>
      </c>
      <c r="M854">
        <f>DOWNLOAD_2kLRbPnDtawQopEJ_UKtt22ud9U57gk8mqebZIeugNk[[#This Row],[Standard Value]]</f>
        <v>10</v>
      </c>
      <c r="N854">
        <f>-LOG(DOWNLOAD_2kLRbPnDtawQopEJ_UKtt22ud9U57gk8mqebZIeugNk[[#This Row],[IC50]]*POWER(10, -9), 10)</f>
        <v>8</v>
      </c>
      <c r="P854" t="s">
        <v>48</v>
      </c>
      <c r="R854" t="s">
        <v>127</v>
      </c>
      <c r="W854">
        <v>0</v>
      </c>
      <c r="X854" t="s">
        <v>296</v>
      </c>
      <c r="Y854" t="s">
        <v>297</v>
      </c>
      <c r="Z854" t="s">
        <v>58</v>
      </c>
      <c r="AA854" t="s">
        <v>59</v>
      </c>
      <c r="AB854" t="s">
        <v>60</v>
      </c>
      <c r="AC854" t="s">
        <v>61</v>
      </c>
      <c r="AD854" t="s">
        <v>49</v>
      </c>
      <c r="AE854" t="s">
        <v>49</v>
      </c>
      <c r="AF854" t="s">
        <v>49</v>
      </c>
      <c r="AG854" t="s">
        <v>49</v>
      </c>
      <c r="AH854" t="s">
        <v>48</v>
      </c>
      <c r="AI854" t="s">
        <v>48</v>
      </c>
      <c r="AJ854" t="s">
        <v>48</v>
      </c>
      <c r="AK854" t="s">
        <v>62</v>
      </c>
      <c r="AL854" t="s">
        <v>63</v>
      </c>
      <c r="AM854" t="s">
        <v>61</v>
      </c>
      <c r="AN854" t="s">
        <v>64</v>
      </c>
      <c r="AO854" t="s">
        <v>298</v>
      </c>
      <c r="AP854">
        <v>1</v>
      </c>
      <c r="AQ854" t="s">
        <v>66</v>
      </c>
      <c r="AR854" t="s">
        <v>131</v>
      </c>
      <c r="AS854">
        <v>2021</v>
      </c>
      <c r="AT854" t="s">
        <v>49</v>
      </c>
      <c r="AU854" t="s">
        <v>299</v>
      </c>
      <c r="AV854" t="s">
        <v>269</v>
      </c>
      <c r="AW854" t="s">
        <v>48</v>
      </c>
    </row>
    <row r="855" spans="1:49" x14ac:dyDescent="0.3">
      <c r="A855" t="s">
        <v>2318</v>
      </c>
      <c r="B855" t="s">
        <v>48</v>
      </c>
      <c r="C855" t="s">
        <v>49</v>
      </c>
      <c r="D855">
        <v>377.88</v>
      </c>
      <c r="E855">
        <v>0</v>
      </c>
      <c r="F855">
        <v>4.97</v>
      </c>
      <c r="G855" t="s">
        <v>760</v>
      </c>
      <c r="H855" t="s">
        <v>2319</v>
      </c>
      <c r="I855" t="s">
        <v>52</v>
      </c>
      <c r="J855" t="s">
        <v>53</v>
      </c>
      <c r="K855">
        <v>5000</v>
      </c>
      <c r="L855" t="s">
        <v>126</v>
      </c>
      <c r="M855">
        <f>DOWNLOAD_2kLRbPnDtawQopEJ_UKtt22ud9U57gk8mqebZIeugNk[[#This Row],[Standard Value]]</f>
        <v>5000</v>
      </c>
      <c r="N855">
        <f>-LOG(DOWNLOAD_2kLRbPnDtawQopEJ_UKtt22ud9U57gk8mqebZIeugNk[[#This Row],[IC50]]*POWER(10, -9), 10)</f>
        <v>5.3010299956639813</v>
      </c>
      <c r="O855">
        <v>5.3</v>
      </c>
      <c r="P855" t="s">
        <v>48</v>
      </c>
      <c r="R855" t="s">
        <v>127</v>
      </c>
      <c r="S855">
        <v>14.03</v>
      </c>
      <c r="T855">
        <v>0.27</v>
      </c>
      <c r="U855">
        <v>0.33</v>
      </c>
      <c r="V855">
        <v>9.99</v>
      </c>
      <c r="W855">
        <v>0</v>
      </c>
      <c r="X855" t="s">
        <v>563</v>
      </c>
      <c r="Y855" t="s">
        <v>564</v>
      </c>
      <c r="Z855" t="s">
        <v>58</v>
      </c>
      <c r="AA855" t="s">
        <v>59</v>
      </c>
      <c r="AB855" t="s">
        <v>60</v>
      </c>
      <c r="AC855" t="s">
        <v>61</v>
      </c>
      <c r="AD855" t="s">
        <v>49</v>
      </c>
      <c r="AE855" t="s">
        <v>49</v>
      </c>
      <c r="AF855" t="s">
        <v>49</v>
      </c>
      <c r="AG855" t="s">
        <v>49</v>
      </c>
      <c r="AH855" t="s">
        <v>48</v>
      </c>
      <c r="AI855" t="s">
        <v>48</v>
      </c>
      <c r="AJ855" t="s">
        <v>48</v>
      </c>
      <c r="AK855" t="s">
        <v>62</v>
      </c>
      <c r="AL855" t="s">
        <v>63</v>
      </c>
      <c r="AM855" t="s">
        <v>61</v>
      </c>
      <c r="AN855" t="s">
        <v>64</v>
      </c>
      <c r="AO855" t="s">
        <v>565</v>
      </c>
      <c r="AP855">
        <v>1</v>
      </c>
      <c r="AQ855" t="s">
        <v>66</v>
      </c>
      <c r="AR855" t="s">
        <v>76</v>
      </c>
      <c r="AS855">
        <v>2019</v>
      </c>
      <c r="AT855" t="s">
        <v>49</v>
      </c>
      <c r="AU855" t="s">
        <v>48</v>
      </c>
      <c r="AV855" t="s">
        <v>48</v>
      </c>
      <c r="AW855" t="s">
        <v>48</v>
      </c>
    </row>
    <row r="856" spans="1:49" x14ac:dyDescent="0.3">
      <c r="A856" t="s">
        <v>2320</v>
      </c>
      <c r="B856" t="s">
        <v>48</v>
      </c>
      <c r="C856" t="s">
        <v>49</v>
      </c>
      <c r="D856">
        <v>393.83</v>
      </c>
      <c r="E856">
        <v>0</v>
      </c>
      <c r="F856">
        <v>3.94</v>
      </c>
      <c r="G856" t="s">
        <v>2321</v>
      </c>
      <c r="H856" t="s">
        <v>2322</v>
      </c>
      <c r="I856" t="s">
        <v>52</v>
      </c>
      <c r="J856" t="s">
        <v>53</v>
      </c>
      <c r="K856">
        <v>13.5</v>
      </c>
      <c r="L856" t="s">
        <v>54</v>
      </c>
      <c r="M856">
        <f>DOWNLOAD_2kLRbPnDtawQopEJ_UKtt22ud9U57gk8mqebZIeugNk[[#This Row],[Standard Value]]/DOWNLOAD_2kLRbPnDtawQopEJ_UKtt22ud9U57gk8mqebZIeugNk[[#This Row],[Molecular Weight]]*1000*1000</f>
        <v>34278.74971434375</v>
      </c>
      <c r="N856">
        <f>-LOG(DOWNLOAD_2kLRbPnDtawQopEJ_UKtt22ud9U57gk8mqebZIeugNk[[#This Row],[IC50]]*POWER(10, -9), 10)</f>
        <v>4.4649750269490651</v>
      </c>
      <c r="P856" t="s">
        <v>48</v>
      </c>
      <c r="R856" t="s">
        <v>55</v>
      </c>
      <c r="W856">
        <v>0</v>
      </c>
      <c r="X856" t="s">
        <v>877</v>
      </c>
      <c r="Y856" t="s">
        <v>878</v>
      </c>
      <c r="Z856" t="s">
        <v>58</v>
      </c>
      <c r="AA856" t="s">
        <v>59</v>
      </c>
      <c r="AB856" t="s">
        <v>60</v>
      </c>
      <c r="AC856" t="s">
        <v>61</v>
      </c>
      <c r="AD856" t="s">
        <v>49</v>
      </c>
      <c r="AE856" t="s">
        <v>49</v>
      </c>
      <c r="AF856" t="s">
        <v>49</v>
      </c>
      <c r="AG856" t="s">
        <v>49</v>
      </c>
      <c r="AH856" t="s">
        <v>48</v>
      </c>
      <c r="AI856" t="s">
        <v>48</v>
      </c>
      <c r="AJ856" t="s">
        <v>48</v>
      </c>
      <c r="AK856" t="s">
        <v>62</v>
      </c>
      <c r="AL856" t="s">
        <v>63</v>
      </c>
      <c r="AM856" t="s">
        <v>61</v>
      </c>
      <c r="AN856" t="s">
        <v>64</v>
      </c>
      <c r="AO856" t="s">
        <v>879</v>
      </c>
      <c r="AP856">
        <v>1</v>
      </c>
      <c r="AQ856" t="s">
        <v>66</v>
      </c>
      <c r="AR856" t="s">
        <v>131</v>
      </c>
      <c r="AS856">
        <v>2020</v>
      </c>
      <c r="AT856" t="s">
        <v>49</v>
      </c>
      <c r="AU856" t="s">
        <v>48</v>
      </c>
      <c r="AV856" t="s">
        <v>269</v>
      </c>
      <c r="AW856" t="s">
        <v>48</v>
      </c>
    </row>
    <row r="857" spans="1:49" x14ac:dyDescent="0.3">
      <c r="A857" t="s">
        <v>2323</v>
      </c>
      <c r="B857" t="s">
        <v>48</v>
      </c>
      <c r="C857" t="s">
        <v>49</v>
      </c>
      <c r="D857">
        <v>254.21</v>
      </c>
      <c r="E857">
        <v>0</v>
      </c>
      <c r="F857">
        <v>4.2</v>
      </c>
      <c r="G857" t="s">
        <v>2324</v>
      </c>
      <c r="H857" t="s">
        <v>2325</v>
      </c>
      <c r="I857" t="s">
        <v>52</v>
      </c>
      <c r="J857" t="s">
        <v>53</v>
      </c>
      <c r="K857">
        <v>180000</v>
      </c>
      <c r="L857" t="s">
        <v>126</v>
      </c>
      <c r="M857">
        <f>DOWNLOAD_2kLRbPnDtawQopEJ_UKtt22ud9U57gk8mqebZIeugNk[[#This Row],[Standard Value]]</f>
        <v>180000</v>
      </c>
      <c r="N857">
        <f>-LOG(DOWNLOAD_2kLRbPnDtawQopEJ_UKtt22ud9U57gk8mqebZIeugNk[[#This Row],[IC50]]*POWER(10, -9), 10)</f>
        <v>3.7447274948966935</v>
      </c>
      <c r="O857">
        <v>3.75</v>
      </c>
      <c r="P857" t="s">
        <v>48</v>
      </c>
      <c r="R857" t="s">
        <v>127</v>
      </c>
      <c r="S857">
        <v>14.73</v>
      </c>
      <c r="T857">
        <v>0.28000000000000003</v>
      </c>
      <c r="U857">
        <v>-0.46</v>
      </c>
      <c r="V857">
        <v>12.71</v>
      </c>
      <c r="W857">
        <v>0</v>
      </c>
      <c r="X857" t="s">
        <v>774</v>
      </c>
      <c r="Y857" t="s">
        <v>775</v>
      </c>
      <c r="Z857" t="s">
        <v>58</v>
      </c>
      <c r="AA857" t="s">
        <v>59</v>
      </c>
      <c r="AB857" t="s">
        <v>60</v>
      </c>
      <c r="AC857" t="s">
        <v>61</v>
      </c>
      <c r="AD857" t="s">
        <v>49</v>
      </c>
      <c r="AE857" t="s">
        <v>49</v>
      </c>
      <c r="AF857" t="s">
        <v>49</v>
      </c>
      <c r="AG857" t="s">
        <v>49</v>
      </c>
      <c r="AH857" t="s">
        <v>48</v>
      </c>
      <c r="AI857" t="s">
        <v>48</v>
      </c>
      <c r="AJ857" t="s">
        <v>48</v>
      </c>
      <c r="AK857" t="s">
        <v>62</v>
      </c>
      <c r="AL857" t="s">
        <v>63</v>
      </c>
      <c r="AM857" t="s">
        <v>61</v>
      </c>
      <c r="AN857" t="s">
        <v>64</v>
      </c>
      <c r="AO857" t="s">
        <v>776</v>
      </c>
      <c r="AP857">
        <v>1</v>
      </c>
      <c r="AQ857" t="s">
        <v>66</v>
      </c>
      <c r="AR857" t="s">
        <v>329</v>
      </c>
      <c r="AS857">
        <v>2018</v>
      </c>
      <c r="AT857" t="s">
        <v>49</v>
      </c>
      <c r="AU857" t="s">
        <v>48</v>
      </c>
      <c r="AV857" t="s">
        <v>48</v>
      </c>
      <c r="AW857" t="s">
        <v>48</v>
      </c>
    </row>
    <row r="858" spans="1:49" x14ac:dyDescent="0.3">
      <c r="A858" t="s">
        <v>2326</v>
      </c>
      <c r="B858" t="s">
        <v>48</v>
      </c>
      <c r="C858" t="s">
        <v>49</v>
      </c>
      <c r="D858">
        <v>352.87</v>
      </c>
      <c r="E858">
        <v>0</v>
      </c>
      <c r="F858">
        <v>3.78</v>
      </c>
      <c r="G858" t="s">
        <v>405</v>
      </c>
      <c r="H858" t="s">
        <v>2327</v>
      </c>
      <c r="I858" t="s">
        <v>52</v>
      </c>
      <c r="J858" t="s">
        <v>53</v>
      </c>
      <c r="K858">
        <v>60000</v>
      </c>
      <c r="L858" t="s">
        <v>126</v>
      </c>
      <c r="M858">
        <f>DOWNLOAD_2kLRbPnDtawQopEJ_UKtt22ud9U57gk8mqebZIeugNk[[#This Row],[Standard Value]]</f>
        <v>60000</v>
      </c>
      <c r="N858">
        <f>-LOG(DOWNLOAD_2kLRbPnDtawQopEJ_UKtt22ud9U57gk8mqebZIeugNk[[#This Row],[IC50]]*POWER(10, -9), 10)</f>
        <v>4.2218487496163561</v>
      </c>
      <c r="O858">
        <v>4.22</v>
      </c>
      <c r="P858" t="s">
        <v>48</v>
      </c>
      <c r="R858" t="s">
        <v>127</v>
      </c>
      <c r="S858">
        <v>13.34</v>
      </c>
      <c r="T858">
        <v>0.24</v>
      </c>
      <c r="U858">
        <v>0.44</v>
      </c>
      <c r="V858">
        <v>7.66</v>
      </c>
      <c r="W858">
        <v>0</v>
      </c>
      <c r="X858" t="s">
        <v>1546</v>
      </c>
      <c r="Y858" t="s">
        <v>1547</v>
      </c>
      <c r="Z858" t="s">
        <v>58</v>
      </c>
      <c r="AA858" t="s">
        <v>59</v>
      </c>
      <c r="AB858" t="s">
        <v>60</v>
      </c>
      <c r="AC858" t="s">
        <v>61</v>
      </c>
      <c r="AD858" t="s">
        <v>49</v>
      </c>
      <c r="AE858" t="s">
        <v>49</v>
      </c>
      <c r="AF858" t="s">
        <v>49</v>
      </c>
      <c r="AG858" t="s">
        <v>49</v>
      </c>
      <c r="AH858" t="s">
        <v>48</v>
      </c>
      <c r="AI858" t="s">
        <v>48</v>
      </c>
      <c r="AJ858" t="s">
        <v>48</v>
      </c>
      <c r="AK858" t="s">
        <v>62</v>
      </c>
      <c r="AL858" t="s">
        <v>63</v>
      </c>
      <c r="AM858" t="s">
        <v>61</v>
      </c>
      <c r="AN858" t="s">
        <v>64</v>
      </c>
      <c r="AO858" t="s">
        <v>1548</v>
      </c>
      <c r="AP858">
        <v>1</v>
      </c>
      <c r="AQ858" t="s">
        <v>66</v>
      </c>
      <c r="AR858" t="s">
        <v>1549</v>
      </c>
      <c r="AS858">
        <v>2022</v>
      </c>
      <c r="AT858" t="s">
        <v>49</v>
      </c>
      <c r="AU858" t="s">
        <v>299</v>
      </c>
      <c r="AV858" t="s">
        <v>269</v>
      </c>
      <c r="AW858" t="s">
        <v>48</v>
      </c>
    </row>
    <row r="859" spans="1:49" x14ac:dyDescent="0.3">
      <c r="A859" t="s">
        <v>2328</v>
      </c>
      <c r="B859" t="s">
        <v>48</v>
      </c>
      <c r="C859" t="s">
        <v>49</v>
      </c>
      <c r="D859">
        <v>414.91</v>
      </c>
      <c r="E859">
        <v>0</v>
      </c>
      <c r="F859">
        <v>4.32</v>
      </c>
      <c r="G859" t="s">
        <v>312</v>
      </c>
      <c r="H859" t="s">
        <v>2329</v>
      </c>
      <c r="I859" t="s">
        <v>52</v>
      </c>
      <c r="J859" t="s">
        <v>53</v>
      </c>
      <c r="K859">
        <v>12000</v>
      </c>
      <c r="L859" t="s">
        <v>126</v>
      </c>
      <c r="M859">
        <f>DOWNLOAD_2kLRbPnDtawQopEJ_UKtt22ud9U57gk8mqebZIeugNk[[#This Row],[Standard Value]]</f>
        <v>12000</v>
      </c>
      <c r="N859">
        <f>-LOG(DOWNLOAD_2kLRbPnDtawQopEJ_UKtt22ud9U57gk8mqebZIeugNk[[#This Row],[IC50]]*POWER(10, -9), 10)</f>
        <v>4.9208187539523749</v>
      </c>
      <c r="O859">
        <v>4.92</v>
      </c>
      <c r="P859" t="s">
        <v>48</v>
      </c>
      <c r="R859" t="s">
        <v>127</v>
      </c>
      <c r="S859">
        <v>13</v>
      </c>
      <c r="T859">
        <v>0.24</v>
      </c>
      <c r="U859">
        <v>0.6</v>
      </c>
      <c r="V859">
        <v>7.65</v>
      </c>
      <c r="W859">
        <v>0</v>
      </c>
      <c r="X859" t="s">
        <v>1546</v>
      </c>
      <c r="Y859" t="s">
        <v>1547</v>
      </c>
      <c r="Z859" t="s">
        <v>58</v>
      </c>
      <c r="AA859" t="s">
        <v>59</v>
      </c>
      <c r="AB859" t="s">
        <v>60</v>
      </c>
      <c r="AC859" t="s">
        <v>61</v>
      </c>
      <c r="AD859" t="s">
        <v>49</v>
      </c>
      <c r="AE859" t="s">
        <v>49</v>
      </c>
      <c r="AF859" t="s">
        <v>49</v>
      </c>
      <c r="AG859" t="s">
        <v>49</v>
      </c>
      <c r="AH859" t="s">
        <v>48</v>
      </c>
      <c r="AI859" t="s">
        <v>48</v>
      </c>
      <c r="AJ859" t="s">
        <v>48</v>
      </c>
      <c r="AK859" t="s">
        <v>62</v>
      </c>
      <c r="AL859" t="s">
        <v>63</v>
      </c>
      <c r="AM859" t="s">
        <v>61</v>
      </c>
      <c r="AN859" t="s">
        <v>64</v>
      </c>
      <c r="AO859" t="s">
        <v>1548</v>
      </c>
      <c r="AP859">
        <v>1</v>
      </c>
      <c r="AQ859" t="s">
        <v>66</v>
      </c>
      <c r="AR859" t="s">
        <v>1549</v>
      </c>
      <c r="AS859">
        <v>2022</v>
      </c>
      <c r="AT859" t="s">
        <v>49</v>
      </c>
      <c r="AU859" t="s">
        <v>299</v>
      </c>
      <c r="AV859" t="s">
        <v>269</v>
      </c>
      <c r="AW859" t="s">
        <v>48</v>
      </c>
    </row>
    <row r="860" spans="1:49" x14ac:dyDescent="0.3">
      <c r="A860" t="s">
        <v>2330</v>
      </c>
      <c r="B860" t="s">
        <v>48</v>
      </c>
      <c r="C860" t="s">
        <v>49</v>
      </c>
      <c r="D860">
        <v>361.42</v>
      </c>
      <c r="E860">
        <v>0</v>
      </c>
      <c r="F860">
        <v>0.38</v>
      </c>
      <c r="G860" t="s">
        <v>2331</v>
      </c>
      <c r="H860" t="s">
        <v>2332</v>
      </c>
      <c r="I860" t="s">
        <v>52</v>
      </c>
      <c r="J860" t="s">
        <v>71</v>
      </c>
      <c r="K860">
        <v>50000</v>
      </c>
      <c r="L860" t="s">
        <v>126</v>
      </c>
      <c r="M860">
        <f>DOWNLOAD_2kLRbPnDtawQopEJ_UKtt22ud9U57gk8mqebZIeugNk[[#This Row],[Standard Value]]</f>
        <v>50000</v>
      </c>
      <c r="N860">
        <f>-LOG(DOWNLOAD_2kLRbPnDtawQopEJ_UKtt22ud9U57gk8mqebZIeugNk[[#This Row],[IC50]]*POWER(10, -9), 10)</f>
        <v>4.3010299956639804</v>
      </c>
      <c r="P860" t="s">
        <v>48</v>
      </c>
      <c r="R860" t="s">
        <v>127</v>
      </c>
      <c r="W860">
        <v>0</v>
      </c>
      <c r="X860" t="s">
        <v>652</v>
      </c>
      <c r="Y860" t="s">
        <v>653</v>
      </c>
      <c r="Z860" t="s">
        <v>58</v>
      </c>
      <c r="AA860" t="s">
        <v>59</v>
      </c>
      <c r="AB860" t="s">
        <v>60</v>
      </c>
      <c r="AC860" t="s">
        <v>61</v>
      </c>
      <c r="AD860" t="s">
        <v>49</v>
      </c>
      <c r="AE860" t="s">
        <v>49</v>
      </c>
      <c r="AF860" t="s">
        <v>49</v>
      </c>
      <c r="AG860" t="s">
        <v>49</v>
      </c>
      <c r="AH860" t="s">
        <v>48</v>
      </c>
      <c r="AI860" t="s">
        <v>48</v>
      </c>
      <c r="AJ860" t="s">
        <v>48</v>
      </c>
      <c r="AK860" t="s">
        <v>62</v>
      </c>
      <c r="AL860" t="s">
        <v>63</v>
      </c>
      <c r="AM860" t="s">
        <v>61</v>
      </c>
      <c r="AN860" t="s">
        <v>64</v>
      </c>
      <c r="AO860" t="s">
        <v>654</v>
      </c>
      <c r="AP860">
        <v>1</v>
      </c>
      <c r="AQ860" t="s">
        <v>66</v>
      </c>
      <c r="AR860" t="s">
        <v>267</v>
      </c>
      <c r="AS860">
        <v>2020</v>
      </c>
      <c r="AT860" t="s">
        <v>49</v>
      </c>
      <c r="AU860" t="s">
        <v>48</v>
      </c>
      <c r="AV860" t="s">
        <v>48</v>
      </c>
      <c r="AW860" t="s">
        <v>48</v>
      </c>
    </row>
    <row r="861" spans="1:49" x14ac:dyDescent="0.3">
      <c r="A861" t="s">
        <v>2333</v>
      </c>
      <c r="B861" t="s">
        <v>48</v>
      </c>
      <c r="C861" t="s">
        <v>49</v>
      </c>
      <c r="D861">
        <v>1138.3900000000001</v>
      </c>
      <c r="G861" t="s">
        <v>2334</v>
      </c>
      <c r="H861" t="s">
        <v>2335</v>
      </c>
      <c r="I861" t="s">
        <v>52</v>
      </c>
      <c r="J861" t="s">
        <v>53</v>
      </c>
      <c r="K861">
        <v>9600</v>
      </c>
      <c r="L861" t="s">
        <v>126</v>
      </c>
      <c r="M861">
        <f>DOWNLOAD_2kLRbPnDtawQopEJ_UKtt22ud9U57gk8mqebZIeugNk[[#This Row],[Standard Value]]</f>
        <v>9600</v>
      </c>
      <c r="N861">
        <f>-LOG(DOWNLOAD_2kLRbPnDtawQopEJ_UKtt22ud9U57gk8mqebZIeugNk[[#This Row],[IC50]]*POWER(10, -9), 10)</f>
        <v>5.0177287669604302</v>
      </c>
      <c r="O861">
        <v>5.0199999999999996</v>
      </c>
      <c r="P861" t="s">
        <v>48</v>
      </c>
      <c r="R861" t="s">
        <v>127</v>
      </c>
      <c r="S861">
        <v>4.41</v>
      </c>
      <c r="W861">
        <v>0</v>
      </c>
      <c r="X861" t="s">
        <v>285</v>
      </c>
      <c r="Y861" t="s">
        <v>286</v>
      </c>
      <c r="Z861" t="s">
        <v>58</v>
      </c>
      <c r="AA861" t="s">
        <v>59</v>
      </c>
      <c r="AB861" t="s">
        <v>60</v>
      </c>
      <c r="AC861" t="s">
        <v>61</v>
      </c>
      <c r="AD861" t="s">
        <v>49</v>
      </c>
      <c r="AE861" t="s">
        <v>49</v>
      </c>
      <c r="AF861" t="s">
        <v>49</v>
      </c>
      <c r="AG861" t="s">
        <v>49</v>
      </c>
      <c r="AH861" t="s">
        <v>48</v>
      </c>
      <c r="AI861" t="s">
        <v>48</v>
      </c>
      <c r="AJ861" t="s">
        <v>48</v>
      </c>
      <c r="AK861" t="s">
        <v>62</v>
      </c>
      <c r="AL861" t="s">
        <v>63</v>
      </c>
      <c r="AM861" t="s">
        <v>61</v>
      </c>
      <c r="AN861" t="s">
        <v>64</v>
      </c>
      <c r="AO861" t="s">
        <v>287</v>
      </c>
      <c r="AP861">
        <v>1</v>
      </c>
      <c r="AQ861" t="s">
        <v>66</v>
      </c>
      <c r="AR861" t="s">
        <v>131</v>
      </c>
      <c r="AS861">
        <v>2020</v>
      </c>
      <c r="AT861" t="s">
        <v>49</v>
      </c>
      <c r="AU861" t="s">
        <v>288</v>
      </c>
      <c r="AV861" t="s">
        <v>269</v>
      </c>
      <c r="AW861" t="s">
        <v>48</v>
      </c>
    </row>
    <row r="862" spans="1:49" x14ac:dyDescent="0.3">
      <c r="A862" t="s">
        <v>2336</v>
      </c>
      <c r="B862" t="s">
        <v>48</v>
      </c>
      <c r="C862" t="s">
        <v>49</v>
      </c>
      <c r="D862">
        <v>435.89</v>
      </c>
      <c r="E862">
        <v>1</v>
      </c>
      <c r="F862">
        <v>5.05</v>
      </c>
      <c r="G862" t="s">
        <v>2337</v>
      </c>
      <c r="H862" t="s">
        <v>2338</v>
      </c>
      <c r="I862" t="s">
        <v>52</v>
      </c>
      <c r="J862" t="s">
        <v>53</v>
      </c>
      <c r="K862">
        <v>4.91</v>
      </c>
      <c r="L862" t="s">
        <v>126</v>
      </c>
      <c r="M862">
        <f>DOWNLOAD_2kLRbPnDtawQopEJ_UKtt22ud9U57gk8mqebZIeugNk[[#This Row],[Standard Value]]</f>
        <v>4.91</v>
      </c>
      <c r="N862">
        <f>-LOG(DOWNLOAD_2kLRbPnDtawQopEJ_UKtt22ud9U57gk8mqebZIeugNk[[#This Row],[IC50]]*POWER(10, -9), 10)</f>
        <v>8.3089185078770313</v>
      </c>
      <c r="O862">
        <v>8.31</v>
      </c>
      <c r="P862" t="s">
        <v>48</v>
      </c>
      <c r="R862" t="s">
        <v>127</v>
      </c>
      <c r="S862">
        <v>19.059999999999999</v>
      </c>
      <c r="T862">
        <v>0.38</v>
      </c>
      <c r="U862">
        <v>3.26</v>
      </c>
      <c r="V862">
        <v>8.83</v>
      </c>
      <c r="W862">
        <v>0</v>
      </c>
      <c r="X862" t="s">
        <v>2339</v>
      </c>
      <c r="Y862" t="s">
        <v>878</v>
      </c>
      <c r="Z862" t="s">
        <v>58</v>
      </c>
      <c r="AA862" t="s">
        <v>59</v>
      </c>
      <c r="AB862" t="s">
        <v>60</v>
      </c>
      <c r="AC862" t="s">
        <v>61</v>
      </c>
      <c r="AD862" t="s">
        <v>49</v>
      </c>
      <c r="AE862" t="s">
        <v>49</v>
      </c>
      <c r="AF862" t="s">
        <v>49</v>
      </c>
      <c r="AG862" t="s">
        <v>49</v>
      </c>
      <c r="AH862" t="s">
        <v>48</v>
      </c>
      <c r="AI862" t="s">
        <v>48</v>
      </c>
      <c r="AJ862" t="s">
        <v>48</v>
      </c>
      <c r="AK862" t="s">
        <v>62</v>
      </c>
      <c r="AL862" t="s">
        <v>63</v>
      </c>
      <c r="AM862" t="s">
        <v>61</v>
      </c>
      <c r="AN862" t="s">
        <v>64</v>
      </c>
      <c r="AO862" t="s">
        <v>2340</v>
      </c>
      <c r="AP862">
        <v>1</v>
      </c>
      <c r="AQ862" t="s">
        <v>66</v>
      </c>
      <c r="AR862" t="s">
        <v>1549</v>
      </c>
      <c r="AS862">
        <v>2022</v>
      </c>
      <c r="AT862" t="s">
        <v>49</v>
      </c>
      <c r="AU862" t="s">
        <v>48</v>
      </c>
      <c r="AV862" t="s">
        <v>269</v>
      </c>
      <c r="AW862" t="s">
        <v>48</v>
      </c>
    </row>
    <row r="863" spans="1:49" x14ac:dyDescent="0.3">
      <c r="A863" t="s">
        <v>2341</v>
      </c>
      <c r="B863" t="s">
        <v>48</v>
      </c>
      <c r="C863" t="s">
        <v>49</v>
      </c>
      <c r="D863">
        <v>506.52</v>
      </c>
      <c r="E863">
        <v>1</v>
      </c>
      <c r="F863">
        <v>1.67</v>
      </c>
      <c r="G863" t="s">
        <v>197</v>
      </c>
      <c r="H863" t="s">
        <v>2342</v>
      </c>
      <c r="I863" t="s">
        <v>52</v>
      </c>
      <c r="J863" t="s">
        <v>53</v>
      </c>
      <c r="K863">
        <v>220</v>
      </c>
      <c r="L863" t="s">
        <v>126</v>
      </c>
      <c r="M863">
        <f>DOWNLOAD_2kLRbPnDtawQopEJ_UKtt22ud9U57gk8mqebZIeugNk[[#This Row],[Standard Value]]</f>
        <v>220</v>
      </c>
      <c r="N863">
        <f>-LOG(DOWNLOAD_2kLRbPnDtawQopEJ_UKtt22ud9U57gk8mqebZIeugNk[[#This Row],[IC50]]*POWER(10, -9), 10)</f>
        <v>6.6575773191777934</v>
      </c>
      <c r="O863">
        <v>6.66</v>
      </c>
      <c r="P863" t="s">
        <v>48</v>
      </c>
      <c r="R863" t="s">
        <v>127</v>
      </c>
      <c r="S863">
        <v>13.14</v>
      </c>
      <c r="T863">
        <v>0.25</v>
      </c>
      <c r="U863">
        <v>4.99</v>
      </c>
      <c r="V863">
        <v>4.8600000000000003</v>
      </c>
      <c r="W863">
        <v>0</v>
      </c>
      <c r="X863" t="s">
        <v>1534</v>
      </c>
      <c r="Y863" t="s">
        <v>1535</v>
      </c>
      <c r="Z863" t="s">
        <v>58</v>
      </c>
      <c r="AA863" t="s">
        <v>59</v>
      </c>
      <c r="AB863" t="s">
        <v>60</v>
      </c>
      <c r="AC863" t="s">
        <v>61</v>
      </c>
      <c r="AD863" t="s">
        <v>49</v>
      </c>
      <c r="AE863" t="s">
        <v>49</v>
      </c>
      <c r="AF863" t="s">
        <v>49</v>
      </c>
      <c r="AG863" t="s">
        <v>49</v>
      </c>
      <c r="AH863" t="s">
        <v>48</v>
      </c>
      <c r="AI863" t="s">
        <v>48</v>
      </c>
      <c r="AJ863" t="s">
        <v>48</v>
      </c>
      <c r="AK863" t="s">
        <v>62</v>
      </c>
      <c r="AL863" t="s">
        <v>63</v>
      </c>
      <c r="AM863" t="s">
        <v>61</v>
      </c>
      <c r="AN863" t="s">
        <v>64</v>
      </c>
      <c r="AO863" t="s">
        <v>1536</v>
      </c>
      <c r="AP863">
        <v>1</v>
      </c>
      <c r="AQ863" t="s">
        <v>66</v>
      </c>
      <c r="AR863" t="s">
        <v>76</v>
      </c>
      <c r="AS863">
        <v>2022</v>
      </c>
      <c r="AT863" t="s">
        <v>49</v>
      </c>
      <c r="AU863" t="s">
        <v>48</v>
      </c>
      <c r="AV863" t="s">
        <v>269</v>
      </c>
      <c r="AW863" t="s">
        <v>48</v>
      </c>
    </row>
    <row r="864" spans="1:49" x14ac:dyDescent="0.3">
      <c r="A864" t="s">
        <v>2343</v>
      </c>
      <c r="B864" t="s">
        <v>48</v>
      </c>
      <c r="C864" t="s">
        <v>49</v>
      </c>
      <c r="D864">
        <v>473.46</v>
      </c>
      <c r="E864">
        <v>1</v>
      </c>
      <c r="F864">
        <v>2.29</v>
      </c>
      <c r="G864" t="s">
        <v>479</v>
      </c>
      <c r="H864" t="s">
        <v>2344</v>
      </c>
      <c r="I864" t="s">
        <v>52</v>
      </c>
      <c r="J864" t="s">
        <v>53</v>
      </c>
      <c r="K864">
        <v>2.09</v>
      </c>
      <c r="L864" t="s">
        <v>126</v>
      </c>
      <c r="M864">
        <f>DOWNLOAD_2kLRbPnDtawQopEJ_UKtt22ud9U57gk8mqebZIeugNk[[#This Row],[Standard Value]]</f>
        <v>2.09</v>
      </c>
      <c r="N864">
        <f>-LOG(DOWNLOAD_2kLRbPnDtawQopEJ_UKtt22ud9U57gk8mqebZIeugNk[[#This Row],[IC50]]*POWER(10, -9), 10)</f>
        <v>8.6798537138889458</v>
      </c>
      <c r="O864">
        <v>8.68</v>
      </c>
      <c r="P864" t="s">
        <v>48</v>
      </c>
      <c r="R864" t="s">
        <v>127</v>
      </c>
      <c r="S864">
        <v>20.309999999999999</v>
      </c>
      <c r="T864">
        <v>0.38</v>
      </c>
      <c r="U864">
        <v>6.39</v>
      </c>
      <c r="V864">
        <v>6.41</v>
      </c>
      <c r="W864">
        <v>0</v>
      </c>
      <c r="X864" t="s">
        <v>264</v>
      </c>
      <c r="Y864" t="s">
        <v>265</v>
      </c>
      <c r="Z864" t="s">
        <v>58</v>
      </c>
      <c r="AA864" t="s">
        <v>59</v>
      </c>
      <c r="AB864" t="s">
        <v>60</v>
      </c>
      <c r="AC864" t="s">
        <v>61</v>
      </c>
      <c r="AD864" t="s">
        <v>49</v>
      </c>
      <c r="AE864" t="s">
        <v>49</v>
      </c>
      <c r="AF864" t="s">
        <v>49</v>
      </c>
      <c r="AG864" t="s">
        <v>49</v>
      </c>
      <c r="AH864" t="s">
        <v>48</v>
      </c>
      <c r="AI864" t="s">
        <v>48</v>
      </c>
      <c r="AJ864" t="s">
        <v>48</v>
      </c>
      <c r="AK864" t="s">
        <v>62</v>
      </c>
      <c r="AL864" t="s">
        <v>63</v>
      </c>
      <c r="AM864" t="s">
        <v>61</v>
      </c>
      <c r="AN864" t="s">
        <v>64</v>
      </c>
      <c r="AO864" t="s">
        <v>266</v>
      </c>
      <c r="AP864">
        <v>1</v>
      </c>
      <c r="AQ864" t="s">
        <v>66</v>
      </c>
      <c r="AR864" t="s">
        <v>267</v>
      </c>
      <c r="AS864">
        <v>2020</v>
      </c>
      <c r="AT864" t="s">
        <v>49</v>
      </c>
      <c r="AU864" t="s">
        <v>268</v>
      </c>
      <c r="AV864" t="s">
        <v>269</v>
      </c>
      <c r="AW864" t="s">
        <v>48</v>
      </c>
    </row>
    <row r="865" spans="1:49" x14ac:dyDescent="0.3">
      <c r="A865" t="s">
        <v>2345</v>
      </c>
      <c r="B865" t="s">
        <v>48</v>
      </c>
      <c r="C865" t="s">
        <v>49</v>
      </c>
      <c r="D865">
        <v>398.89</v>
      </c>
      <c r="E865">
        <v>0</v>
      </c>
      <c r="F865">
        <v>3.5</v>
      </c>
      <c r="G865" t="s">
        <v>105</v>
      </c>
      <c r="H865" t="s">
        <v>2346</v>
      </c>
      <c r="I865" t="s">
        <v>52</v>
      </c>
      <c r="J865" t="s">
        <v>53</v>
      </c>
      <c r="K865">
        <v>45000</v>
      </c>
      <c r="L865" t="s">
        <v>126</v>
      </c>
      <c r="M865">
        <f>DOWNLOAD_2kLRbPnDtawQopEJ_UKtt22ud9U57gk8mqebZIeugNk[[#This Row],[Standard Value]]</f>
        <v>45000</v>
      </c>
      <c r="N865">
        <f>-LOG(DOWNLOAD_2kLRbPnDtawQopEJ_UKtt22ud9U57gk8mqebZIeugNk[[#This Row],[IC50]]*POWER(10, -9), 10)</f>
        <v>4.346787486224656</v>
      </c>
      <c r="O865">
        <v>4.3499999999999996</v>
      </c>
      <c r="P865" t="s">
        <v>48</v>
      </c>
      <c r="R865" t="s">
        <v>127</v>
      </c>
      <c r="S865">
        <v>11.99</v>
      </c>
      <c r="T865">
        <v>0.22</v>
      </c>
      <c r="U865">
        <v>0.85</v>
      </c>
      <c r="V865">
        <v>5.14</v>
      </c>
      <c r="W865">
        <v>0</v>
      </c>
      <c r="X865" t="s">
        <v>1546</v>
      </c>
      <c r="Y865" t="s">
        <v>1547</v>
      </c>
      <c r="Z865" t="s">
        <v>58</v>
      </c>
      <c r="AA865" t="s">
        <v>59</v>
      </c>
      <c r="AB865" t="s">
        <v>60</v>
      </c>
      <c r="AC865" t="s">
        <v>61</v>
      </c>
      <c r="AD865" t="s">
        <v>49</v>
      </c>
      <c r="AE865" t="s">
        <v>49</v>
      </c>
      <c r="AF865" t="s">
        <v>49</v>
      </c>
      <c r="AG865" t="s">
        <v>49</v>
      </c>
      <c r="AH865" t="s">
        <v>48</v>
      </c>
      <c r="AI865" t="s">
        <v>48</v>
      </c>
      <c r="AJ865" t="s">
        <v>48</v>
      </c>
      <c r="AK865" t="s">
        <v>62</v>
      </c>
      <c r="AL865" t="s">
        <v>63</v>
      </c>
      <c r="AM865" t="s">
        <v>61</v>
      </c>
      <c r="AN865" t="s">
        <v>64</v>
      </c>
      <c r="AO865" t="s">
        <v>1548</v>
      </c>
      <c r="AP865">
        <v>1</v>
      </c>
      <c r="AQ865" t="s">
        <v>66</v>
      </c>
      <c r="AR865" t="s">
        <v>1549</v>
      </c>
      <c r="AS865">
        <v>2022</v>
      </c>
      <c r="AT865" t="s">
        <v>49</v>
      </c>
      <c r="AU865" t="s">
        <v>299</v>
      </c>
      <c r="AV865" t="s">
        <v>269</v>
      </c>
      <c r="AW865" t="s">
        <v>48</v>
      </c>
    </row>
    <row r="866" spans="1:49" x14ac:dyDescent="0.3">
      <c r="A866" t="s">
        <v>2347</v>
      </c>
      <c r="B866" t="s">
        <v>48</v>
      </c>
      <c r="C866" t="s">
        <v>49</v>
      </c>
      <c r="D866">
        <v>357.41</v>
      </c>
      <c r="E866">
        <v>0</v>
      </c>
      <c r="F866">
        <v>1.83</v>
      </c>
      <c r="G866" t="s">
        <v>2348</v>
      </c>
      <c r="H866" t="s">
        <v>2349</v>
      </c>
      <c r="I866" t="s">
        <v>52</v>
      </c>
      <c r="J866" t="s">
        <v>53</v>
      </c>
      <c r="K866">
        <v>6.4</v>
      </c>
      <c r="L866" t="s">
        <v>54</v>
      </c>
      <c r="M866">
        <f>DOWNLOAD_2kLRbPnDtawQopEJ_UKtt22ud9U57gk8mqebZIeugNk[[#This Row],[Standard Value]]/DOWNLOAD_2kLRbPnDtawQopEJ_UKtt22ud9U57gk8mqebZIeugNk[[#This Row],[Molecular Weight]]*1000*1000</f>
        <v>17906.605858817602</v>
      </c>
      <c r="N866">
        <f>-LOG(DOWNLOAD_2kLRbPnDtawQopEJ_UKtt22ud9U57gk8mqebZIeugNk[[#This Row],[IC50]]*POWER(10, -9), 10)</f>
        <v>4.7469867255121576</v>
      </c>
      <c r="P866" t="s">
        <v>48</v>
      </c>
      <c r="R866" t="s">
        <v>55</v>
      </c>
      <c r="W866">
        <v>0</v>
      </c>
      <c r="X866" t="s">
        <v>2350</v>
      </c>
      <c r="Y866" t="s">
        <v>878</v>
      </c>
      <c r="Z866" t="s">
        <v>58</v>
      </c>
      <c r="AA866" t="s">
        <v>59</v>
      </c>
      <c r="AB866" t="s">
        <v>60</v>
      </c>
      <c r="AC866" t="s">
        <v>61</v>
      </c>
      <c r="AD866" t="s">
        <v>49</v>
      </c>
      <c r="AE866" t="s">
        <v>49</v>
      </c>
      <c r="AF866" t="s">
        <v>49</v>
      </c>
      <c r="AG866" t="s">
        <v>49</v>
      </c>
      <c r="AH866" t="s">
        <v>48</v>
      </c>
      <c r="AI866" t="s">
        <v>48</v>
      </c>
      <c r="AJ866" t="s">
        <v>48</v>
      </c>
      <c r="AK866" t="s">
        <v>62</v>
      </c>
      <c r="AL866" t="s">
        <v>63</v>
      </c>
      <c r="AM866" t="s">
        <v>61</v>
      </c>
      <c r="AN866" t="s">
        <v>64</v>
      </c>
      <c r="AO866" t="s">
        <v>2351</v>
      </c>
      <c r="AP866">
        <v>1</v>
      </c>
      <c r="AQ866" t="s">
        <v>66</v>
      </c>
      <c r="AR866" t="s">
        <v>131</v>
      </c>
      <c r="AS866">
        <v>2018</v>
      </c>
      <c r="AT866" t="s">
        <v>49</v>
      </c>
      <c r="AU866" t="s">
        <v>48</v>
      </c>
      <c r="AV866" t="s">
        <v>269</v>
      </c>
      <c r="AW866" t="s">
        <v>48</v>
      </c>
    </row>
    <row r="867" spans="1:49" x14ac:dyDescent="0.3">
      <c r="A867" t="s">
        <v>281</v>
      </c>
      <c r="B867" t="s">
        <v>282</v>
      </c>
      <c r="C867" t="s">
        <v>112</v>
      </c>
      <c r="D867">
        <v>331.35</v>
      </c>
      <c r="E867">
        <v>0</v>
      </c>
      <c r="F867">
        <v>1.58</v>
      </c>
      <c r="G867" t="s">
        <v>283</v>
      </c>
      <c r="H867" t="s">
        <v>284</v>
      </c>
      <c r="I867" t="s">
        <v>52</v>
      </c>
      <c r="J867" t="s">
        <v>53</v>
      </c>
      <c r="K867">
        <v>230</v>
      </c>
      <c r="L867" t="s">
        <v>126</v>
      </c>
      <c r="M867">
        <f>DOWNLOAD_2kLRbPnDtawQopEJ_UKtt22ud9U57gk8mqebZIeugNk[[#This Row],[Standard Value]]</f>
        <v>230</v>
      </c>
      <c r="N867">
        <f>-LOG(DOWNLOAD_2kLRbPnDtawQopEJ_UKtt22ud9U57gk8mqebZIeugNk[[#This Row],[IC50]]*POWER(10, -9), 10)</f>
        <v>6.638272163982406</v>
      </c>
      <c r="O867">
        <v>6.64</v>
      </c>
      <c r="P867" t="s">
        <v>48</v>
      </c>
      <c r="R867" t="s">
        <v>127</v>
      </c>
      <c r="S867">
        <v>20.03</v>
      </c>
      <c r="T867">
        <v>0.38</v>
      </c>
      <c r="U867">
        <v>5.0599999999999996</v>
      </c>
      <c r="V867">
        <v>8.9</v>
      </c>
      <c r="W867">
        <v>0</v>
      </c>
      <c r="X867" t="s">
        <v>1510</v>
      </c>
      <c r="Y867" t="s">
        <v>1511</v>
      </c>
      <c r="Z867" t="s">
        <v>58</v>
      </c>
      <c r="AA867" t="s">
        <v>59</v>
      </c>
      <c r="AB867" t="s">
        <v>60</v>
      </c>
      <c r="AC867" t="s">
        <v>61</v>
      </c>
      <c r="AD867" t="s">
        <v>49</v>
      </c>
      <c r="AE867" t="s">
        <v>49</v>
      </c>
      <c r="AF867" t="s">
        <v>49</v>
      </c>
      <c r="AG867" t="s">
        <v>49</v>
      </c>
      <c r="AH867" t="s">
        <v>48</v>
      </c>
      <c r="AI867" t="s">
        <v>48</v>
      </c>
      <c r="AJ867" t="s">
        <v>48</v>
      </c>
      <c r="AK867" t="s">
        <v>62</v>
      </c>
      <c r="AL867" t="s">
        <v>63</v>
      </c>
      <c r="AM867" t="s">
        <v>61</v>
      </c>
      <c r="AN867" t="s">
        <v>64</v>
      </c>
      <c r="AO867" t="s">
        <v>1512</v>
      </c>
      <c r="AP867">
        <v>1</v>
      </c>
      <c r="AQ867" t="s">
        <v>66</v>
      </c>
      <c r="AR867" t="s">
        <v>76</v>
      </c>
      <c r="AS867">
        <v>2022</v>
      </c>
      <c r="AT867" t="s">
        <v>49</v>
      </c>
      <c r="AU867" t="s">
        <v>48</v>
      </c>
      <c r="AV867" t="s">
        <v>269</v>
      </c>
      <c r="AW867" t="s">
        <v>48</v>
      </c>
    </row>
    <row r="868" spans="1:49" x14ac:dyDescent="0.3">
      <c r="A868" t="s">
        <v>2352</v>
      </c>
      <c r="B868" t="s">
        <v>48</v>
      </c>
      <c r="C868" t="s">
        <v>49</v>
      </c>
      <c r="D868">
        <v>430.27</v>
      </c>
      <c r="E868">
        <v>0</v>
      </c>
      <c r="F868">
        <v>2.82</v>
      </c>
      <c r="G868" t="s">
        <v>760</v>
      </c>
      <c r="H868" t="s">
        <v>2353</v>
      </c>
      <c r="I868" t="s">
        <v>52</v>
      </c>
      <c r="J868" t="s">
        <v>53</v>
      </c>
      <c r="K868">
        <v>37</v>
      </c>
      <c r="L868" t="s">
        <v>126</v>
      </c>
      <c r="M868">
        <f>DOWNLOAD_2kLRbPnDtawQopEJ_UKtt22ud9U57gk8mqebZIeugNk[[#This Row],[Standard Value]]</f>
        <v>37</v>
      </c>
      <c r="N868">
        <f>-LOG(DOWNLOAD_2kLRbPnDtawQopEJ_UKtt22ud9U57gk8mqebZIeugNk[[#This Row],[IC50]]*POWER(10, -9), 10)</f>
        <v>7.431798275933005</v>
      </c>
      <c r="O868">
        <v>7.43</v>
      </c>
      <c r="P868" t="s">
        <v>48</v>
      </c>
      <c r="R868" t="s">
        <v>127</v>
      </c>
      <c r="S868">
        <v>17.27</v>
      </c>
      <c r="T868">
        <v>0.38</v>
      </c>
      <c r="U868">
        <v>4.6100000000000003</v>
      </c>
      <c r="V868">
        <v>6.53</v>
      </c>
      <c r="W868">
        <v>0</v>
      </c>
      <c r="X868" t="s">
        <v>450</v>
      </c>
      <c r="Y868" t="s">
        <v>451</v>
      </c>
      <c r="Z868" t="s">
        <v>58</v>
      </c>
      <c r="AA868" t="s">
        <v>59</v>
      </c>
      <c r="AB868" t="s">
        <v>60</v>
      </c>
      <c r="AC868" t="s">
        <v>61</v>
      </c>
      <c r="AD868" t="s">
        <v>49</v>
      </c>
      <c r="AE868" t="s">
        <v>49</v>
      </c>
      <c r="AF868" t="s">
        <v>49</v>
      </c>
      <c r="AG868" t="s">
        <v>49</v>
      </c>
      <c r="AH868" t="s">
        <v>48</v>
      </c>
      <c r="AI868" t="s">
        <v>48</v>
      </c>
      <c r="AJ868" t="s">
        <v>48</v>
      </c>
      <c r="AK868" t="s">
        <v>62</v>
      </c>
      <c r="AL868" t="s">
        <v>63</v>
      </c>
      <c r="AM868" t="s">
        <v>61</v>
      </c>
      <c r="AN868" t="s">
        <v>64</v>
      </c>
      <c r="AO868" t="s">
        <v>452</v>
      </c>
      <c r="AP868">
        <v>1</v>
      </c>
      <c r="AQ868" t="s">
        <v>66</v>
      </c>
      <c r="AR868" t="s">
        <v>267</v>
      </c>
      <c r="AS868">
        <v>2019</v>
      </c>
      <c r="AT868" t="s">
        <v>49</v>
      </c>
      <c r="AU868" t="s">
        <v>48</v>
      </c>
      <c r="AV868" t="s">
        <v>48</v>
      </c>
      <c r="AW868" t="s">
        <v>48</v>
      </c>
    </row>
    <row r="869" spans="1:49" x14ac:dyDescent="0.3">
      <c r="A869" t="s">
        <v>2354</v>
      </c>
      <c r="B869" t="s">
        <v>48</v>
      </c>
      <c r="C869" t="s">
        <v>49</v>
      </c>
      <c r="D869">
        <v>414.91</v>
      </c>
      <c r="E869">
        <v>0</v>
      </c>
      <c r="F869">
        <v>4.32</v>
      </c>
      <c r="G869" t="s">
        <v>197</v>
      </c>
      <c r="H869" t="s">
        <v>2355</v>
      </c>
      <c r="I869" t="s">
        <v>52</v>
      </c>
      <c r="J869" t="s">
        <v>53</v>
      </c>
      <c r="K869">
        <v>17000</v>
      </c>
      <c r="L869" t="s">
        <v>126</v>
      </c>
      <c r="M869">
        <f>DOWNLOAD_2kLRbPnDtawQopEJ_UKtt22ud9U57gk8mqebZIeugNk[[#This Row],[Standard Value]]</f>
        <v>17000</v>
      </c>
      <c r="N869">
        <f>-LOG(DOWNLOAD_2kLRbPnDtawQopEJ_UKtt22ud9U57gk8mqebZIeugNk[[#This Row],[IC50]]*POWER(10, -9), 10)</f>
        <v>4.7695510786217259</v>
      </c>
      <c r="O869">
        <v>4.7699999999999996</v>
      </c>
      <c r="P869" t="s">
        <v>48</v>
      </c>
      <c r="R869" t="s">
        <v>127</v>
      </c>
      <c r="S869">
        <v>12.6</v>
      </c>
      <c r="T869">
        <v>0.23</v>
      </c>
      <c r="U869">
        <v>0.45</v>
      </c>
      <c r="V869">
        <v>7.41</v>
      </c>
      <c r="W869">
        <v>0</v>
      </c>
      <c r="X869" t="s">
        <v>1546</v>
      </c>
      <c r="Y869" t="s">
        <v>1547</v>
      </c>
      <c r="Z869" t="s">
        <v>58</v>
      </c>
      <c r="AA869" t="s">
        <v>59</v>
      </c>
      <c r="AB869" t="s">
        <v>60</v>
      </c>
      <c r="AC869" t="s">
        <v>61</v>
      </c>
      <c r="AD869" t="s">
        <v>49</v>
      </c>
      <c r="AE869" t="s">
        <v>49</v>
      </c>
      <c r="AF869" t="s">
        <v>49</v>
      </c>
      <c r="AG869" t="s">
        <v>49</v>
      </c>
      <c r="AH869" t="s">
        <v>48</v>
      </c>
      <c r="AI869" t="s">
        <v>48</v>
      </c>
      <c r="AJ869" t="s">
        <v>48</v>
      </c>
      <c r="AK869" t="s">
        <v>62</v>
      </c>
      <c r="AL869" t="s">
        <v>63</v>
      </c>
      <c r="AM869" t="s">
        <v>61</v>
      </c>
      <c r="AN869" t="s">
        <v>64</v>
      </c>
      <c r="AO869" t="s">
        <v>1548</v>
      </c>
      <c r="AP869">
        <v>1</v>
      </c>
      <c r="AQ869" t="s">
        <v>66</v>
      </c>
      <c r="AR869" t="s">
        <v>1549</v>
      </c>
      <c r="AS869">
        <v>2022</v>
      </c>
      <c r="AT869" t="s">
        <v>49</v>
      </c>
      <c r="AU869" t="s">
        <v>299</v>
      </c>
      <c r="AV869" t="s">
        <v>269</v>
      </c>
      <c r="AW869" t="s">
        <v>48</v>
      </c>
    </row>
    <row r="870" spans="1:49" x14ac:dyDescent="0.3">
      <c r="A870" t="s">
        <v>2356</v>
      </c>
      <c r="B870" t="s">
        <v>48</v>
      </c>
      <c r="C870" t="s">
        <v>49</v>
      </c>
      <c r="D870">
        <v>387.31</v>
      </c>
      <c r="E870">
        <v>0</v>
      </c>
      <c r="F870">
        <v>4.4400000000000004</v>
      </c>
      <c r="G870" t="s">
        <v>102</v>
      </c>
      <c r="H870" t="s">
        <v>2357</v>
      </c>
      <c r="I870" t="s">
        <v>52</v>
      </c>
      <c r="J870" t="s">
        <v>53</v>
      </c>
      <c r="K870">
        <v>39000</v>
      </c>
      <c r="L870" t="s">
        <v>126</v>
      </c>
      <c r="M870">
        <f>DOWNLOAD_2kLRbPnDtawQopEJ_UKtt22ud9U57gk8mqebZIeugNk[[#This Row],[Standard Value]]</f>
        <v>39000</v>
      </c>
      <c r="N870">
        <f>-LOG(DOWNLOAD_2kLRbPnDtawQopEJ_UKtt22ud9U57gk8mqebZIeugNk[[#This Row],[IC50]]*POWER(10, -9), 10)</f>
        <v>4.4089353929735005</v>
      </c>
      <c r="O870">
        <v>4.41</v>
      </c>
      <c r="P870" t="s">
        <v>48</v>
      </c>
      <c r="R870" t="s">
        <v>127</v>
      </c>
      <c r="S870">
        <v>12.57</v>
      </c>
      <c r="T870">
        <v>0.24</v>
      </c>
      <c r="U870">
        <v>-0.03</v>
      </c>
      <c r="V870">
        <v>8</v>
      </c>
      <c r="W870">
        <v>0</v>
      </c>
      <c r="X870" t="s">
        <v>1546</v>
      </c>
      <c r="Y870" t="s">
        <v>1547</v>
      </c>
      <c r="Z870" t="s">
        <v>58</v>
      </c>
      <c r="AA870" t="s">
        <v>59</v>
      </c>
      <c r="AB870" t="s">
        <v>60</v>
      </c>
      <c r="AC870" t="s">
        <v>61</v>
      </c>
      <c r="AD870" t="s">
        <v>49</v>
      </c>
      <c r="AE870" t="s">
        <v>49</v>
      </c>
      <c r="AF870" t="s">
        <v>49</v>
      </c>
      <c r="AG870" t="s">
        <v>49</v>
      </c>
      <c r="AH870" t="s">
        <v>48</v>
      </c>
      <c r="AI870" t="s">
        <v>48</v>
      </c>
      <c r="AJ870" t="s">
        <v>48</v>
      </c>
      <c r="AK870" t="s">
        <v>62</v>
      </c>
      <c r="AL870" t="s">
        <v>63</v>
      </c>
      <c r="AM870" t="s">
        <v>61</v>
      </c>
      <c r="AN870" t="s">
        <v>64</v>
      </c>
      <c r="AO870" t="s">
        <v>1548</v>
      </c>
      <c r="AP870">
        <v>1</v>
      </c>
      <c r="AQ870" t="s">
        <v>66</v>
      </c>
      <c r="AR870" t="s">
        <v>1549</v>
      </c>
      <c r="AS870">
        <v>2022</v>
      </c>
      <c r="AT870" t="s">
        <v>49</v>
      </c>
      <c r="AU870" t="s">
        <v>299</v>
      </c>
      <c r="AV870" t="s">
        <v>269</v>
      </c>
      <c r="AW870" t="s">
        <v>48</v>
      </c>
    </row>
    <row r="871" spans="1:49" x14ac:dyDescent="0.3">
      <c r="A871" t="s">
        <v>2358</v>
      </c>
      <c r="B871" t="s">
        <v>48</v>
      </c>
      <c r="C871" t="s">
        <v>49</v>
      </c>
      <c r="D871">
        <v>290.79000000000002</v>
      </c>
      <c r="E871">
        <v>0</v>
      </c>
      <c r="F871">
        <v>2.42</v>
      </c>
      <c r="G871" t="s">
        <v>473</v>
      </c>
      <c r="H871" t="s">
        <v>2359</v>
      </c>
      <c r="I871" t="s">
        <v>52</v>
      </c>
      <c r="J871" t="s">
        <v>71</v>
      </c>
      <c r="K871">
        <v>100000</v>
      </c>
      <c r="L871" t="s">
        <v>126</v>
      </c>
      <c r="M871">
        <f>DOWNLOAD_2kLRbPnDtawQopEJ_UKtt22ud9U57gk8mqebZIeugNk[[#This Row],[Standard Value]]</f>
        <v>100000</v>
      </c>
      <c r="N871">
        <f>-LOG(DOWNLOAD_2kLRbPnDtawQopEJ_UKtt22ud9U57gk8mqebZIeugNk[[#This Row],[IC50]]*POWER(10, -9), 10)</f>
        <v>3.9999999999999991</v>
      </c>
      <c r="P871" t="s">
        <v>48</v>
      </c>
      <c r="R871" t="s">
        <v>127</v>
      </c>
      <c r="W871">
        <v>0</v>
      </c>
      <c r="X871" t="s">
        <v>1546</v>
      </c>
      <c r="Y871" t="s">
        <v>1547</v>
      </c>
      <c r="Z871" t="s">
        <v>58</v>
      </c>
      <c r="AA871" t="s">
        <v>59</v>
      </c>
      <c r="AB871" t="s">
        <v>60</v>
      </c>
      <c r="AC871" t="s">
        <v>61</v>
      </c>
      <c r="AD871" t="s">
        <v>49</v>
      </c>
      <c r="AE871" t="s">
        <v>49</v>
      </c>
      <c r="AF871" t="s">
        <v>49</v>
      </c>
      <c r="AG871" t="s">
        <v>49</v>
      </c>
      <c r="AH871" t="s">
        <v>48</v>
      </c>
      <c r="AI871" t="s">
        <v>48</v>
      </c>
      <c r="AJ871" t="s">
        <v>48</v>
      </c>
      <c r="AK871" t="s">
        <v>62</v>
      </c>
      <c r="AL871" t="s">
        <v>63</v>
      </c>
      <c r="AM871" t="s">
        <v>61</v>
      </c>
      <c r="AN871" t="s">
        <v>64</v>
      </c>
      <c r="AO871" t="s">
        <v>1548</v>
      </c>
      <c r="AP871">
        <v>1</v>
      </c>
      <c r="AQ871" t="s">
        <v>66</v>
      </c>
      <c r="AR871" t="s">
        <v>1549</v>
      </c>
      <c r="AS871">
        <v>2022</v>
      </c>
      <c r="AT871" t="s">
        <v>49</v>
      </c>
      <c r="AU871" t="s">
        <v>299</v>
      </c>
      <c r="AV871" t="s">
        <v>48</v>
      </c>
      <c r="AW871" t="s">
        <v>48</v>
      </c>
    </row>
    <row r="872" spans="1:49" x14ac:dyDescent="0.3">
      <c r="A872" t="s">
        <v>2360</v>
      </c>
      <c r="B872" t="s">
        <v>48</v>
      </c>
      <c r="C872" t="s">
        <v>49</v>
      </c>
      <c r="D872">
        <v>352.87</v>
      </c>
      <c r="E872">
        <v>0</v>
      </c>
      <c r="F872">
        <v>3.78</v>
      </c>
      <c r="G872" t="s">
        <v>324</v>
      </c>
      <c r="H872" t="s">
        <v>2361</v>
      </c>
      <c r="I872" t="s">
        <v>52</v>
      </c>
      <c r="J872" t="s">
        <v>53</v>
      </c>
      <c r="K872">
        <v>76000</v>
      </c>
      <c r="L872" t="s">
        <v>126</v>
      </c>
      <c r="M872">
        <f>DOWNLOAD_2kLRbPnDtawQopEJ_UKtt22ud9U57gk8mqebZIeugNk[[#This Row],[Standard Value]]</f>
        <v>76000</v>
      </c>
      <c r="N872">
        <f>-LOG(DOWNLOAD_2kLRbPnDtawQopEJ_UKtt22ud9U57gk8mqebZIeugNk[[#This Row],[IC50]]*POWER(10, -9), 10)</f>
        <v>4.1191864077192077</v>
      </c>
      <c r="O872">
        <v>4.12</v>
      </c>
      <c r="P872" t="s">
        <v>48</v>
      </c>
      <c r="R872" t="s">
        <v>127</v>
      </c>
      <c r="S872">
        <v>13.02</v>
      </c>
      <c r="T872">
        <v>0.23</v>
      </c>
      <c r="U872">
        <v>0.34</v>
      </c>
      <c r="V872">
        <v>7.47</v>
      </c>
      <c r="W872">
        <v>0</v>
      </c>
      <c r="X872" t="s">
        <v>1546</v>
      </c>
      <c r="Y872" t="s">
        <v>1547</v>
      </c>
      <c r="Z872" t="s">
        <v>58</v>
      </c>
      <c r="AA872" t="s">
        <v>59</v>
      </c>
      <c r="AB872" t="s">
        <v>60</v>
      </c>
      <c r="AC872" t="s">
        <v>61</v>
      </c>
      <c r="AD872" t="s">
        <v>49</v>
      </c>
      <c r="AE872" t="s">
        <v>49</v>
      </c>
      <c r="AF872" t="s">
        <v>49</v>
      </c>
      <c r="AG872" t="s">
        <v>49</v>
      </c>
      <c r="AH872" t="s">
        <v>48</v>
      </c>
      <c r="AI872" t="s">
        <v>48</v>
      </c>
      <c r="AJ872" t="s">
        <v>48</v>
      </c>
      <c r="AK872" t="s">
        <v>62</v>
      </c>
      <c r="AL872" t="s">
        <v>63</v>
      </c>
      <c r="AM872" t="s">
        <v>61</v>
      </c>
      <c r="AN872" t="s">
        <v>64</v>
      </c>
      <c r="AO872" t="s">
        <v>1548</v>
      </c>
      <c r="AP872">
        <v>1</v>
      </c>
      <c r="AQ872" t="s">
        <v>66</v>
      </c>
      <c r="AR872" t="s">
        <v>1549</v>
      </c>
      <c r="AS872">
        <v>2022</v>
      </c>
      <c r="AT872" t="s">
        <v>49</v>
      </c>
      <c r="AU872" t="s">
        <v>299</v>
      </c>
      <c r="AV872" t="s">
        <v>269</v>
      </c>
      <c r="AW872" t="s">
        <v>48</v>
      </c>
    </row>
    <row r="873" spans="1:49" x14ac:dyDescent="0.3">
      <c r="A873" t="s">
        <v>281</v>
      </c>
      <c r="B873" t="s">
        <v>282</v>
      </c>
      <c r="C873" t="s">
        <v>112</v>
      </c>
      <c r="D873">
        <v>331.35</v>
      </c>
      <c r="E873">
        <v>0</v>
      </c>
      <c r="F873">
        <v>1.58</v>
      </c>
      <c r="G873" t="s">
        <v>283</v>
      </c>
      <c r="H873" t="s">
        <v>284</v>
      </c>
      <c r="I873" t="s">
        <v>52</v>
      </c>
      <c r="J873" t="s">
        <v>53</v>
      </c>
      <c r="K873">
        <v>600</v>
      </c>
      <c r="L873" t="s">
        <v>126</v>
      </c>
      <c r="M873">
        <f>DOWNLOAD_2kLRbPnDtawQopEJ_UKtt22ud9U57gk8mqebZIeugNk[[#This Row],[Standard Value]]</f>
        <v>600</v>
      </c>
      <c r="N873">
        <f>-LOG(DOWNLOAD_2kLRbPnDtawQopEJ_UKtt22ud9U57gk8mqebZIeugNk[[#This Row],[IC50]]*POWER(10, -9), 10)</f>
        <v>6.2218487496163553</v>
      </c>
      <c r="O873">
        <v>6.22</v>
      </c>
      <c r="P873" t="s">
        <v>48</v>
      </c>
      <c r="R873" t="s">
        <v>127</v>
      </c>
      <c r="S873">
        <v>18.78</v>
      </c>
      <c r="T873">
        <v>0.35</v>
      </c>
      <c r="U873">
        <v>4.6399999999999997</v>
      </c>
      <c r="V873">
        <v>8.34</v>
      </c>
      <c r="W873">
        <v>0</v>
      </c>
      <c r="X873" t="s">
        <v>1546</v>
      </c>
      <c r="Y873" t="s">
        <v>1547</v>
      </c>
      <c r="Z873" t="s">
        <v>58</v>
      </c>
      <c r="AA873" t="s">
        <v>59</v>
      </c>
      <c r="AB873" t="s">
        <v>60</v>
      </c>
      <c r="AC873" t="s">
        <v>61</v>
      </c>
      <c r="AD873" t="s">
        <v>49</v>
      </c>
      <c r="AE873" t="s">
        <v>49</v>
      </c>
      <c r="AF873" t="s">
        <v>49</v>
      </c>
      <c r="AG873" t="s">
        <v>49</v>
      </c>
      <c r="AH873" t="s">
        <v>48</v>
      </c>
      <c r="AI873" t="s">
        <v>48</v>
      </c>
      <c r="AJ873" t="s">
        <v>48</v>
      </c>
      <c r="AK873" t="s">
        <v>62</v>
      </c>
      <c r="AL873" t="s">
        <v>63</v>
      </c>
      <c r="AM873" t="s">
        <v>61</v>
      </c>
      <c r="AN873" t="s">
        <v>64</v>
      </c>
      <c r="AO873" t="s">
        <v>1548</v>
      </c>
      <c r="AP873">
        <v>1</v>
      </c>
      <c r="AQ873" t="s">
        <v>66</v>
      </c>
      <c r="AR873" t="s">
        <v>1549</v>
      </c>
      <c r="AS873">
        <v>2022</v>
      </c>
      <c r="AT873" t="s">
        <v>49</v>
      </c>
      <c r="AU873" t="s">
        <v>299</v>
      </c>
      <c r="AV873" t="s">
        <v>269</v>
      </c>
      <c r="AW873" t="s">
        <v>48</v>
      </c>
    </row>
    <row r="874" spans="1:49" x14ac:dyDescent="0.3">
      <c r="A874" t="s">
        <v>2362</v>
      </c>
      <c r="B874" t="s">
        <v>48</v>
      </c>
      <c r="C874" t="s">
        <v>49</v>
      </c>
      <c r="D874">
        <v>290.79000000000002</v>
      </c>
      <c r="E874">
        <v>0</v>
      </c>
      <c r="F874">
        <v>2.42</v>
      </c>
      <c r="G874" t="s">
        <v>233</v>
      </c>
      <c r="H874" t="s">
        <v>2363</v>
      </c>
      <c r="I874" t="s">
        <v>52</v>
      </c>
      <c r="J874" t="s">
        <v>71</v>
      </c>
      <c r="K874">
        <v>100000</v>
      </c>
      <c r="L874" t="s">
        <v>126</v>
      </c>
      <c r="M874">
        <f>DOWNLOAD_2kLRbPnDtawQopEJ_UKtt22ud9U57gk8mqebZIeugNk[[#This Row],[Standard Value]]</f>
        <v>100000</v>
      </c>
      <c r="N874">
        <f>-LOG(DOWNLOAD_2kLRbPnDtawQopEJ_UKtt22ud9U57gk8mqebZIeugNk[[#This Row],[IC50]]*POWER(10, -9), 10)</f>
        <v>3.9999999999999991</v>
      </c>
      <c r="P874" t="s">
        <v>48</v>
      </c>
      <c r="R874" t="s">
        <v>127</v>
      </c>
      <c r="W874">
        <v>0</v>
      </c>
      <c r="X874" t="s">
        <v>1546</v>
      </c>
      <c r="Y874" t="s">
        <v>1547</v>
      </c>
      <c r="Z874" t="s">
        <v>58</v>
      </c>
      <c r="AA874" t="s">
        <v>59</v>
      </c>
      <c r="AB874" t="s">
        <v>60</v>
      </c>
      <c r="AC874" t="s">
        <v>61</v>
      </c>
      <c r="AD874" t="s">
        <v>49</v>
      </c>
      <c r="AE874" t="s">
        <v>49</v>
      </c>
      <c r="AF874" t="s">
        <v>49</v>
      </c>
      <c r="AG874" t="s">
        <v>49</v>
      </c>
      <c r="AH874" t="s">
        <v>48</v>
      </c>
      <c r="AI874" t="s">
        <v>48</v>
      </c>
      <c r="AJ874" t="s">
        <v>48</v>
      </c>
      <c r="AK874" t="s">
        <v>62</v>
      </c>
      <c r="AL874" t="s">
        <v>63</v>
      </c>
      <c r="AM874" t="s">
        <v>61</v>
      </c>
      <c r="AN874" t="s">
        <v>64</v>
      </c>
      <c r="AO874" t="s">
        <v>1548</v>
      </c>
      <c r="AP874">
        <v>1</v>
      </c>
      <c r="AQ874" t="s">
        <v>66</v>
      </c>
      <c r="AR874" t="s">
        <v>1549</v>
      </c>
      <c r="AS874">
        <v>2022</v>
      </c>
      <c r="AT874" t="s">
        <v>49</v>
      </c>
      <c r="AU874" t="s">
        <v>299</v>
      </c>
      <c r="AV874" t="s">
        <v>48</v>
      </c>
      <c r="AW874" t="s">
        <v>48</v>
      </c>
    </row>
    <row r="875" spans="1:49" x14ac:dyDescent="0.3">
      <c r="A875" t="s">
        <v>2364</v>
      </c>
      <c r="B875" t="s">
        <v>48</v>
      </c>
      <c r="C875" t="s">
        <v>49</v>
      </c>
      <c r="D875">
        <v>396.92</v>
      </c>
      <c r="E875">
        <v>0</v>
      </c>
      <c r="F875">
        <v>4.18</v>
      </c>
      <c r="G875" t="s">
        <v>1175</v>
      </c>
      <c r="H875" t="s">
        <v>2365</v>
      </c>
      <c r="I875" t="s">
        <v>52</v>
      </c>
      <c r="J875" t="s">
        <v>53</v>
      </c>
      <c r="K875">
        <v>180000</v>
      </c>
      <c r="L875" t="s">
        <v>126</v>
      </c>
      <c r="M875">
        <f>DOWNLOAD_2kLRbPnDtawQopEJ_UKtt22ud9U57gk8mqebZIeugNk[[#This Row],[Standard Value]]</f>
        <v>180000</v>
      </c>
      <c r="N875">
        <f>-LOG(DOWNLOAD_2kLRbPnDtawQopEJ_UKtt22ud9U57gk8mqebZIeugNk[[#This Row],[IC50]]*POWER(10, -9), 10)</f>
        <v>3.7447274948966935</v>
      </c>
      <c r="P875" t="s">
        <v>72</v>
      </c>
      <c r="R875" t="s">
        <v>127</v>
      </c>
      <c r="W875">
        <v>0</v>
      </c>
      <c r="X875" t="s">
        <v>1546</v>
      </c>
      <c r="Y875" t="s">
        <v>1547</v>
      </c>
      <c r="Z875" t="s">
        <v>58</v>
      </c>
      <c r="AA875" t="s">
        <v>59</v>
      </c>
      <c r="AB875" t="s">
        <v>60</v>
      </c>
      <c r="AC875" t="s">
        <v>61</v>
      </c>
      <c r="AD875" t="s">
        <v>49</v>
      </c>
      <c r="AE875" t="s">
        <v>49</v>
      </c>
      <c r="AF875" t="s">
        <v>49</v>
      </c>
      <c r="AG875" t="s">
        <v>49</v>
      </c>
      <c r="AH875" t="s">
        <v>48</v>
      </c>
      <c r="AI875" t="s">
        <v>48</v>
      </c>
      <c r="AJ875" t="s">
        <v>48</v>
      </c>
      <c r="AK875" t="s">
        <v>62</v>
      </c>
      <c r="AL875" t="s">
        <v>63</v>
      </c>
      <c r="AM875" t="s">
        <v>61</v>
      </c>
      <c r="AN875" t="s">
        <v>64</v>
      </c>
      <c r="AO875" t="s">
        <v>1548</v>
      </c>
      <c r="AP875">
        <v>1</v>
      </c>
      <c r="AQ875" t="s">
        <v>66</v>
      </c>
      <c r="AR875" t="s">
        <v>1549</v>
      </c>
      <c r="AS875">
        <v>2022</v>
      </c>
      <c r="AT875" t="s">
        <v>49</v>
      </c>
      <c r="AU875" t="s">
        <v>299</v>
      </c>
      <c r="AV875" t="s">
        <v>269</v>
      </c>
      <c r="AW875" t="s">
        <v>48</v>
      </c>
    </row>
    <row r="876" spans="1:49" x14ac:dyDescent="0.3">
      <c r="A876" t="s">
        <v>2366</v>
      </c>
      <c r="B876" t="s">
        <v>48</v>
      </c>
      <c r="C876" t="s">
        <v>49</v>
      </c>
      <c r="D876">
        <v>627.05999999999995</v>
      </c>
      <c r="E876">
        <v>1</v>
      </c>
      <c r="F876">
        <v>4.24</v>
      </c>
      <c r="G876" t="s">
        <v>410</v>
      </c>
      <c r="H876" t="s">
        <v>2367</v>
      </c>
      <c r="I876" t="s">
        <v>52</v>
      </c>
      <c r="J876" t="s">
        <v>53</v>
      </c>
      <c r="K876">
        <v>13000</v>
      </c>
      <c r="L876" t="s">
        <v>126</v>
      </c>
      <c r="M876">
        <f>DOWNLOAD_2kLRbPnDtawQopEJ_UKtt22ud9U57gk8mqebZIeugNk[[#This Row],[Standard Value]]</f>
        <v>13000</v>
      </c>
      <c r="N876">
        <f>-LOG(DOWNLOAD_2kLRbPnDtawQopEJ_UKtt22ud9U57gk8mqebZIeugNk[[#This Row],[IC50]]*POWER(10, -9), 10)</f>
        <v>4.8860566476931631</v>
      </c>
      <c r="O876">
        <v>4.8899999999999997</v>
      </c>
      <c r="P876" t="s">
        <v>48</v>
      </c>
      <c r="R876" t="s">
        <v>127</v>
      </c>
      <c r="S876">
        <v>7.79</v>
      </c>
      <c r="T876">
        <v>0.16</v>
      </c>
      <c r="U876">
        <v>0.65</v>
      </c>
      <c r="V876">
        <v>3.01</v>
      </c>
      <c r="W876">
        <v>0</v>
      </c>
      <c r="X876" t="s">
        <v>1497</v>
      </c>
      <c r="Y876" t="s">
        <v>1498</v>
      </c>
      <c r="Z876" t="s">
        <v>58</v>
      </c>
      <c r="AA876" t="s">
        <v>59</v>
      </c>
      <c r="AB876" t="s">
        <v>60</v>
      </c>
      <c r="AC876" t="s">
        <v>61</v>
      </c>
      <c r="AD876" t="s">
        <v>49</v>
      </c>
      <c r="AE876" t="s">
        <v>49</v>
      </c>
      <c r="AF876" t="s">
        <v>49</v>
      </c>
      <c r="AG876" t="s">
        <v>49</v>
      </c>
      <c r="AH876" t="s">
        <v>48</v>
      </c>
      <c r="AI876" t="s">
        <v>48</v>
      </c>
      <c r="AJ876" t="s">
        <v>48</v>
      </c>
      <c r="AK876" t="s">
        <v>62</v>
      </c>
      <c r="AL876" t="s">
        <v>63</v>
      </c>
      <c r="AM876" t="s">
        <v>61</v>
      </c>
      <c r="AN876" t="s">
        <v>64</v>
      </c>
      <c r="AO876" t="s">
        <v>1499</v>
      </c>
      <c r="AP876">
        <v>1</v>
      </c>
      <c r="AQ876" t="s">
        <v>66</v>
      </c>
      <c r="AR876" t="s">
        <v>131</v>
      </c>
      <c r="AS876">
        <v>2022</v>
      </c>
      <c r="AT876" t="s">
        <v>49</v>
      </c>
      <c r="AU876" t="s">
        <v>299</v>
      </c>
      <c r="AV876" t="s">
        <v>269</v>
      </c>
      <c r="AW876" t="s">
        <v>48</v>
      </c>
    </row>
    <row r="877" spans="1:49" x14ac:dyDescent="0.3">
      <c r="A877" t="s">
        <v>2368</v>
      </c>
      <c r="B877" t="s">
        <v>48</v>
      </c>
      <c r="C877" t="s">
        <v>49</v>
      </c>
      <c r="D877">
        <v>638.67999999999995</v>
      </c>
      <c r="E877">
        <v>1</v>
      </c>
      <c r="F877">
        <v>3.42</v>
      </c>
      <c r="G877" t="s">
        <v>1191</v>
      </c>
      <c r="H877" t="s">
        <v>2369</v>
      </c>
      <c r="I877" t="s">
        <v>52</v>
      </c>
      <c r="J877" t="s">
        <v>53</v>
      </c>
      <c r="K877">
        <v>1270</v>
      </c>
      <c r="L877" t="s">
        <v>126</v>
      </c>
      <c r="M877">
        <f>DOWNLOAD_2kLRbPnDtawQopEJ_UKtt22ud9U57gk8mqebZIeugNk[[#This Row],[Standard Value]]</f>
        <v>1270</v>
      </c>
      <c r="N877">
        <f>-LOG(DOWNLOAD_2kLRbPnDtawQopEJ_UKtt22ud9U57gk8mqebZIeugNk[[#This Row],[IC50]]*POWER(10, -9), 10)</f>
        <v>5.8961962790440428</v>
      </c>
      <c r="O877">
        <v>5.9</v>
      </c>
      <c r="P877" t="s">
        <v>48</v>
      </c>
      <c r="R877" t="s">
        <v>127</v>
      </c>
      <c r="S877">
        <v>9.23</v>
      </c>
      <c r="T877">
        <v>0.18</v>
      </c>
      <c r="U877">
        <v>2.48</v>
      </c>
      <c r="V877">
        <v>3.53</v>
      </c>
      <c r="W877">
        <v>0</v>
      </c>
      <c r="X877" t="s">
        <v>1497</v>
      </c>
      <c r="Y877" t="s">
        <v>1498</v>
      </c>
      <c r="Z877" t="s">
        <v>58</v>
      </c>
      <c r="AA877" t="s">
        <v>59</v>
      </c>
      <c r="AB877" t="s">
        <v>60</v>
      </c>
      <c r="AC877" t="s">
        <v>61</v>
      </c>
      <c r="AD877" t="s">
        <v>49</v>
      </c>
      <c r="AE877" t="s">
        <v>49</v>
      </c>
      <c r="AF877" t="s">
        <v>49</v>
      </c>
      <c r="AG877" t="s">
        <v>49</v>
      </c>
      <c r="AH877" t="s">
        <v>48</v>
      </c>
      <c r="AI877" t="s">
        <v>48</v>
      </c>
      <c r="AJ877" t="s">
        <v>48</v>
      </c>
      <c r="AK877" t="s">
        <v>62</v>
      </c>
      <c r="AL877" t="s">
        <v>63</v>
      </c>
      <c r="AM877" t="s">
        <v>61</v>
      </c>
      <c r="AN877" t="s">
        <v>64</v>
      </c>
      <c r="AO877" t="s">
        <v>1499</v>
      </c>
      <c r="AP877">
        <v>1</v>
      </c>
      <c r="AQ877" t="s">
        <v>66</v>
      </c>
      <c r="AR877" t="s">
        <v>131</v>
      </c>
      <c r="AS877">
        <v>2022</v>
      </c>
      <c r="AT877" t="s">
        <v>49</v>
      </c>
      <c r="AU877" t="s">
        <v>299</v>
      </c>
      <c r="AV877" t="s">
        <v>269</v>
      </c>
      <c r="AW877" t="s">
        <v>48</v>
      </c>
    </row>
    <row r="878" spans="1:49" x14ac:dyDescent="0.3">
      <c r="A878" t="s">
        <v>2370</v>
      </c>
      <c r="B878" t="s">
        <v>48</v>
      </c>
      <c r="C878" t="s">
        <v>49</v>
      </c>
      <c r="D878">
        <v>516.20000000000005</v>
      </c>
      <c r="E878">
        <v>1</v>
      </c>
      <c r="F878">
        <v>4.79</v>
      </c>
      <c r="G878" t="s">
        <v>2371</v>
      </c>
      <c r="H878" t="s">
        <v>2372</v>
      </c>
      <c r="I878" t="s">
        <v>52</v>
      </c>
      <c r="J878" t="s">
        <v>53</v>
      </c>
      <c r="K878">
        <v>3.21</v>
      </c>
      <c r="L878" t="s">
        <v>54</v>
      </c>
      <c r="M878">
        <f>DOWNLOAD_2kLRbPnDtawQopEJ_UKtt22ud9U57gk8mqebZIeugNk[[#This Row],[Standard Value]]/DOWNLOAD_2kLRbPnDtawQopEJ_UKtt22ud9U57gk8mqebZIeugNk[[#This Row],[Molecular Weight]]*1000*1000</f>
        <v>6218.519953506393</v>
      </c>
      <c r="N878">
        <f>-LOG(DOWNLOAD_2kLRbPnDtawQopEJ_UKtt22ud9U57gk8mqebZIeugNk[[#This Row],[IC50]]*POWER(10, -9), 10)</f>
        <v>5.2063129678029769</v>
      </c>
      <c r="P878" t="s">
        <v>48</v>
      </c>
      <c r="R878" t="s">
        <v>55</v>
      </c>
      <c r="W878">
        <v>0</v>
      </c>
      <c r="X878" t="s">
        <v>2373</v>
      </c>
      <c r="Y878" t="s">
        <v>2374</v>
      </c>
      <c r="Z878" t="s">
        <v>58</v>
      </c>
      <c r="AA878" t="s">
        <v>59</v>
      </c>
      <c r="AB878" t="s">
        <v>60</v>
      </c>
      <c r="AC878" t="s">
        <v>61</v>
      </c>
      <c r="AD878" t="s">
        <v>49</v>
      </c>
      <c r="AE878" t="s">
        <v>49</v>
      </c>
      <c r="AF878" t="s">
        <v>49</v>
      </c>
      <c r="AG878" t="s">
        <v>49</v>
      </c>
      <c r="AH878" t="s">
        <v>48</v>
      </c>
      <c r="AI878" t="s">
        <v>48</v>
      </c>
      <c r="AJ878" t="s">
        <v>48</v>
      </c>
      <c r="AK878" t="s">
        <v>62</v>
      </c>
      <c r="AL878" t="s">
        <v>63</v>
      </c>
      <c r="AM878" t="s">
        <v>61</v>
      </c>
      <c r="AN878" t="s">
        <v>64</v>
      </c>
      <c r="AO878" t="s">
        <v>2375</v>
      </c>
      <c r="AP878">
        <v>1</v>
      </c>
      <c r="AQ878" t="s">
        <v>66</v>
      </c>
      <c r="AR878" t="s">
        <v>131</v>
      </c>
      <c r="AS878">
        <v>2020</v>
      </c>
      <c r="AT878" t="s">
        <v>49</v>
      </c>
      <c r="AU878" t="s">
        <v>48</v>
      </c>
      <c r="AV878" t="s">
        <v>269</v>
      </c>
      <c r="AW878" t="s">
        <v>48</v>
      </c>
    </row>
    <row r="879" spans="1:49" x14ac:dyDescent="0.3">
      <c r="A879" t="s">
        <v>2376</v>
      </c>
      <c r="B879" t="s">
        <v>48</v>
      </c>
      <c r="C879" t="s">
        <v>49</v>
      </c>
      <c r="D879">
        <v>469.35</v>
      </c>
      <c r="E879">
        <v>0</v>
      </c>
      <c r="F879">
        <v>4.42</v>
      </c>
      <c r="G879" t="s">
        <v>1416</v>
      </c>
      <c r="H879" t="s">
        <v>2377</v>
      </c>
      <c r="I879" t="s">
        <v>52</v>
      </c>
      <c r="J879" t="s">
        <v>295</v>
      </c>
      <c r="K879">
        <v>10</v>
      </c>
      <c r="L879" t="s">
        <v>126</v>
      </c>
      <c r="M879">
        <f>DOWNLOAD_2kLRbPnDtawQopEJ_UKtt22ud9U57gk8mqebZIeugNk[[#This Row],[Standard Value]]</f>
        <v>10</v>
      </c>
      <c r="N879">
        <f>-LOG(DOWNLOAD_2kLRbPnDtawQopEJ_UKtt22ud9U57gk8mqebZIeugNk[[#This Row],[IC50]]*POWER(10, -9), 10)</f>
        <v>8</v>
      </c>
      <c r="P879" t="s">
        <v>48</v>
      </c>
      <c r="R879" t="s">
        <v>127</v>
      </c>
      <c r="W879">
        <v>0</v>
      </c>
      <c r="X879" t="s">
        <v>2378</v>
      </c>
      <c r="Y879" t="s">
        <v>2379</v>
      </c>
      <c r="Z879" t="s">
        <v>58</v>
      </c>
      <c r="AA879" t="s">
        <v>59</v>
      </c>
      <c r="AB879" t="s">
        <v>60</v>
      </c>
      <c r="AC879" t="s">
        <v>61</v>
      </c>
      <c r="AD879" t="s">
        <v>49</v>
      </c>
      <c r="AE879" t="s">
        <v>49</v>
      </c>
      <c r="AF879" t="s">
        <v>49</v>
      </c>
      <c r="AG879" t="s">
        <v>49</v>
      </c>
      <c r="AH879" t="s">
        <v>48</v>
      </c>
      <c r="AI879" t="s">
        <v>48</v>
      </c>
      <c r="AJ879" t="s">
        <v>48</v>
      </c>
      <c r="AK879" t="s">
        <v>62</v>
      </c>
      <c r="AL879" t="s">
        <v>63</v>
      </c>
      <c r="AM879" t="s">
        <v>61</v>
      </c>
      <c r="AN879" t="s">
        <v>64</v>
      </c>
      <c r="AO879" t="s">
        <v>2380</v>
      </c>
      <c r="AP879">
        <v>1</v>
      </c>
      <c r="AQ879" t="s">
        <v>66</v>
      </c>
      <c r="AR879" t="s">
        <v>67</v>
      </c>
      <c r="AS879">
        <v>2023</v>
      </c>
      <c r="AT879" t="s">
        <v>49</v>
      </c>
      <c r="AU879" t="s">
        <v>48</v>
      </c>
      <c r="AV879" t="s">
        <v>269</v>
      </c>
      <c r="AW879" t="s">
        <v>48</v>
      </c>
    </row>
    <row r="880" spans="1:49" x14ac:dyDescent="0.3">
      <c r="A880" t="s">
        <v>2381</v>
      </c>
      <c r="B880" t="s">
        <v>48</v>
      </c>
      <c r="C880" t="s">
        <v>49</v>
      </c>
      <c r="D880">
        <v>469.35</v>
      </c>
      <c r="E880">
        <v>0</v>
      </c>
      <c r="F880">
        <v>4.42</v>
      </c>
      <c r="G880" t="s">
        <v>1540</v>
      </c>
      <c r="H880" t="s">
        <v>2382</v>
      </c>
      <c r="I880" t="s">
        <v>52</v>
      </c>
      <c r="J880" t="s">
        <v>53</v>
      </c>
      <c r="K880">
        <v>17</v>
      </c>
      <c r="L880" t="s">
        <v>126</v>
      </c>
      <c r="M880">
        <f>DOWNLOAD_2kLRbPnDtawQopEJ_UKtt22ud9U57gk8mqebZIeugNk[[#This Row],[Standard Value]]</f>
        <v>17</v>
      </c>
      <c r="N880">
        <f>-LOG(DOWNLOAD_2kLRbPnDtawQopEJ_UKtt22ud9U57gk8mqebZIeugNk[[#This Row],[IC50]]*POWER(10, -9), 10)</f>
        <v>7.769551078621725</v>
      </c>
      <c r="O880">
        <v>7.77</v>
      </c>
      <c r="P880" t="s">
        <v>48</v>
      </c>
      <c r="R880" t="s">
        <v>127</v>
      </c>
      <c r="S880">
        <v>16.55</v>
      </c>
      <c r="T880">
        <v>0.35</v>
      </c>
      <c r="U880">
        <v>3.35</v>
      </c>
      <c r="V880">
        <v>7.22</v>
      </c>
      <c r="W880">
        <v>0</v>
      </c>
      <c r="X880" t="s">
        <v>2378</v>
      </c>
      <c r="Y880" t="s">
        <v>2379</v>
      </c>
      <c r="Z880" t="s">
        <v>58</v>
      </c>
      <c r="AA880" t="s">
        <v>59</v>
      </c>
      <c r="AB880" t="s">
        <v>60</v>
      </c>
      <c r="AC880" t="s">
        <v>61</v>
      </c>
      <c r="AD880" t="s">
        <v>49</v>
      </c>
      <c r="AE880" t="s">
        <v>49</v>
      </c>
      <c r="AF880" t="s">
        <v>49</v>
      </c>
      <c r="AG880" t="s">
        <v>49</v>
      </c>
      <c r="AH880" t="s">
        <v>48</v>
      </c>
      <c r="AI880" t="s">
        <v>48</v>
      </c>
      <c r="AJ880" t="s">
        <v>48</v>
      </c>
      <c r="AK880" t="s">
        <v>62</v>
      </c>
      <c r="AL880" t="s">
        <v>63</v>
      </c>
      <c r="AM880" t="s">
        <v>61</v>
      </c>
      <c r="AN880" t="s">
        <v>64</v>
      </c>
      <c r="AO880" t="s">
        <v>2380</v>
      </c>
      <c r="AP880">
        <v>1</v>
      </c>
      <c r="AQ880" t="s">
        <v>66</v>
      </c>
      <c r="AR880" t="s">
        <v>67</v>
      </c>
      <c r="AS880">
        <v>2023</v>
      </c>
      <c r="AT880" t="s">
        <v>49</v>
      </c>
      <c r="AU880" t="s">
        <v>48</v>
      </c>
      <c r="AV880" t="s">
        <v>269</v>
      </c>
      <c r="AW880" t="s">
        <v>48</v>
      </c>
    </row>
    <row r="881" spans="1:49" x14ac:dyDescent="0.3">
      <c r="A881" t="s">
        <v>2383</v>
      </c>
      <c r="B881" t="s">
        <v>48</v>
      </c>
      <c r="C881" t="s">
        <v>49</v>
      </c>
      <c r="D881">
        <v>524.54999999999995</v>
      </c>
      <c r="E881">
        <v>1</v>
      </c>
      <c r="F881">
        <v>3.88</v>
      </c>
      <c r="G881" t="s">
        <v>331</v>
      </c>
      <c r="H881" t="s">
        <v>2384</v>
      </c>
      <c r="I881" t="s">
        <v>52</v>
      </c>
      <c r="J881" t="s">
        <v>53</v>
      </c>
      <c r="K881">
        <v>0.56999999999999995</v>
      </c>
      <c r="L881" t="s">
        <v>126</v>
      </c>
      <c r="M881">
        <f>DOWNLOAD_2kLRbPnDtawQopEJ_UKtt22ud9U57gk8mqebZIeugNk[[#This Row],[Standard Value]]</f>
        <v>0.56999999999999995</v>
      </c>
      <c r="N881">
        <f>-LOG(DOWNLOAD_2kLRbPnDtawQopEJ_UKtt22ud9U57gk8mqebZIeugNk[[#This Row],[IC50]]*POWER(10, -9), 10)</f>
        <v>9.2441251443275068</v>
      </c>
      <c r="O881">
        <v>9.24</v>
      </c>
      <c r="P881" t="s">
        <v>48</v>
      </c>
      <c r="R881" t="s">
        <v>127</v>
      </c>
      <c r="S881">
        <v>17.62</v>
      </c>
      <c r="T881">
        <v>0.33</v>
      </c>
      <c r="U881">
        <v>5.36</v>
      </c>
      <c r="V881">
        <v>6.09</v>
      </c>
      <c r="W881">
        <v>0</v>
      </c>
      <c r="X881" t="s">
        <v>264</v>
      </c>
      <c r="Y881" t="s">
        <v>265</v>
      </c>
      <c r="Z881" t="s">
        <v>58</v>
      </c>
      <c r="AA881" t="s">
        <v>59</v>
      </c>
      <c r="AB881" t="s">
        <v>60</v>
      </c>
      <c r="AC881" t="s">
        <v>61</v>
      </c>
      <c r="AD881" t="s">
        <v>49</v>
      </c>
      <c r="AE881" t="s">
        <v>49</v>
      </c>
      <c r="AF881" t="s">
        <v>49</v>
      </c>
      <c r="AG881" t="s">
        <v>49</v>
      </c>
      <c r="AH881" t="s">
        <v>48</v>
      </c>
      <c r="AI881" t="s">
        <v>48</v>
      </c>
      <c r="AJ881" t="s">
        <v>48</v>
      </c>
      <c r="AK881" t="s">
        <v>62</v>
      </c>
      <c r="AL881" t="s">
        <v>63</v>
      </c>
      <c r="AM881" t="s">
        <v>61</v>
      </c>
      <c r="AN881" t="s">
        <v>64</v>
      </c>
      <c r="AO881" t="s">
        <v>266</v>
      </c>
      <c r="AP881">
        <v>1</v>
      </c>
      <c r="AQ881" t="s">
        <v>66</v>
      </c>
      <c r="AR881" t="s">
        <v>267</v>
      </c>
      <c r="AS881">
        <v>2020</v>
      </c>
      <c r="AT881" t="s">
        <v>49</v>
      </c>
      <c r="AU881" t="s">
        <v>268</v>
      </c>
      <c r="AV881" t="s">
        <v>269</v>
      </c>
      <c r="AW881" t="s">
        <v>48</v>
      </c>
    </row>
    <row r="882" spans="1:49" x14ac:dyDescent="0.3">
      <c r="A882" t="s">
        <v>2385</v>
      </c>
      <c r="B882" t="s">
        <v>48</v>
      </c>
      <c r="C882" t="s">
        <v>49</v>
      </c>
      <c r="D882">
        <v>481.36</v>
      </c>
      <c r="E882">
        <v>0</v>
      </c>
      <c r="F882">
        <v>4.5599999999999996</v>
      </c>
      <c r="G882" t="s">
        <v>2386</v>
      </c>
      <c r="H882" t="s">
        <v>2387</v>
      </c>
      <c r="I882" t="s">
        <v>52</v>
      </c>
      <c r="J882" t="s">
        <v>295</v>
      </c>
      <c r="K882">
        <v>10</v>
      </c>
      <c r="L882" t="s">
        <v>126</v>
      </c>
      <c r="M882">
        <f>DOWNLOAD_2kLRbPnDtawQopEJ_UKtt22ud9U57gk8mqebZIeugNk[[#This Row],[Standard Value]]</f>
        <v>10</v>
      </c>
      <c r="N882">
        <f>-LOG(DOWNLOAD_2kLRbPnDtawQopEJ_UKtt22ud9U57gk8mqebZIeugNk[[#This Row],[IC50]]*POWER(10, -9), 10)</f>
        <v>8</v>
      </c>
      <c r="P882" t="s">
        <v>48</v>
      </c>
      <c r="R882" t="s">
        <v>127</v>
      </c>
      <c r="W882">
        <v>0</v>
      </c>
      <c r="X882" t="s">
        <v>2378</v>
      </c>
      <c r="Y882" t="s">
        <v>2379</v>
      </c>
      <c r="Z882" t="s">
        <v>58</v>
      </c>
      <c r="AA882" t="s">
        <v>59</v>
      </c>
      <c r="AB882" t="s">
        <v>60</v>
      </c>
      <c r="AC882" t="s">
        <v>61</v>
      </c>
      <c r="AD882" t="s">
        <v>49</v>
      </c>
      <c r="AE882" t="s">
        <v>49</v>
      </c>
      <c r="AF882" t="s">
        <v>49</v>
      </c>
      <c r="AG882" t="s">
        <v>49</v>
      </c>
      <c r="AH882" t="s">
        <v>48</v>
      </c>
      <c r="AI882" t="s">
        <v>48</v>
      </c>
      <c r="AJ882" t="s">
        <v>48</v>
      </c>
      <c r="AK882" t="s">
        <v>62</v>
      </c>
      <c r="AL882" t="s">
        <v>63</v>
      </c>
      <c r="AM882" t="s">
        <v>61</v>
      </c>
      <c r="AN882" t="s">
        <v>64</v>
      </c>
      <c r="AO882" t="s">
        <v>2380</v>
      </c>
      <c r="AP882">
        <v>1</v>
      </c>
      <c r="AQ882" t="s">
        <v>66</v>
      </c>
      <c r="AR882" t="s">
        <v>67</v>
      </c>
      <c r="AS882">
        <v>2023</v>
      </c>
      <c r="AT882" t="s">
        <v>49</v>
      </c>
      <c r="AU882" t="s">
        <v>48</v>
      </c>
      <c r="AV882" t="s">
        <v>269</v>
      </c>
      <c r="AW882" t="s">
        <v>48</v>
      </c>
    </row>
    <row r="883" spans="1:49" x14ac:dyDescent="0.3">
      <c r="A883" t="s">
        <v>2388</v>
      </c>
      <c r="B883" t="s">
        <v>48</v>
      </c>
      <c r="C883" t="s">
        <v>49</v>
      </c>
      <c r="D883">
        <v>528.57000000000005</v>
      </c>
      <c r="E883">
        <v>1</v>
      </c>
      <c r="F883">
        <v>1.74</v>
      </c>
      <c r="G883" t="s">
        <v>1319</v>
      </c>
      <c r="H883" t="s">
        <v>2389</v>
      </c>
      <c r="I883" t="s">
        <v>52</v>
      </c>
      <c r="J883" t="s">
        <v>53</v>
      </c>
      <c r="K883">
        <v>5717</v>
      </c>
      <c r="L883" t="s">
        <v>126</v>
      </c>
      <c r="M883">
        <f>DOWNLOAD_2kLRbPnDtawQopEJ_UKtt22ud9U57gk8mqebZIeugNk[[#This Row],[Standard Value]]</f>
        <v>5717</v>
      </c>
      <c r="N883">
        <f>-LOG(DOWNLOAD_2kLRbPnDtawQopEJ_UKtt22ud9U57gk8mqebZIeugNk[[#This Row],[IC50]]*POWER(10, -9), 10)</f>
        <v>5.242831807785727</v>
      </c>
      <c r="O883">
        <v>5.24</v>
      </c>
      <c r="P883" t="s">
        <v>48</v>
      </c>
      <c r="R883" t="s">
        <v>127</v>
      </c>
      <c r="S883">
        <v>9.92</v>
      </c>
      <c r="T883">
        <v>0.19</v>
      </c>
      <c r="U883">
        <v>3.5</v>
      </c>
      <c r="V883">
        <v>3.73</v>
      </c>
      <c r="W883">
        <v>0</v>
      </c>
      <c r="X883" t="s">
        <v>2066</v>
      </c>
      <c r="Y883" t="s">
        <v>2067</v>
      </c>
      <c r="Z883" t="s">
        <v>58</v>
      </c>
      <c r="AA883" t="s">
        <v>59</v>
      </c>
      <c r="AB883" t="s">
        <v>60</v>
      </c>
      <c r="AC883" t="s">
        <v>61</v>
      </c>
      <c r="AD883" t="s">
        <v>49</v>
      </c>
      <c r="AE883" t="s">
        <v>49</v>
      </c>
      <c r="AF883" t="s">
        <v>49</v>
      </c>
      <c r="AG883" t="s">
        <v>49</v>
      </c>
      <c r="AH883" t="s">
        <v>48</v>
      </c>
      <c r="AI883" t="s">
        <v>48</v>
      </c>
      <c r="AJ883" t="s">
        <v>48</v>
      </c>
      <c r="AK883" t="s">
        <v>62</v>
      </c>
      <c r="AL883" t="s">
        <v>63</v>
      </c>
      <c r="AM883" t="s">
        <v>61</v>
      </c>
      <c r="AN883" t="s">
        <v>64</v>
      </c>
      <c r="AO883" t="s">
        <v>2068</v>
      </c>
      <c r="AP883">
        <v>1</v>
      </c>
      <c r="AQ883" t="s">
        <v>66</v>
      </c>
      <c r="AR883" t="s">
        <v>267</v>
      </c>
      <c r="AS883">
        <v>2022</v>
      </c>
      <c r="AT883" t="s">
        <v>49</v>
      </c>
      <c r="AU883" t="s">
        <v>2069</v>
      </c>
      <c r="AV883" t="s">
        <v>269</v>
      </c>
      <c r="AW883" t="s">
        <v>48</v>
      </c>
    </row>
    <row r="884" spans="1:49" x14ac:dyDescent="0.3">
      <c r="A884" t="s">
        <v>679</v>
      </c>
      <c r="B884" t="s">
        <v>48</v>
      </c>
      <c r="C884" t="s">
        <v>49</v>
      </c>
      <c r="D884">
        <v>337.34</v>
      </c>
      <c r="E884">
        <v>0</v>
      </c>
      <c r="F884">
        <v>2.52</v>
      </c>
      <c r="G884" t="s">
        <v>2390</v>
      </c>
      <c r="H884" t="s">
        <v>680</v>
      </c>
      <c r="I884" t="s">
        <v>52</v>
      </c>
      <c r="J884" t="s">
        <v>53</v>
      </c>
      <c r="K884">
        <v>1.7</v>
      </c>
      <c r="L884" t="s">
        <v>126</v>
      </c>
      <c r="M884">
        <f>DOWNLOAD_2kLRbPnDtawQopEJ_UKtt22ud9U57gk8mqebZIeugNk[[#This Row],[Standard Value]]</f>
        <v>1.7</v>
      </c>
      <c r="N884">
        <f>-LOG(DOWNLOAD_2kLRbPnDtawQopEJ_UKtt22ud9U57gk8mqebZIeugNk[[#This Row],[IC50]]*POWER(10, -9), 10)</f>
        <v>8.7695510786217259</v>
      </c>
      <c r="O884">
        <v>8.77</v>
      </c>
      <c r="P884" t="s">
        <v>48</v>
      </c>
      <c r="R884" t="s">
        <v>127</v>
      </c>
      <c r="S884">
        <v>26</v>
      </c>
      <c r="T884">
        <v>0.48</v>
      </c>
      <c r="U884">
        <v>6.25</v>
      </c>
      <c r="V884">
        <v>7.88</v>
      </c>
      <c r="W884">
        <v>1</v>
      </c>
      <c r="X884" t="s">
        <v>2391</v>
      </c>
      <c r="Y884" t="s">
        <v>2392</v>
      </c>
      <c r="Z884" t="s">
        <v>58</v>
      </c>
      <c r="AA884" t="s">
        <v>59</v>
      </c>
      <c r="AB884" t="s">
        <v>60</v>
      </c>
      <c r="AC884" t="s">
        <v>61</v>
      </c>
      <c r="AD884" t="s">
        <v>49</v>
      </c>
      <c r="AE884" t="s">
        <v>49</v>
      </c>
      <c r="AF884" t="s">
        <v>49</v>
      </c>
      <c r="AG884" t="s">
        <v>49</v>
      </c>
      <c r="AH884" t="s">
        <v>48</v>
      </c>
      <c r="AI884" t="s">
        <v>48</v>
      </c>
      <c r="AJ884" t="s">
        <v>48</v>
      </c>
      <c r="AK884" t="s">
        <v>62</v>
      </c>
      <c r="AL884" t="s">
        <v>63</v>
      </c>
      <c r="AM884" t="s">
        <v>61</v>
      </c>
      <c r="AN884" t="s">
        <v>64</v>
      </c>
      <c r="AO884" t="s">
        <v>2393</v>
      </c>
      <c r="AP884">
        <v>1</v>
      </c>
      <c r="AQ884" t="s">
        <v>66</v>
      </c>
      <c r="AR884" t="s">
        <v>67</v>
      </c>
      <c r="AS884">
        <v>2022</v>
      </c>
      <c r="AT884" t="s">
        <v>49</v>
      </c>
      <c r="AU884" t="s">
        <v>48</v>
      </c>
      <c r="AV884" t="s">
        <v>269</v>
      </c>
      <c r="AW884" t="s">
        <v>48</v>
      </c>
    </row>
    <row r="885" spans="1:49" x14ac:dyDescent="0.3">
      <c r="A885" t="s">
        <v>2394</v>
      </c>
      <c r="B885" t="s">
        <v>48</v>
      </c>
      <c r="C885" t="s">
        <v>49</v>
      </c>
      <c r="D885">
        <v>580.53</v>
      </c>
      <c r="E885">
        <v>0</v>
      </c>
      <c r="F885">
        <v>4.08</v>
      </c>
      <c r="G885" t="s">
        <v>482</v>
      </c>
      <c r="H885" t="s">
        <v>2395</v>
      </c>
      <c r="I885" t="s">
        <v>52</v>
      </c>
      <c r="J885" t="s">
        <v>53</v>
      </c>
      <c r="K885">
        <v>0.26</v>
      </c>
      <c r="L885" t="s">
        <v>126</v>
      </c>
      <c r="M885">
        <f>DOWNLOAD_2kLRbPnDtawQopEJ_UKtt22ud9U57gk8mqebZIeugNk[[#This Row],[Standard Value]]</f>
        <v>0.26</v>
      </c>
      <c r="N885">
        <f>-LOG(DOWNLOAD_2kLRbPnDtawQopEJ_UKtt22ud9U57gk8mqebZIeugNk[[#This Row],[IC50]]*POWER(10, -9), 10)</f>
        <v>9.5850266520291818</v>
      </c>
      <c r="O885">
        <v>9.59</v>
      </c>
      <c r="P885" t="s">
        <v>48</v>
      </c>
      <c r="R885" t="s">
        <v>127</v>
      </c>
      <c r="S885">
        <v>20.55</v>
      </c>
      <c r="T885">
        <v>0.39</v>
      </c>
      <c r="U885">
        <v>5.51</v>
      </c>
      <c r="V885">
        <v>7.77</v>
      </c>
      <c r="W885">
        <v>0</v>
      </c>
      <c r="X885" t="s">
        <v>264</v>
      </c>
      <c r="Y885" t="s">
        <v>265</v>
      </c>
      <c r="Z885" t="s">
        <v>58</v>
      </c>
      <c r="AA885" t="s">
        <v>59</v>
      </c>
      <c r="AB885" t="s">
        <v>60</v>
      </c>
      <c r="AC885" t="s">
        <v>61</v>
      </c>
      <c r="AD885" t="s">
        <v>49</v>
      </c>
      <c r="AE885" t="s">
        <v>49</v>
      </c>
      <c r="AF885" t="s">
        <v>49</v>
      </c>
      <c r="AG885" t="s">
        <v>49</v>
      </c>
      <c r="AH885" t="s">
        <v>48</v>
      </c>
      <c r="AI885" t="s">
        <v>48</v>
      </c>
      <c r="AJ885" t="s">
        <v>48</v>
      </c>
      <c r="AK885" t="s">
        <v>62</v>
      </c>
      <c r="AL885" t="s">
        <v>63</v>
      </c>
      <c r="AM885" t="s">
        <v>61</v>
      </c>
      <c r="AN885" t="s">
        <v>64</v>
      </c>
      <c r="AO885" t="s">
        <v>266</v>
      </c>
      <c r="AP885">
        <v>1</v>
      </c>
      <c r="AQ885" t="s">
        <v>66</v>
      </c>
      <c r="AR885" t="s">
        <v>267</v>
      </c>
      <c r="AS885">
        <v>2020</v>
      </c>
      <c r="AT885" t="s">
        <v>49</v>
      </c>
      <c r="AU885" t="s">
        <v>268</v>
      </c>
      <c r="AV885" t="s">
        <v>269</v>
      </c>
      <c r="AW885" t="s">
        <v>48</v>
      </c>
    </row>
    <row r="886" spans="1:49" x14ac:dyDescent="0.3">
      <c r="A886" t="s">
        <v>2396</v>
      </c>
      <c r="B886" t="s">
        <v>48</v>
      </c>
      <c r="C886" t="s">
        <v>49</v>
      </c>
      <c r="D886">
        <v>374.4</v>
      </c>
      <c r="E886">
        <v>0</v>
      </c>
      <c r="F886">
        <v>2.76</v>
      </c>
      <c r="G886" t="s">
        <v>482</v>
      </c>
      <c r="H886" t="s">
        <v>2397</v>
      </c>
      <c r="I886" t="s">
        <v>52</v>
      </c>
      <c r="J886" t="s">
        <v>53</v>
      </c>
      <c r="K886">
        <v>3.89</v>
      </c>
      <c r="L886" t="s">
        <v>54</v>
      </c>
      <c r="M886">
        <f>DOWNLOAD_2kLRbPnDtawQopEJ_UKtt22ud9U57gk8mqebZIeugNk[[#This Row],[Standard Value]]/DOWNLOAD_2kLRbPnDtawQopEJ_UKtt22ud9U57gk8mqebZIeugNk[[#This Row],[Molecular Weight]]*1000*1000</f>
        <v>10389.957264957266</v>
      </c>
      <c r="N886">
        <f>-LOG(DOWNLOAD_2kLRbPnDtawQopEJ_UKtt22ud9U57gk8mqebZIeugNk[[#This Row],[IC50]]*POWER(10, -9), 10)</f>
        <v>4.9833862387403594</v>
      </c>
      <c r="P886" t="s">
        <v>48</v>
      </c>
      <c r="R886" t="s">
        <v>55</v>
      </c>
      <c r="W886">
        <v>0</v>
      </c>
      <c r="X886" t="s">
        <v>877</v>
      </c>
      <c r="Y886" t="s">
        <v>878</v>
      </c>
      <c r="Z886" t="s">
        <v>58</v>
      </c>
      <c r="AA886" t="s">
        <v>59</v>
      </c>
      <c r="AB886" t="s">
        <v>60</v>
      </c>
      <c r="AC886" t="s">
        <v>61</v>
      </c>
      <c r="AD886" t="s">
        <v>49</v>
      </c>
      <c r="AE886" t="s">
        <v>49</v>
      </c>
      <c r="AF886" t="s">
        <v>49</v>
      </c>
      <c r="AG886" t="s">
        <v>49</v>
      </c>
      <c r="AH886" t="s">
        <v>48</v>
      </c>
      <c r="AI886" t="s">
        <v>48</v>
      </c>
      <c r="AJ886" t="s">
        <v>48</v>
      </c>
      <c r="AK886" t="s">
        <v>62</v>
      </c>
      <c r="AL886" t="s">
        <v>63</v>
      </c>
      <c r="AM886" t="s">
        <v>61</v>
      </c>
      <c r="AN886" t="s">
        <v>64</v>
      </c>
      <c r="AO886" t="s">
        <v>879</v>
      </c>
      <c r="AP886">
        <v>1</v>
      </c>
      <c r="AQ886" t="s">
        <v>66</v>
      </c>
      <c r="AR886" t="s">
        <v>131</v>
      </c>
      <c r="AS886">
        <v>2020</v>
      </c>
      <c r="AT886" t="s">
        <v>49</v>
      </c>
      <c r="AU886" t="s">
        <v>48</v>
      </c>
      <c r="AV886" t="s">
        <v>269</v>
      </c>
      <c r="AW886" t="s">
        <v>48</v>
      </c>
    </row>
    <row r="887" spans="1:49" x14ac:dyDescent="0.3">
      <c r="A887" t="s">
        <v>181</v>
      </c>
      <c r="B887" t="s">
        <v>182</v>
      </c>
      <c r="C887" t="s">
        <v>112</v>
      </c>
      <c r="D887">
        <v>612.63</v>
      </c>
      <c r="E887">
        <v>2</v>
      </c>
      <c r="F887">
        <v>3.63</v>
      </c>
      <c r="G887" t="s">
        <v>183</v>
      </c>
      <c r="H887" t="s">
        <v>184</v>
      </c>
      <c r="I887" t="s">
        <v>52</v>
      </c>
      <c r="J887" t="s">
        <v>53</v>
      </c>
      <c r="K887">
        <v>4.5199999999999996</v>
      </c>
      <c r="L887" t="s">
        <v>126</v>
      </c>
      <c r="M887">
        <f>DOWNLOAD_2kLRbPnDtawQopEJ_UKtt22ud9U57gk8mqebZIeugNk[[#This Row],[Standard Value]]</f>
        <v>4.5199999999999996</v>
      </c>
      <c r="N887">
        <f>-LOG(DOWNLOAD_2kLRbPnDtawQopEJ_UKtt22ud9U57gk8mqebZIeugNk[[#This Row],[IC50]]*POWER(10, -9), 10)</f>
        <v>8.3448615651886175</v>
      </c>
      <c r="O887">
        <v>8.35</v>
      </c>
      <c r="P887" t="s">
        <v>48</v>
      </c>
      <c r="R887" t="s">
        <v>127</v>
      </c>
      <c r="S887">
        <v>13.62</v>
      </c>
      <c r="T887">
        <v>0.26</v>
      </c>
      <c r="U887">
        <v>4.71</v>
      </c>
      <c r="V887">
        <v>4.17</v>
      </c>
      <c r="W887">
        <v>0</v>
      </c>
      <c r="X887" t="s">
        <v>2339</v>
      </c>
      <c r="Y887" t="s">
        <v>878</v>
      </c>
      <c r="Z887" t="s">
        <v>58</v>
      </c>
      <c r="AA887" t="s">
        <v>59</v>
      </c>
      <c r="AB887" t="s">
        <v>60</v>
      </c>
      <c r="AC887" t="s">
        <v>61</v>
      </c>
      <c r="AD887" t="s">
        <v>49</v>
      </c>
      <c r="AE887" t="s">
        <v>49</v>
      </c>
      <c r="AF887" t="s">
        <v>49</v>
      </c>
      <c r="AG887" t="s">
        <v>49</v>
      </c>
      <c r="AH887" t="s">
        <v>48</v>
      </c>
      <c r="AI887" t="s">
        <v>48</v>
      </c>
      <c r="AJ887" t="s">
        <v>48</v>
      </c>
      <c r="AK887" t="s">
        <v>62</v>
      </c>
      <c r="AL887" t="s">
        <v>63</v>
      </c>
      <c r="AM887" t="s">
        <v>61</v>
      </c>
      <c r="AN887" t="s">
        <v>64</v>
      </c>
      <c r="AO887" t="s">
        <v>2340</v>
      </c>
      <c r="AP887">
        <v>1</v>
      </c>
      <c r="AQ887" t="s">
        <v>66</v>
      </c>
      <c r="AR887" t="s">
        <v>1549</v>
      </c>
      <c r="AS887">
        <v>2022</v>
      </c>
      <c r="AT887" t="s">
        <v>49</v>
      </c>
      <c r="AU887" t="s">
        <v>48</v>
      </c>
      <c r="AV887" t="s">
        <v>269</v>
      </c>
      <c r="AW887" t="s">
        <v>48</v>
      </c>
    </row>
    <row r="888" spans="1:49" x14ac:dyDescent="0.3">
      <c r="A888" t="s">
        <v>2398</v>
      </c>
      <c r="B888" t="s">
        <v>48</v>
      </c>
      <c r="C888" t="s">
        <v>49</v>
      </c>
      <c r="D888">
        <v>522.59</v>
      </c>
      <c r="E888">
        <v>1</v>
      </c>
      <c r="F888">
        <v>2.38</v>
      </c>
      <c r="G888" t="s">
        <v>271</v>
      </c>
      <c r="H888" t="s">
        <v>2399</v>
      </c>
      <c r="I888" t="s">
        <v>52</v>
      </c>
      <c r="J888" t="s">
        <v>53</v>
      </c>
      <c r="K888">
        <v>105</v>
      </c>
      <c r="L888" t="s">
        <v>126</v>
      </c>
      <c r="M888">
        <f>DOWNLOAD_2kLRbPnDtawQopEJ_UKtt22ud9U57gk8mqebZIeugNk[[#This Row],[Standard Value]]</f>
        <v>105</v>
      </c>
      <c r="N888">
        <f>-LOG(DOWNLOAD_2kLRbPnDtawQopEJ_UKtt22ud9U57gk8mqebZIeugNk[[#This Row],[IC50]]*POWER(10, -9), 10)</f>
        <v>6.9788107009300617</v>
      </c>
      <c r="O888">
        <v>6.98</v>
      </c>
      <c r="P888" t="s">
        <v>48</v>
      </c>
      <c r="R888" t="s">
        <v>127</v>
      </c>
      <c r="S888">
        <v>13.35</v>
      </c>
      <c r="T888">
        <v>0.26</v>
      </c>
      <c r="U888">
        <v>4.5999999999999996</v>
      </c>
      <c r="V888">
        <v>5.47</v>
      </c>
      <c r="W888">
        <v>0</v>
      </c>
      <c r="X888" t="s">
        <v>1534</v>
      </c>
      <c r="Y888" t="s">
        <v>1535</v>
      </c>
      <c r="Z888" t="s">
        <v>58</v>
      </c>
      <c r="AA888" t="s">
        <v>59</v>
      </c>
      <c r="AB888" t="s">
        <v>60</v>
      </c>
      <c r="AC888" t="s">
        <v>61</v>
      </c>
      <c r="AD888" t="s">
        <v>49</v>
      </c>
      <c r="AE888" t="s">
        <v>49</v>
      </c>
      <c r="AF888" t="s">
        <v>49</v>
      </c>
      <c r="AG888" t="s">
        <v>49</v>
      </c>
      <c r="AH888" t="s">
        <v>48</v>
      </c>
      <c r="AI888" t="s">
        <v>48</v>
      </c>
      <c r="AJ888" t="s">
        <v>48</v>
      </c>
      <c r="AK888" t="s">
        <v>62</v>
      </c>
      <c r="AL888" t="s">
        <v>63</v>
      </c>
      <c r="AM888" t="s">
        <v>61</v>
      </c>
      <c r="AN888" t="s">
        <v>64</v>
      </c>
      <c r="AO888" t="s">
        <v>1536</v>
      </c>
      <c r="AP888">
        <v>1</v>
      </c>
      <c r="AQ888" t="s">
        <v>66</v>
      </c>
      <c r="AR888" t="s">
        <v>76</v>
      </c>
      <c r="AS888">
        <v>2022</v>
      </c>
      <c r="AT888" t="s">
        <v>49</v>
      </c>
      <c r="AU888" t="s">
        <v>48</v>
      </c>
      <c r="AV888" t="s">
        <v>269</v>
      </c>
      <c r="AW888" t="s">
        <v>48</v>
      </c>
    </row>
    <row r="889" spans="1:49" x14ac:dyDescent="0.3">
      <c r="A889" t="s">
        <v>2400</v>
      </c>
      <c r="B889" t="s">
        <v>48</v>
      </c>
      <c r="C889" t="s">
        <v>49</v>
      </c>
      <c r="D889">
        <v>355.66</v>
      </c>
      <c r="E889">
        <v>0</v>
      </c>
      <c r="F889">
        <v>2.88</v>
      </c>
      <c r="G889" t="s">
        <v>482</v>
      </c>
      <c r="H889" t="s">
        <v>2401</v>
      </c>
      <c r="I889" t="s">
        <v>52</v>
      </c>
      <c r="J889" t="s">
        <v>71</v>
      </c>
      <c r="K889">
        <v>200000</v>
      </c>
      <c r="L889" t="s">
        <v>126</v>
      </c>
      <c r="M889">
        <f>DOWNLOAD_2kLRbPnDtawQopEJ_UKtt22ud9U57gk8mqebZIeugNk[[#This Row],[Standard Value]]</f>
        <v>200000</v>
      </c>
      <c r="N889">
        <f>-LOG(DOWNLOAD_2kLRbPnDtawQopEJ_UKtt22ud9U57gk8mqebZIeugNk[[#This Row],[IC50]]*POWER(10, -9), 10)</f>
        <v>3.6989700043360187</v>
      </c>
      <c r="P889" t="s">
        <v>72</v>
      </c>
      <c r="R889" t="s">
        <v>127</v>
      </c>
      <c r="W889">
        <v>0</v>
      </c>
      <c r="X889" t="s">
        <v>1546</v>
      </c>
      <c r="Y889" t="s">
        <v>1547</v>
      </c>
      <c r="Z889" t="s">
        <v>58</v>
      </c>
      <c r="AA889" t="s">
        <v>59</v>
      </c>
      <c r="AB889" t="s">
        <v>60</v>
      </c>
      <c r="AC889" t="s">
        <v>61</v>
      </c>
      <c r="AD889" t="s">
        <v>49</v>
      </c>
      <c r="AE889" t="s">
        <v>49</v>
      </c>
      <c r="AF889" t="s">
        <v>49</v>
      </c>
      <c r="AG889" t="s">
        <v>49</v>
      </c>
      <c r="AH889" t="s">
        <v>48</v>
      </c>
      <c r="AI889" t="s">
        <v>48</v>
      </c>
      <c r="AJ889" t="s">
        <v>48</v>
      </c>
      <c r="AK889" t="s">
        <v>62</v>
      </c>
      <c r="AL889" t="s">
        <v>63</v>
      </c>
      <c r="AM889" t="s">
        <v>61</v>
      </c>
      <c r="AN889" t="s">
        <v>64</v>
      </c>
      <c r="AO889" t="s">
        <v>1548</v>
      </c>
      <c r="AP889">
        <v>1</v>
      </c>
      <c r="AQ889" t="s">
        <v>66</v>
      </c>
      <c r="AR889" t="s">
        <v>1549</v>
      </c>
      <c r="AS889">
        <v>2022</v>
      </c>
      <c r="AT889" t="s">
        <v>49</v>
      </c>
      <c r="AU889" t="s">
        <v>299</v>
      </c>
      <c r="AV889" t="s">
        <v>48</v>
      </c>
      <c r="AW889" t="s">
        <v>48</v>
      </c>
    </row>
    <row r="890" spans="1:49" x14ac:dyDescent="0.3">
      <c r="A890" t="s">
        <v>2402</v>
      </c>
      <c r="B890" t="s">
        <v>2403</v>
      </c>
      <c r="C890" t="s">
        <v>49</v>
      </c>
      <c r="D890">
        <v>697.14</v>
      </c>
      <c r="E890">
        <v>3</v>
      </c>
      <c r="F890">
        <v>5.37</v>
      </c>
      <c r="G890" t="s">
        <v>2404</v>
      </c>
      <c r="H890" t="s">
        <v>2405</v>
      </c>
      <c r="I890" t="s">
        <v>52</v>
      </c>
      <c r="J890" t="s">
        <v>53</v>
      </c>
      <c r="K890">
        <v>30</v>
      </c>
      <c r="L890" t="s">
        <v>126</v>
      </c>
      <c r="M890">
        <f>DOWNLOAD_2kLRbPnDtawQopEJ_UKtt22ud9U57gk8mqebZIeugNk[[#This Row],[Standard Value]]</f>
        <v>30</v>
      </c>
      <c r="N890">
        <f>-LOG(DOWNLOAD_2kLRbPnDtawQopEJ_UKtt22ud9U57gk8mqebZIeugNk[[#This Row],[IC50]]*POWER(10, -9), 10)</f>
        <v>7.5228787452803374</v>
      </c>
      <c r="O890">
        <v>7.52</v>
      </c>
      <c r="P890" t="s">
        <v>48</v>
      </c>
      <c r="R890" t="s">
        <v>127</v>
      </c>
      <c r="S890">
        <v>10.79</v>
      </c>
      <c r="T890">
        <v>0.21</v>
      </c>
      <c r="U890">
        <v>2.15</v>
      </c>
      <c r="V890">
        <v>3.96</v>
      </c>
      <c r="W890">
        <v>0</v>
      </c>
      <c r="X890" t="s">
        <v>1567</v>
      </c>
      <c r="Y890" t="s">
        <v>1535</v>
      </c>
      <c r="Z890" t="s">
        <v>58</v>
      </c>
      <c r="AA890" t="s">
        <v>59</v>
      </c>
      <c r="AB890" t="s">
        <v>60</v>
      </c>
      <c r="AC890" t="s">
        <v>61</v>
      </c>
      <c r="AD890" t="s">
        <v>49</v>
      </c>
      <c r="AE890" t="s">
        <v>49</v>
      </c>
      <c r="AF890" t="s">
        <v>49</v>
      </c>
      <c r="AG890" t="s">
        <v>49</v>
      </c>
      <c r="AH890" t="s">
        <v>48</v>
      </c>
      <c r="AI890" t="s">
        <v>48</v>
      </c>
      <c r="AJ890" t="s">
        <v>48</v>
      </c>
      <c r="AK890" t="s">
        <v>62</v>
      </c>
      <c r="AL890" t="s">
        <v>63</v>
      </c>
      <c r="AM890" t="s">
        <v>61</v>
      </c>
      <c r="AN890" t="s">
        <v>64</v>
      </c>
      <c r="AO890" t="s">
        <v>1568</v>
      </c>
      <c r="AP890">
        <v>1</v>
      </c>
      <c r="AQ890" t="s">
        <v>66</v>
      </c>
      <c r="AR890" t="s">
        <v>267</v>
      </c>
      <c r="AS890">
        <v>2016</v>
      </c>
      <c r="AT890" t="s">
        <v>49</v>
      </c>
      <c r="AU890" t="s">
        <v>48</v>
      </c>
      <c r="AV890" t="s">
        <v>269</v>
      </c>
      <c r="AW890" t="s">
        <v>48</v>
      </c>
    </row>
    <row r="891" spans="1:49" x14ac:dyDescent="0.3">
      <c r="A891" t="s">
        <v>2406</v>
      </c>
      <c r="B891" t="s">
        <v>48</v>
      </c>
      <c r="C891" t="s">
        <v>49</v>
      </c>
      <c r="D891">
        <v>430.91</v>
      </c>
      <c r="E891">
        <v>0</v>
      </c>
      <c r="F891">
        <v>4.03</v>
      </c>
      <c r="G891" t="s">
        <v>173</v>
      </c>
      <c r="H891" t="s">
        <v>2407</v>
      </c>
      <c r="I891" t="s">
        <v>52</v>
      </c>
      <c r="J891" t="s">
        <v>71</v>
      </c>
      <c r="K891">
        <v>200000</v>
      </c>
      <c r="L891" t="s">
        <v>126</v>
      </c>
      <c r="M891">
        <f>DOWNLOAD_2kLRbPnDtawQopEJ_UKtt22ud9U57gk8mqebZIeugNk[[#This Row],[Standard Value]]</f>
        <v>200000</v>
      </c>
      <c r="N891">
        <f>-LOG(DOWNLOAD_2kLRbPnDtawQopEJ_UKtt22ud9U57gk8mqebZIeugNk[[#This Row],[IC50]]*POWER(10, -9), 10)</f>
        <v>3.6989700043360187</v>
      </c>
      <c r="P891" t="s">
        <v>72</v>
      </c>
      <c r="R891" t="s">
        <v>127</v>
      </c>
      <c r="W891">
        <v>0</v>
      </c>
      <c r="X891" t="s">
        <v>1546</v>
      </c>
      <c r="Y891" t="s">
        <v>1547</v>
      </c>
      <c r="Z891" t="s">
        <v>58</v>
      </c>
      <c r="AA891" t="s">
        <v>59</v>
      </c>
      <c r="AB891" t="s">
        <v>60</v>
      </c>
      <c r="AC891" t="s">
        <v>61</v>
      </c>
      <c r="AD891" t="s">
        <v>49</v>
      </c>
      <c r="AE891" t="s">
        <v>49</v>
      </c>
      <c r="AF891" t="s">
        <v>49</v>
      </c>
      <c r="AG891" t="s">
        <v>49</v>
      </c>
      <c r="AH891" t="s">
        <v>48</v>
      </c>
      <c r="AI891" t="s">
        <v>48</v>
      </c>
      <c r="AJ891" t="s">
        <v>48</v>
      </c>
      <c r="AK891" t="s">
        <v>62</v>
      </c>
      <c r="AL891" t="s">
        <v>63</v>
      </c>
      <c r="AM891" t="s">
        <v>61</v>
      </c>
      <c r="AN891" t="s">
        <v>64</v>
      </c>
      <c r="AO891" t="s">
        <v>1548</v>
      </c>
      <c r="AP891">
        <v>1</v>
      </c>
      <c r="AQ891" t="s">
        <v>66</v>
      </c>
      <c r="AR891" t="s">
        <v>1549</v>
      </c>
      <c r="AS891">
        <v>2022</v>
      </c>
      <c r="AT891" t="s">
        <v>49</v>
      </c>
      <c r="AU891" t="s">
        <v>299</v>
      </c>
      <c r="AV891" t="s">
        <v>48</v>
      </c>
      <c r="AW891" t="s">
        <v>48</v>
      </c>
    </row>
    <row r="892" spans="1:49" x14ac:dyDescent="0.3">
      <c r="A892" t="s">
        <v>2408</v>
      </c>
      <c r="B892" t="s">
        <v>48</v>
      </c>
      <c r="C892" t="s">
        <v>49</v>
      </c>
      <c r="D892">
        <v>424.97</v>
      </c>
      <c r="E892">
        <v>0</v>
      </c>
      <c r="F892">
        <v>4.8</v>
      </c>
      <c r="G892" t="s">
        <v>142</v>
      </c>
      <c r="H892" t="s">
        <v>2409</v>
      </c>
      <c r="I892" t="s">
        <v>52</v>
      </c>
      <c r="J892" t="s">
        <v>53</v>
      </c>
      <c r="K892">
        <v>56000</v>
      </c>
      <c r="L892" t="s">
        <v>126</v>
      </c>
      <c r="M892">
        <f>DOWNLOAD_2kLRbPnDtawQopEJ_UKtt22ud9U57gk8mqebZIeugNk[[#This Row],[Standard Value]]</f>
        <v>56000</v>
      </c>
      <c r="N892">
        <f>-LOG(DOWNLOAD_2kLRbPnDtawQopEJ_UKtt22ud9U57gk8mqebZIeugNk[[#This Row],[IC50]]*POWER(10, -9), 10)</f>
        <v>4.2518119729937984</v>
      </c>
      <c r="O892">
        <v>4.25</v>
      </c>
      <c r="P892" t="s">
        <v>48</v>
      </c>
      <c r="R892" t="s">
        <v>127</v>
      </c>
      <c r="S892">
        <v>10.94</v>
      </c>
      <c r="T892">
        <v>0.2</v>
      </c>
      <c r="U892">
        <v>-0.55000000000000004</v>
      </c>
      <c r="V892">
        <v>6.61</v>
      </c>
      <c r="W892">
        <v>0</v>
      </c>
      <c r="X892" t="s">
        <v>1546</v>
      </c>
      <c r="Y892" t="s">
        <v>1547</v>
      </c>
      <c r="Z892" t="s">
        <v>58</v>
      </c>
      <c r="AA892" t="s">
        <v>59</v>
      </c>
      <c r="AB892" t="s">
        <v>60</v>
      </c>
      <c r="AC892" t="s">
        <v>61</v>
      </c>
      <c r="AD892" t="s">
        <v>49</v>
      </c>
      <c r="AE892" t="s">
        <v>49</v>
      </c>
      <c r="AF892" t="s">
        <v>49</v>
      </c>
      <c r="AG892" t="s">
        <v>49</v>
      </c>
      <c r="AH892" t="s">
        <v>48</v>
      </c>
      <c r="AI892" t="s">
        <v>48</v>
      </c>
      <c r="AJ892" t="s">
        <v>48</v>
      </c>
      <c r="AK892" t="s">
        <v>62</v>
      </c>
      <c r="AL892" t="s">
        <v>63</v>
      </c>
      <c r="AM892" t="s">
        <v>61</v>
      </c>
      <c r="AN892" t="s">
        <v>64</v>
      </c>
      <c r="AO892" t="s">
        <v>1548</v>
      </c>
      <c r="AP892">
        <v>1</v>
      </c>
      <c r="AQ892" t="s">
        <v>66</v>
      </c>
      <c r="AR892" t="s">
        <v>1549</v>
      </c>
      <c r="AS892">
        <v>2022</v>
      </c>
      <c r="AT892" t="s">
        <v>49</v>
      </c>
      <c r="AU892" t="s">
        <v>299</v>
      </c>
      <c r="AV892" t="s">
        <v>269</v>
      </c>
      <c r="AW892" t="s">
        <v>48</v>
      </c>
    </row>
    <row r="893" spans="1:49" x14ac:dyDescent="0.3">
      <c r="A893" t="s">
        <v>2410</v>
      </c>
      <c r="B893" t="s">
        <v>48</v>
      </c>
      <c r="C893" t="s">
        <v>49</v>
      </c>
      <c r="D893">
        <v>523.32000000000005</v>
      </c>
      <c r="E893">
        <v>1</v>
      </c>
      <c r="F893">
        <v>4.96</v>
      </c>
      <c r="G893" t="s">
        <v>2411</v>
      </c>
      <c r="H893" t="s">
        <v>2412</v>
      </c>
      <c r="I893" t="s">
        <v>52</v>
      </c>
      <c r="J893" t="s">
        <v>295</v>
      </c>
      <c r="K893">
        <v>10</v>
      </c>
      <c r="L893" t="s">
        <v>126</v>
      </c>
      <c r="M893">
        <f>DOWNLOAD_2kLRbPnDtawQopEJ_UKtt22ud9U57gk8mqebZIeugNk[[#This Row],[Standard Value]]</f>
        <v>10</v>
      </c>
      <c r="N893">
        <f>-LOG(DOWNLOAD_2kLRbPnDtawQopEJ_UKtt22ud9U57gk8mqebZIeugNk[[#This Row],[IC50]]*POWER(10, -9), 10)</f>
        <v>8</v>
      </c>
      <c r="P893" t="s">
        <v>48</v>
      </c>
      <c r="R893" t="s">
        <v>127</v>
      </c>
      <c r="W893">
        <v>0</v>
      </c>
      <c r="X893" t="s">
        <v>2378</v>
      </c>
      <c r="Y893" t="s">
        <v>2379</v>
      </c>
      <c r="Z893" t="s">
        <v>58</v>
      </c>
      <c r="AA893" t="s">
        <v>59</v>
      </c>
      <c r="AB893" t="s">
        <v>60</v>
      </c>
      <c r="AC893" t="s">
        <v>61</v>
      </c>
      <c r="AD893" t="s">
        <v>49</v>
      </c>
      <c r="AE893" t="s">
        <v>49</v>
      </c>
      <c r="AF893" t="s">
        <v>49</v>
      </c>
      <c r="AG893" t="s">
        <v>49</v>
      </c>
      <c r="AH893" t="s">
        <v>48</v>
      </c>
      <c r="AI893" t="s">
        <v>48</v>
      </c>
      <c r="AJ893" t="s">
        <v>48</v>
      </c>
      <c r="AK893" t="s">
        <v>62</v>
      </c>
      <c r="AL893" t="s">
        <v>63</v>
      </c>
      <c r="AM893" t="s">
        <v>61</v>
      </c>
      <c r="AN893" t="s">
        <v>64</v>
      </c>
      <c r="AO893" t="s">
        <v>2380</v>
      </c>
      <c r="AP893">
        <v>1</v>
      </c>
      <c r="AQ893" t="s">
        <v>66</v>
      </c>
      <c r="AR893" t="s">
        <v>67</v>
      </c>
      <c r="AS893">
        <v>2023</v>
      </c>
      <c r="AT893" t="s">
        <v>49</v>
      </c>
      <c r="AU893" t="s">
        <v>48</v>
      </c>
      <c r="AV893" t="s">
        <v>269</v>
      </c>
      <c r="AW893" t="s">
        <v>48</v>
      </c>
    </row>
    <row r="894" spans="1:49" x14ac:dyDescent="0.3">
      <c r="A894" t="s">
        <v>2413</v>
      </c>
      <c r="B894" t="s">
        <v>48</v>
      </c>
      <c r="C894" t="s">
        <v>49</v>
      </c>
      <c r="D894">
        <v>455.41</v>
      </c>
      <c r="E894">
        <v>0</v>
      </c>
      <c r="F894">
        <v>0.44</v>
      </c>
      <c r="G894" t="s">
        <v>2414</v>
      </c>
      <c r="H894" t="s">
        <v>2415</v>
      </c>
      <c r="I894" t="s">
        <v>52</v>
      </c>
      <c r="J894" t="s">
        <v>53</v>
      </c>
      <c r="K894">
        <v>700</v>
      </c>
      <c r="L894" t="s">
        <v>126</v>
      </c>
      <c r="M894">
        <f>DOWNLOAD_2kLRbPnDtawQopEJ_UKtt22ud9U57gk8mqebZIeugNk[[#This Row],[Standard Value]]</f>
        <v>700</v>
      </c>
      <c r="N894">
        <f>-LOG(DOWNLOAD_2kLRbPnDtawQopEJ_UKtt22ud9U57gk8mqebZIeugNk[[#This Row],[IC50]]*POWER(10, -9), 10)</f>
        <v>6.1549019599857431</v>
      </c>
      <c r="O894">
        <v>6.16</v>
      </c>
      <c r="P894" t="s">
        <v>48</v>
      </c>
      <c r="Q894">
        <v>302824</v>
      </c>
      <c r="R894" t="s">
        <v>127</v>
      </c>
      <c r="S894">
        <v>13.52</v>
      </c>
      <c r="T894">
        <v>0.25</v>
      </c>
      <c r="U894">
        <v>5.71</v>
      </c>
      <c r="V894">
        <v>4.26</v>
      </c>
      <c r="W894">
        <v>0</v>
      </c>
      <c r="X894" t="s">
        <v>251</v>
      </c>
      <c r="Y894" t="s">
        <v>252</v>
      </c>
      <c r="Z894" t="s">
        <v>58</v>
      </c>
      <c r="AA894" t="s">
        <v>59</v>
      </c>
      <c r="AB894" t="s">
        <v>60</v>
      </c>
      <c r="AC894" t="s">
        <v>61</v>
      </c>
      <c r="AD894" t="s">
        <v>49</v>
      </c>
      <c r="AE894" t="s">
        <v>49</v>
      </c>
      <c r="AF894" t="s">
        <v>49</v>
      </c>
      <c r="AG894" t="s">
        <v>49</v>
      </c>
      <c r="AH894" t="s">
        <v>48</v>
      </c>
      <c r="AI894" t="s">
        <v>48</v>
      </c>
      <c r="AJ894" t="s">
        <v>48</v>
      </c>
      <c r="AK894" t="s">
        <v>62</v>
      </c>
      <c r="AL894" t="s">
        <v>63</v>
      </c>
      <c r="AM894" t="s">
        <v>61</v>
      </c>
      <c r="AN894" t="s">
        <v>64</v>
      </c>
      <c r="AO894" t="s">
        <v>253</v>
      </c>
      <c r="AP894">
        <v>37</v>
      </c>
      <c r="AQ894" t="s">
        <v>254</v>
      </c>
      <c r="AR894" t="s">
        <v>48</v>
      </c>
      <c r="AS894">
        <v>2015</v>
      </c>
      <c r="AT894" t="s">
        <v>49</v>
      </c>
      <c r="AU894" t="s">
        <v>48</v>
      </c>
      <c r="AV894" t="s">
        <v>48</v>
      </c>
      <c r="AW894" t="s">
        <v>48</v>
      </c>
    </row>
    <row r="895" spans="1:49" x14ac:dyDescent="0.3">
      <c r="A895" t="s">
        <v>2416</v>
      </c>
      <c r="B895" t="s">
        <v>48</v>
      </c>
      <c r="C895" t="s">
        <v>49</v>
      </c>
      <c r="D895">
        <v>454.42</v>
      </c>
      <c r="E895">
        <v>0</v>
      </c>
      <c r="F895">
        <v>1.04</v>
      </c>
      <c r="G895" t="s">
        <v>2417</v>
      </c>
      <c r="H895" t="s">
        <v>2418</v>
      </c>
      <c r="I895" t="s">
        <v>52</v>
      </c>
      <c r="J895" t="s">
        <v>53</v>
      </c>
      <c r="K895">
        <v>500</v>
      </c>
      <c r="L895" t="s">
        <v>126</v>
      </c>
      <c r="M895">
        <f>DOWNLOAD_2kLRbPnDtawQopEJ_UKtt22ud9U57gk8mqebZIeugNk[[#This Row],[Standard Value]]</f>
        <v>500</v>
      </c>
      <c r="N895">
        <f>-LOG(DOWNLOAD_2kLRbPnDtawQopEJ_UKtt22ud9U57gk8mqebZIeugNk[[#This Row],[IC50]]*POWER(10, -9), 10)</f>
        <v>6.3010299956639804</v>
      </c>
      <c r="O895">
        <v>6.3</v>
      </c>
      <c r="P895" t="s">
        <v>48</v>
      </c>
      <c r="Q895">
        <v>302826</v>
      </c>
      <c r="R895" t="s">
        <v>127</v>
      </c>
      <c r="S895">
        <v>13.87</v>
      </c>
      <c r="T895">
        <v>0.26</v>
      </c>
      <c r="U895">
        <v>5.26</v>
      </c>
      <c r="V895">
        <v>4.79</v>
      </c>
      <c r="W895">
        <v>0</v>
      </c>
      <c r="X895" t="s">
        <v>251</v>
      </c>
      <c r="Y895" t="s">
        <v>252</v>
      </c>
      <c r="Z895" t="s">
        <v>58</v>
      </c>
      <c r="AA895" t="s">
        <v>59</v>
      </c>
      <c r="AB895" t="s">
        <v>60</v>
      </c>
      <c r="AC895" t="s">
        <v>61</v>
      </c>
      <c r="AD895" t="s">
        <v>49</v>
      </c>
      <c r="AE895" t="s">
        <v>49</v>
      </c>
      <c r="AF895" t="s">
        <v>49</v>
      </c>
      <c r="AG895" t="s">
        <v>49</v>
      </c>
      <c r="AH895" t="s">
        <v>48</v>
      </c>
      <c r="AI895" t="s">
        <v>48</v>
      </c>
      <c r="AJ895" t="s">
        <v>48</v>
      </c>
      <c r="AK895" t="s">
        <v>62</v>
      </c>
      <c r="AL895" t="s">
        <v>63</v>
      </c>
      <c r="AM895" t="s">
        <v>61</v>
      </c>
      <c r="AN895" t="s">
        <v>64</v>
      </c>
      <c r="AO895" t="s">
        <v>253</v>
      </c>
      <c r="AP895">
        <v>37</v>
      </c>
      <c r="AQ895" t="s">
        <v>254</v>
      </c>
      <c r="AR895" t="s">
        <v>48</v>
      </c>
      <c r="AS895">
        <v>2015</v>
      </c>
      <c r="AT895" t="s">
        <v>49</v>
      </c>
      <c r="AU895" t="s">
        <v>48</v>
      </c>
      <c r="AV895" t="s">
        <v>48</v>
      </c>
      <c r="AW895" t="s">
        <v>48</v>
      </c>
    </row>
    <row r="896" spans="1:49" x14ac:dyDescent="0.3">
      <c r="A896" t="s">
        <v>2419</v>
      </c>
      <c r="B896" t="s">
        <v>48</v>
      </c>
      <c r="C896" t="s">
        <v>49</v>
      </c>
      <c r="D896">
        <v>434.45</v>
      </c>
      <c r="E896">
        <v>0</v>
      </c>
      <c r="F896">
        <v>1.58</v>
      </c>
      <c r="G896" t="s">
        <v>2420</v>
      </c>
      <c r="H896" t="s">
        <v>2421</v>
      </c>
      <c r="I896" t="s">
        <v>52</v>
      </c>
      <c r="J896" t="s">
        <v>53</v>
      </c>
      <c r="K896">
        <v>900</v>
      </c>
      <c r="L896" t="s">
        <v>126</v>
      </c>
      <c r="M896">
        <f>DOWNLOAD_2kLRbPnDtawQopEJ_UKtt22ud9U57gk8mqebZIeugNk[[#This Row],[Standard Value]]</f>
        <v>900</v>
      </c>
      <c r="N896">
        <f>-LOG(DOWNLOAD_2kLRbPnDtawQopEJ_UKtt22ud9U57gk8mqebZIeugNk[[#This Row],[IC50]]*POWER(10, -9), 10)</f>
        <v>6.0457574905606748</v>
      </c>
      <c r="O896">
        <v>6.05</v>
      </c>
      <c r="P896" t="s">
        <v>48</v>
      </c>
      <c r="Q896">
        <v>302830</v>
      </c>
      <c r="R896" t="s">
        <v>127</v>
      </c>
      <c r="S896">
        <v>13.92</v>
      </c>
      <c r="T896">
        <v>0.28000000000000003</v>
      </c>
      <c r="U896">
        <v>4.47</v>
      </c>
      <c r="V896">
        <v>5.31</v>
      </c>
      <c r="W896">
        <v>0</v>
      </c>
      <c r="X896" t="s">
        <v>251</v>
      </c>
      <c r="Y896" t="s">
        <v>252</v>
      </c>
      <c r="Z896" t="s">
        <v>58</v>
      </c>
      <c r="AA896" t="s">
        <v>59</v>
      </c>
      <c r="AB896" t="s">
        <v>60</v>
      </c>
      <c r="AC896" t="s">
        <v>61</v>
      </c>
      <c r="AD896" t="s">
        <v>49</v>
      </c>
      <c r="AE896" t="s">
        <v>49</v>
      </c>
      <c r="AF896" t="s">
        <v>49</v>
      </c>
      <c r="AG896" t="s">
        <v>49</v>
      </c>
      <c r="AH896" t="s">
        <v>48</v>
      </c>
      <c r="AI896" t="s">
        <v>48</v>
      </c>
      <c r="AJ896" t="s">
        <v>48</v>
      </c>
      <c r="AK896" t="s">
        <v>62</v>
      </c>
      <c r="AL896" t="s">
        <v>63</v>
      </c>
      <c r="AM896" t="s">
        <v>61</v>
      </c>
      <c r="AN896" t="s">
        <v>64</v>
      </c>
      <c r="AO896" t="s">
        <v>253</v>
      </c>
      <c r="AP896">
        <v>37</v>
      </c>
      <c r="AQ896" t="s">
        <v>254</v>
      </c>
      <c r="AR896" t="s">
        <v>48</v>
      </c>
      <c r="AS896">
        <v>2015</v>
      </c>
      <c r="AT896" t="s">
        <v>49</v>
      </c>
      <c r="AU896" t="s">
        <v>48</v>
      </c>
      <c r="AV896" t="s">
        <v>48</v>
      </c>
      <c r="AW896" t="s">
        <v>48</v>
      </c>
    </row>
    <row r="897" spans="1:49" x14ac:dyDescent="0.3">
      <c r="A897" t="s">
        <v>2422</v>
      </c>
      <c r="B897" t="s">
        <v>48</v>
      </c>
      <c r="C897" t="s">
        <v>49</v>
      </c>
      <c r="D897">
        <v>496.48</v>
      </c>
      <c r="E897">
        <v>0</v>
      </c>
      <c r="F897">
        <v>1.85</v>
      </c>
      <c r="G897" t="s">
        <v>2423</v>
      </c>
      <c r="H897" t="s">
        <v>2424</v>
      </c>
      <c r="I897" t="s">
        <v>52</v>
      </c>
      <c r="J897" t="s">
        <v>53</v>
      </c>
      <c r="K897">
        <v>1200</v>
      </c>
      <c r="L897" t="s">
        <v>126</v>
      </c>
      <c r="M897">
        <f>DOWNLOAD_2kLRbPnDtawQopEJ_UKtt22ud9U57gk8mqebZIeugNk[[#This Row],[Standard Value]]</f>
        <v>1200</v>
      </c>
      <c r="N897">
        <f>-LOG(DOWNLOAD_2kLRbPnDtawQopEJ_UKtt22ud9U57gk8mqebZIeugNk[[#This Row],[IC50]]*POWER(10, -9), 10)</f>
        <v>5.920818753952374</v>
      </c>
      <c r="O897">
        <v>5.92</v>
      </c>
      <c r="P897" t="s">
        <v>48</v>
      </c>
      <c r="Q897">
        <v>302854</v>
      </c>
      <c r="R897" t="s">
        <v>127</v>
      </c>
      <c r="S897">
        <v>11.93</v>
      </c>
      <c r="T897">
        <v>0.23</v>
      </c>
      <c r="U897">
        <v>4.07</v>
      </c>
      <c r="V897">
        <v>3.94</v>
      </c>
      <c r="W897">
        <v>0</v>
      </c>
      <c r="X897" t="s">
        <v>251</v>
      </c>
      <c r="Y897" t="s">
        <v>252</v>
      </c>
      <c r="Z897" t="s">
        <v>58</v>
      </c>
      <c r="AA897" t="s">
        <v>59</v>
      </c>
      <c r="AB897" t="s">
        <v>60</v>
      </c>
      <c r="AC897" t="s">
        <v>61</v>
      </c>
      <c r="AD897" t="s">
        <v>49</v>
      </c>
      <c r="AE897" t="s">
        <v>49</v>
      </c>
      <c r="AF897" t="s">
        <v>49</v>
      </c>
      <c r="AG897" t="s">
        <v>49</v>
      </c>
      <c r="AH897" t="s">
        <v>48</v>
      </c>
      <c r="AI897" t="s">
        <v>48</v>
      </c>
      <c r="AJ897" t="s">
        <v>48</v>
      </c>
      <c r="AK897" t="s">
        <v>62</v>
      </c>
      <c r="AL897" t="s">
        <v>63</v>
      </c>
      <c r="AM897" t="s">
        <v>61</v>
      </c>
      <c r="AN897" t="s">
        <v>64</v>
      </c>
      <c r="AO897" t="s">
        <v>253</v>
      </c>
      <c r="AP897">
        <v>37</v>
      </c>
      <c r="AQ897" t="s">
        <v>254</v>
      </c>
      <c r="AR897" t="s">
        <v>48</v>
      </c>
      <c r="AS897">
        <v>2015</v>
      </c>
      <c r="AT897" t="s">
        <v>49</v>
      </c>
      <c r="AU897" t="s">
        <v>48</v>
      </c>
      <c r="AV897" t="s">
        <v>48</v>
      </c>
      <c r="AW897" t="s">
        <v>48</v>
      </c>
    </row>
    <row r="898" spans="1:49" x14ac:dyDescent="0.3">
      <c r="A898" t="s">
        <v>2425</v>
      </c>
      <c r="B898" t="s">
        <v>48</v>
      </c>
      <c r="C898" t="s">
        <v>49</v>
      </c>
      <c r="D898">
        <v>471.47</v>
      </c>
      <c r="E898">
        <v>0</v>
      </c>
      <c r="F898">
        <v>1.98</v>
      </c>
      <c r="G898" t="s">
        <v>2426</v>
      </c>
      <c r="H898" t="s">
        <v>2427</v>
      </c>
      <c r="I898" t="s">
        <v>52</v>
      </c>
      <c r="J898" t="s">
        <v>53</v>
      </c>
      <c r="K898">
        <v>400</v>
      </c>
      <c r="L898" t="s">
        <v>126</v>
      </c>
      <c r="M898">
        <f>DOWNLOAD_2kLRbPnDtawQopEJ_UKtt22ud9U57gk8mqebZIeugNk[[#This Row],[Standard Value]]</f>
        <v>400</v>
      </c>
      <c r="N898">
        <f>-LOG(DOWNLOAD_2kLRbPnDtawQopEJ_UKtt22ud9U57gk8mqebZIeugNk[[#This Row],[IC50]]*POWER(10, -9), 10)</f>
        <v>6.3979400086720375</v>
      </c>
      <c r="O898">
        <v>6.4</v>
      </c>
      <c r="P898" t="s">
        <v>48</v>
      </c>
      <c r="Q898">
        <v>302870</v>
      </c>
      <c r="R898" t="s">
        <v>127</v>
      </c>
      <c r="S898">
        <v>13.57</v>
      </c>
      <c r="T898">
        <v>0.26</v>
      </c>
      <c r="U898">
        <v>4.42</v>
      </c>
      <c r="V898">
        <v>5.05</v>
      </c>
      <c r="W898">
        <v>0</v>
      </c>
      <c r="X898" t="s">
        <v>251</v>
      </c>
      <c r="Y898" t="s">
        <v>252</v>
      </c>
      <c r="Z898" t="s">
        <v>58</v>
      </c>
      <c r="AA898" t="s">
        <v>59</v>
      </c>
      <c r="AB898" t="s">
        <v>60</v>
      </c>
      <c r="AC898" t="s">
        <v>61</v>
      </c>
      <c r="AD898" t="s">
        <v>49</v>
      </c>
      <c r="AE898" t="s">
        <v>49</v>
      </c>
      <c r="AF898" t="s">
        <v>49</v>
      </c>
      <c r="AG898" t="s">
        <v>49</v>
      </c>
      <c r="AH898" t="s">
        <v>48</v>
      </c>
      <c r="AI898" t="s">
        <v>48</v>
      </c>
      <c r="AJ898" t="s">
        <v>48</v>
      </c>
      <c r="AK898" t="s">
        <v>62</v>
      </c>
      <c r="AL898" t="s">
        <v>63</v>
      </c>
      <c r="AM898" t="s">
        <v>61</v>
      </c>
      <c r="AN898" t="s">
        <v>64</v>
      </c>
      <c r="AO898" t="s">
        <v>253</v>
      </c>
      <c r="AP898">
        <v>37</v>
      </c>
      <c r="AQ898" t="s">
        <v>254</v>
      </c>
      <c r="AR898" t="s">
        <v>48</v>
      </c>
      <c r="AS898">
        <v>2015</v>
      </c>
      <c r="AT898" t="s">
        <v>49</v>
      </c>
      <c r="AU898" t="s">
        <v>48</v>
      </c>
      <c r="AV898" t="s">
        <v>48</v>
      </c>
      <c r="AW898" t="s">
        <v>48</v>
      </c>
    </row>
    <row r="899" spans="1:49" x14ac:dyDescent="0.3">
      <c r="A899" t="s">
        <v>2428</v>
      </c>
      <c r="B899" t="s">
        <v>48</v>
      </c>
      <c r="C899" t="s">
        <v>49</v>
      </c>
      <c r="D899">
        <v>483.87</v>
      </c>
      <c r="E899">
        <v>0</v>
      </c>
      <c r="F899">
        <v>1.22</v>
      </c>
      <c r="G899" t="s">
        <v>2429</v>
      </c>
      <c r="H899" t="s">
        <v>2430</v>
      </c>
      <c r="I899" t="s">
        <v>52</v>
      </c>
      <c r="J899" t="s">
        <v>53</v>
      </c>
      <c r="K899">
        <v>3000</v>
      </c>
      <c r="L899" t="s">
        <v>126</v>
      </c>
      <c r="M899">
        <f>DOWNLOAD_2kLRbPnDtawQopEJ_UKtt22ud9U57gk8mqebZIeugNk[[#This Row],[Standard Value]]</f>
        <v>3000</v>
      </c>
      <c r="N899">
        <f>-LOG(DOWNLOAD_2kLRbPnDtawQopEJ_UKtt22ud9U57gk8mqebZIeugNk[[#This Row],[IC50]]*POWER(10, -9), 10)</f>
        <v>5.5228787452803374</v>
      </c>
      <c r="O899">
        <v>5.52</v>
      </c>
      <c r="P899" t="s">
        <v>48</v>
      </c>
      <c r="Q899">
        <v>302882</v>
      </c>
      <c r="R899" t="s">
        <v>127</v>
      </c>
      <c r="S899">
        <v>11.41</v>
      </c>
      <c r="T899">
        <v>0.22</v>
      </c>
      <c r="U899">
        <v>4.3</v>
      </c>
      <c r="V899">
        <v>3.62</v>
      </c>
      <c r="W899">
        <v>0</v>
      </c>
      <c r="X899" t="s">
        <v>251</v>
      </c>
      <c r="Y899" t="s">
        <v>252</v>
      </c>
      <c r="Z899" t="s">
        <v>58</v>
      </c>
      <c r="AA899" t="s">
        <v>59</v>
      </c>
      <c r="AB899" t="s">
        <v>60</v>
      </c>
      <c r="AC899" t="s">
        <v>61</v>
      </c>
      <c r="AD899" t="s">
        <v>49</v>
      </c>
      <c r="AE899" t="s">
        <v>49</v>
      </c>
      <c r="AF899" t="s">
        <v>49</v>
      </c>
      <c r="AG899" t="s">
        <v>49</v>
      </c>
      <c r="AH899" t="s">
        <v>48</v>
      </c>
      <c r="AI899" t="s">
        <v>48</v>
      </c>
      <c r="AJ899" t="s">
        <v>48</v>
      </c>
      <c r="AK899" t="s">
        <v>62</v>
      </c>
      <c r="AL899" t="s">
        <v>63</v>
      </c>
      <c r="AM899" t="s">
        <v>61</v>
      </c>
      <c r="AN899" t="s">
        <v>64</v>
      </c>
      <c r="AO899" t="s">
        <v>253</v>
      </c>
      <c r="AP899">
        <v>37</v>
      </c>
      <c r="AQ899" t="s">
        <v>254</v>
      </c>
      <c r="AR899" t="s">
        <v>48</v>
      </c>
      <c r="AS899">
        <v>2015</v>
      </c>
      <c r="AT899" t="s">
        <v>49</v>
      </c>
      <c r="AU899" t="s">
        <v>48</v>
      </c>
      <c r="AV899" t="s">
        <v>48</v>
      </c>
      <c r="AW899" t="s">
        <v>48</v>
      </c>
    </row>
    <row r="900" spans="1:49" x14ac:dyDescent="0.3">
      <c r="A900" t="s">
        <v>1861</v>
      </c>
      <c r="B900" t="s">
        <v>48</v>
      </c>
      <c r="C900" t="s">
        <v>49</v>
      </c>
      <c r="D900">
        <v>488.91</v>
      </c>
      <c r="E900">
        <v>0</v>
      </c>
      <c r="F900">
        <v>1.89</v>
      </c>
      <c r="G900" t="s">
        <v>1862</v>
      </c>
      <c r="H900" t="s">
        <v>1863</v>
      </c>
      <c r="I900" t="s">
        <v>52</v>
      </c>
      <c r="J900" t="s">
        <v>53</v>
      </c>
      <c r="K900">
        <v>1100</v>
      </c>
      <c r="L900" t="s">
        <v>126</v>
      </c>
      <c r="M900">
        <f>DOWNLOAD_2kLRbPnDtawQopEJ_UKtt22ud9U57gk8mqebZIeugNk[[#This Row],[Standard Value]]</f>
        <v>1100</v>
      </c>
      <c r="N900">
        <f>-LOG(DOWNLOAD_2kLRbPnDtawQopEJ_UKtt22ud9U57gk8mqebZIeugNk[[#This Row],[IC50]]*POWER(10, -9), 10)</f>
        <v>5.9586073148417746</v>
      </c>
      <c r="O900">
        <v>5.96</v>
      </c>
      <c r="P900" t="s">
        <v>48</v>
      </c>
      <c r="Q900">
        <v>302885</v>
      </c>
      <c r="R900" t="s">
        <v>127</v>
      </c>
      <c r="S900">
        <v>12.19</v>
      </c>
      <c r="T900">
        <v>0.25</v>
      </c>
      <c r="U900">
        <v>4.07</v>
      </c>
      <c r="V900">
        <v>4.2699999999999996</v>
      </c>
      <c r="W900">
        <v>0</v>
      </c>
      <c r="X900" t="s">
        <v>251</v>
      </c>
      <c r="Y900" t="s">
        <v>252</v>
      </c>
      <c r="Z900" t="s">
        <v>58</v>
      </c>
      <c r="AA900" t="s">
        <v>59</v>
      </c>
      <c r="AB900" t="s">
        <v>60</v>
      </c>
      <c r="AC900" t="s">
        <v>61</v>
      </c>
      <c r="AD900" t="s">
        <v>49</v>
      </c>
      <c r="AE900" t="s">
        <v>49</v>
      </c>
      <c r="AF900" t="s">
        <v>49</v>
      </c>
      <c r="AG900" t="s">
        <v>49</v>
      </c>
      <c r="AH900" t="s">
        <v>48</v>
      </c>
      <c r="AI900" t="s">
        <v>48</v>
      </c>
      <c r="AJ900" t="s">
        <v>48</v>
      </c>
      <c r="AK900" t="s">
        <v>62</v>
      </c>
      <c r="AL900" t="s">
        <v>63</v>
      </c>
      <c r="AM900" t="s">
        <v>61</v>
      </c>
      <c r="AN900" t="s">
        <v>64</v>
      </c>
      <c r="AO900" t="s">
        <v>253</v>
      </c>
      <c r="AP900">
        <v>37</v>
      </c>
      <c r="AQ900" t="s">
        <v>254</v>
      </c>
      <c r="AR900" t="s">
        <v>48</v>
      </c>
      <c r="AS900">
        <v>2015</v>
      </c>
      <c r="AT900" t="s">
        <v>49</v>
      </c>
      <c r="AU900" t="s">
        <v>48</v>
      </c>
      <c r="AV900" t="s">
        <v>48</v>
      </c>
      <c r="AW900" t="s">
        <v>48</v>
      </c>
    </row>
    <row r="901" spans="1:49" x14ac:dyDescent="0.3">
      <c r="A901" t="s">
        <v>2431</v>
      </c>
      <c r="B901" t="s">
        <v>48</v>
      </c>
      <c r="C901" t="s">
        <v>49</v>
      </c>
      <c r="D901">
        <v>485.89</v>
      </c>
      <c r="E901">
        <v>0</v>
      </c>
      <c r="F901">
        <v>1.17</v>
      </c>
      <c r="G901" t="s">
        <v>2432</v>
      </c>
      <c r="H901" t="s">
        <v>2433</v>
      </c>
      <c r="I901" t="s">
        <v>52</v>
      </c>
      <c r="J901" t="s">
        <v>53</v>
      </c>
      <c r="K901">
        <v>5200</v>
      </c>
      <c r="L901" t="s">
        <v>126</v>
      </c>
      <c r="M901">
        <f>DOWNLOAD_2kLRbPnDtawQopEJ_UKtt22ud9U57gk8mqebZIeugNk[[#This Row],[Standard Value]]</f>
        <v>5200</v>
      </c>
      <c r="N901">
        <f>-LOG(DOWNLOAD_2kLRbPnDtawQopEJ_UKtt22ud9U57gk8mqebZIeugNk[[#This Row],[IC50]]*POWER(10, -9), 10)</f>
        <v>5.2839966563651997</v>
      </c>
      <c r="O901">
        <v>5.28</v>
      </c>
      <c r="P901" t="s">
        <v>48</v>
      </c>
      <c r="Q901">
        <v>302887</v>
      </c>
      <c r="R901" t="s">
        <v>127</v>
      </c>
      <c r="S901">
        <v>10.87</v>
      </c>
      <c r="T901">
        <v>0.21</v>
      </c>
      <c r="U901">
        <v>4.1100000000000003</v>
      </c>
      <c r="V901">
        <v>3.66</v>
      </c>
      <c r="W901">
        <v>0</v>
      </c>
      <c r="X901" t="s">
        <v>251</v>
      </c>
      <c r="Y901" t="s">
        <v>252</v>
      </c>
      <c r="Z901" t="s">
        <v>58</v>
      </c>
      <c r="AA901" t="s">
        <v>59</v>
      </c>
      <c r="AB901" t="s">
        <v>60</v>
      </c>
      <c r="AC901" t="s">
        <v>61</v>
      </c>
      <c r="AD901" t="s">
        <v>49</v>
      </c>
      <c r="AE901" t="s">
        <v>49</v>
      </c>
      <c r="AF901" t="s">
        <v>49</v>
      </c>
      <c r="AG901" t="s">
        <v>49</v>
      </c>
      <c r="AH901" t="s">
        <v>48</v>
      </c>
      <c r="AI901" t="s">
        <v>48</v>
      </c>
      <c r="AJ901" t="s">
        <v>48</v>
      </c>
      <c r="AK901" t="s">
        <v>62</v>
      </c>
      <c r="AL901" t="s">
        <v>63</v>
      </c>
      <c r="AM901" t="s">
        <v>61</v>
      </c>
      <c r="AN901" t="s">
        <v>64</v>
      </c>
      <c r="AO901" t="s">
        <v>253</v>
      </c>
      <c r="AP901">
        <v>37</v>
      </c>
      <c r="AQ901" t="s">
        <v>254</v>
      </c>
      <c r="AR901" t="s">
        <v>48</v>
      </c>
      <c r="AS901">
        <v>2015</v>
      </c>
      <c r="AT901" t="s">
        <v>49</v>
      </c>
      <c r="AU901" t="s">
        <v>48</v>
      </c>
      <c r="AV901" t="s">
        <v>48</v>
      </c>
      <c r="AW901" t="s">
        <v>48</v>
      </c>
    </row>
    <row r="902" spans="1:49" x14ac:dyDescent="0.3">
      <c r="A902" t="s">
        <v>2434</v>
      </c>
      <c r="B902" t="s">
        <v>48</v>
      </c>
      <c r="C902" t="s">
        <v>49</v>
      </c>
      <c r="D902">
        <v>488.91</v>
      </c>
      <c r="E902">
        <v>0</v>
      </c>
      <c r="F902">
        <v>1.89</v>
      </c>
      <c r="G902" t="s">
        <v>2435</v>
      </c>
      <c r="H902" t="s">
        <v>2436</v>
      </c>
      <c r="I902" t="s">
        <v>52</v>
      </c>
      <c r="J902" t="s">
        <v>53</v>
      </c>
      <c r="K902">
        <v>1100</v>
      </c>
      <c r="L902" t="s">
        <v>126</v>
      </c>
      <c r="M902">
        <f>DOWNLOAD_2kLRbPnDtawQopEJ_UKtt22ud9U57gk8mqebZIeugNk[[#This Row],[Standard Value]]</f>
        <v>1100</v>
      </c>
      <c r="N902">
        <f>-LOG(DOWNLOAD_2kLRbPnDtawQopEJ_UKtt22ud9U57gk8mqebZIeugNk[[#This Row],[IC50]]*POWER(10, -9), 10)</f>
        <v>5.9586073148417746</v>
      </c>
      <c r="O902">
        <v>5.96</v>
      </c>
      <c r="P902" t="s">
        <v>48</v>
      </c>
      <c r="Q902">
        <v>302888</v>
      </c>
      <c r="R902" t="s">
        <v>127</v>
      </c>
      <c r="S902">
        <v>12.19</v>
      </c>
      <c r="T902">
        <v>0.25</v>
      </c>
      <c r="U902">
        <v>4.07</v>
      </c>
      <c r="V902">
        <v>4.2699999999999996</v>
      </c>
      <c r="W902">
        <v>0</v>
      </c>
      <c r="X902" t="s">
        <v>251</v>
      </c>
      <c r="Y902" t="s">
        <v>252</v>
      </c>
      <c r="Z902" t="s">
        <v>58</v>
      </c>
      <c r="AA902" t="s">
        <v>59</v>
      </c>
      <c r="AB902" t="s">
        <v>60</v>
      </c>
      <c r="AC902" t="s">
        <v>61</v>
      </c>
      <c r="AD902" t="s">
        <v>49</v>
      </c>
      <c r="AE902" t="s">
        <v>49</v>
      </c>
      <c r="AF902" t="s">
        <v>49</v>
      </c>
      <c r="AG902" t="s">
        <v>49</v>
      </c>
      <c r="AH902" t="s">
        <v>48</v>
      </c>
      <c r="AI902" t="s">
        <v>48</v>
      </c>
      <c r="AJ902" t="s">
        <v>48</v>
      </c>
      <c r="AK902" t="s">
        <v>62</v>
      </c>
      <c r="AL902" t="s">
        <v>63</v>
      </c>
      <c r="AM902" t="s">
        <v>61</v>
      </c>
      <c r="AN902" t="s">
        <v>64</v>
      </c>
      <c r="AO902" t="s">
        <v>253</v>
      </c>
      <c r="AP902">
        <v>37</v>
      </c>
      <c r="AQ902" t="s">
        <v>254</v>
      </c>
      <c r="AR902" t="s">
        <v>48</v>
      </c>
      <c r="AS902">
        <v>2015</v>
      </c>
      <c r="AT902" t="s">
        <v>49</v>
      </c>
      <c r="AU902" t="s">
        <v>48</v>
      </c>
      <c r="AV902" t="s">
        <v>48</v>
      </c>
      <c r="AW902" t="s">
        <v>48</v>
      </c>
    </row>
    <row r="903" spans="1:49" x14ac:dyDescent="0.3">
      <c r="A903" t="s">
        <v>2437</v>
      </c>
      <c r="B903" t="s">
        <v>48</v>
      </c>
      <c r="C903" t="s">
        <v>49</v>
      </c>
      <c r="D903">
        <v>553.42999999999995</v>
      </c>
      <c r="E903">
        <v>2</v>
      </c>
      <c r="F903">
        <v>2.5299999999999998</v>
      </c>
      <c r="G903" t="s">
        <v>2438</v>
      </c>
      <c r="H903" t="s">
        <v>2439</v>
      </c>
      <c r="I903" t="s">
        <v>52</v>
      </c>
      <c r="J903" t="s">
        <v>53</v>
      </c>
      <c r="K903">
        <v>350</v>
      </c>
      <c r="L903" t="s">
        <v>126</v>
      </c>
      <c r="M903">
        <f>DOWNLOAD_2kLRbPnDtawQopEJ_UKtt22ud9U57gk8mqebZIeugNk[[#This Row],[Standard Value]]</f>
        <v>350</v>
      </c>
      <c r="N903">
        <f>-LOG(DOWNLOAD_2kLRbPnDtawQopEJ_UKtt22ud9U57gk8mqebZIeugNk[[#This Row],[IC50]]*POWER(10, -9), 10)</f>
        <v>6.4559319556497243</v>
      </c>
      <c r="O903">
        <v>6.46</v>
      </c>
      <c r="P903" t="s">
        <v>48</v>
      </c>
      <c r="R903" t="s">
        <v>127</v>
      </c>
      <c r="S903">
        <v>11.67</v>
      </c>
      <c r="T903">
        <v>0.24</v>
      </c>
      <c r="U903">
        <v>3.93</v>
      </c>
      <c r="V903">
        <v>3.82</v>
      </c>
      <c r="W903">
        <v>0</v>
      </c>
      <c r="X903" t="s">
        <v>1726</v>
      </c>
      <c r="Y903" t="s">
        <v>878</v>
      </c>
      <c r="Z903" t="s">
        <v>58</v>
      </c>
      <c r="AA903" t="s">
        <v>59</v>
      </c>
      <c r="AB903" t="s">
        <v>60</v>
      </c>
      <c r="AC903" t="s">
        <v>61</v>
      </c>
      <c r="AD903" t="s">
        <v>49</v>
      </c>
      <c r="AE903" t="s">
        <v>49</v>
      </c>
      <c r="AF903" t="s">
        <v>49</v>
      </c>
      <c r="AG903" t="s">
        <v>49</v>
      </c>
      <c r="AH903" t="s">
        <v>48</v>
      </c>
      <c r="AI903" t="s">
        <v>48</v>
      </c>
      <c r="AJ903" t="s">
        <v>48</v>
      </c>
      <c r="AK903" t="s">
        <v>62</v>
      </c>
      <c r="AL903" t="s">
        <v>63</v>
      </c>
      <c r="AM903" t="s">
        <v>61</v>
      </c>
      <c r="AN903" t="s">
        <v>64</v>
      </c>
      <c r="AO903" t="s">
        <v>1727</v>
      </c>
      <c r="AP903">
        <v>1</v>
      </c>
      <c r="AQ903" t="s">
        <v>66</v>
      </c>
      <c r="AR903" t="s">
        <v>131</v>
      </c>
      <c r="AS903">
        <v>2021</v>
      </c>
      <c r="AT903" t="s">
        <v>49</v>
      </c>
      <c r="AU903" t="s">
        <v>48</v>
      </c>
      <c r="AV903" t="s">
        <v>269</v>
      </c>
      <c r="AW903" t="s">
        <v>48</v>
      </c>
    </row>
    <row r="904" spans="1:49" x14ac:dyDescent="0.3">
      <c r="A904" t="s">
        <v>2440</v>
      </c>
      <c r="B904" t="s">
        <v>48</v>
      </c>
      <c r="C904" t="s">
        <v>49</v>
      </c>
      <c r="D904">
        <v>376.39</v>
      </c>
      <c r="E904">
        <v>0</v>
      </c>
      <c r="F904">
        <v>3.4</v>
      </c>
      <c r="G904" t="s">
        <v>2441</v>
      </c>
      <c r="H904" t="s">
        <v>2442</v>
      </c>
      <c r="I904" t="s">
        <v>52</v>
      </c>
      <c r="J904" t="s">
        <v>53</v>
      </c>
      <c r="K904">
        <v>3.67</v>
      </c>
      <c r="L904" t="s">
        <v>54</v>
      </c>
      <c r="M904">
        <f>DOWNLOAD_2kLRbPnDtawQopEJ_UKtt22ud9U57gk8mqebZIeugNk[[#This Row],[Standard Value]]/DOWNLOAD_2kLRbPnDtawQopEJ_UKtt22ud9U57gk8mqebZIeugNk[[#This Row],[Molecular Weight]]*1000*1000</f>
        <v>9750.5247216982389</v>
      </c>
      <c r="N904">
        <f>-LOG(DOWNLOAD_2kLRbPnDtawQopEJ_UKtt22ud9U57gk8mqebZIeugNk[[#This Row],[IC50]]*POWER(10, -9), 10)</f>
        <v>5.0109720122392867</v>
      </c>
      <c r="P904" t="s">
        <v>48</v>
      </c>
      <c r="R904" t="s">
        <v>55</v>
      </c>
      <c r="W904">
        <v>0</v>
      </c>
      <c r="X904" t="s">
        <v>2373</v>
      </c>
      <c r="Y904" t="s">
        <v>2374</v>
      </c>
      <c r="Z904" t="s">
        <v>58</v>
      </c>
      <c r="AA904" t="s">
        <v>59</v>
      </c>
      <c r="AB904" t="s">
        <v>60</v>
      </c>
      <c r="AC904" t="s">
        <v>61</v>
      </c>
      <c r="AD904" t="s">
        <v>49</v>
      </c>
      <c r="AE904" t="s">
        <v>49</v>
      </c>
      <c r="AF904" t="s">
        <v>49</v>
      </c>
      <c r="AG904" t="s">
        <v>49</v>
      </c>
      <c r="AH904" t="s">
        <v>48</v>
      </c>
      <c r="AI904" t="s">
        <v>48</v>
      </c>
      <c r="AJ904" t="s">
        <v>48</v>
      </c>
      <c r="AK904" t="s">
        <v>62</v>
      </c>
      <c r="AL904" t="s">
        <v>63</v>
      </c>
      <c r="AM904" t="s">
        <v>61</v>
      </c>
      <c r="AN904" t="s">
        <v>64</v>
      </c>
      <c r="AO904" t="s">
        <v>2375</v>
      </c>
      <c r="AP904">
        <v>1</v>
      </c>
      <c r="AQ904" t="s">
        <v>66</v>
      </c>
      <c r="AR904" t="s">
        <v>131</v>
      </c>
      <c r="AS904">
        <v>2020</v>
      </c>
      <c r="AT904" t="s">
        <v>49</v>
      </c>
      <c r="AU904" t="s">
        <v>48</v>
      </c>
      <c r="AV904" t="s">
        <v>269</v>
      </c>
      <c r="AW904" t="s">
        <v>48</v>
      </c>
    </row>
    <row r="905" spans="1:49" x14ac:dyDescent="0.3">
      <c r="A905" t="s">
        <v>2443</v>
      </c>
      <c r="B905" t="s">
        <v>48</v>
      </c>
      <c r="C905" t="s">
        <v>49</v>
      </c>
      <c r="D905">
        <v>492.51</v>
      </c>
      <c r="E905">
        <v>0</v>
      </c>
      <c r="F905">
        <v>2.2599999999999998</v>
      </c>
      <c r="G905" t="s">
        <v>224</v>
      </c>
      <c r="H905" t="s">
        <v>2444</v>
      </c>
      <c r="I905" t="s">
        <v>52</v>
      </c>
      <c r="J905" t="s">
        <v>53</v>
      </c>
      <c r="K905">
        <v>0.21</v>
      </c>
      <c r="L905" t="s">
        <v>54</v>
      </c>
      <c r="M905">
        <f>DOWNLOAD_2kLRbPnDtawQopEJ_UKtt22ud9U57gk8mqebZIeugNk[[#This Row],[Standard Value]]/DOWNLOAD_2kLRbPnDtawQopEJ_UKtt22ud9U57gk8mqebZIeugNk[[#This Row],[Molecular Weight]]*1000*1000</f>
        <v>426.38728147651824</v>
      </c>
      <c r="N905">
        <f>-LOG(DOWNLOAD_2kLRbPnDtawQopEJ_UKtt22ud9U57gk8mqebZIeugNk[[#This Row],[IC50]]*POWER(10, -9), 10)</f>
        <v>6.3701957581722564</v>
      </c>
      <c r="P905" t="s">
        <v>48</v>
      </c>
      <c r="R905" t="s">
        <v>55</v>
      </c>
      <c r="W905">
        <v>0</v>
      </c>
      <c r="X905" t="s">
        <v>877</v>
      </c>
      <c r="Y905" t="s">
        <v>878</v>
      </c>
      <c r="Z905" t="s">
        <v>58</v>
      </c>
      <c r="AA905" t="s">
        <v>59</v>
      </c>
      <c r="AB905" t="s">
        <v>60</v>
      </c>
      <c r="AC905" t="s">
        <v>61</v>
      </c>
      <c r="AD905" t="s">
        <v>49</v>
      </c>
      <c r="AE905" t="s">
        <v>49</v>
      </c>
      <c r="AF905" t="s">
        <v>49</v>
      </c>
      <c r="AG905" t="s">
        <v>49</v>
      </c>
      <c r="AH905" t="s">
        <v>48</v>
      </c>
      <c r="AI905" t="s">
        <v>48</v>
      </c>
      <c r="AJ905" t="s">
        <v>48</v>
      </c>
      <c r="AK905" t="s">
        <v>62</v>
      </c>
      <c r="AL905" t="s">
        <v>63</v>
      </c>
      <c r="AM905" t="s">
        <v>61</v>
      </c>
      <c r="AN905" t="s">
        <v>64</v>
      </c>
      <c r="AO905" t="s">
        <v>879</v>
      </c>
      <c r="AP905">
        <v>1</v>
      </c>
      <c r="AQ905" t="s">
        <v>66</v>
      </c>
      <c r="AR905" t="s">
        <v>131</v>
      </c>
      <c r="AS905">
        <v>2020</v>
      </c>
      <c r="AT905" t="s">
        <v>49</v>
      </c>
      <c r="AU905" t="s">
        <v>48</v>
      </c>
      <c r="AV905" t="s">
        <v>269</v>
      </c>
      <c r="AW905" t="s">
        <v>48</v>
      </c>
    </row>
    <row r="906" spans="1:49" x14ac:dyDescent="0.3">
      <c r="A906" t="s">
        <v>2445</v>
      </c>
      <c r="B906" t="s">
        <v>48</v>
      </c>
      <c r="C906" t="s">
        <v>49</v>
      </c>
      <c r="D906">
        <v>430.91</v>
      </c>
      <c r="E906">
        <v>0</v>
      </c>
      <c r="F906">
        <v>4.03</v>
      </c>
      <c r="G906" t="s">
        <v>224</v>
      </c>
      <c r="H906" t="s">
        <v>2446</v>
      </c>
      <c r="I906" t="s">
        <v>52</v>
      </c>
      <c r="J906" t="s">
        <v>53</v>
      </c>
      <c r="K906">
        <v>62000</v>
      </c>
      <c r="L906" t="s">
        <v>126</v>
      </c>
      <c r="M906">
        <f>DOWNLOAD_2kLRbPnDtawQopEJ_UKtt22ud9U57gk8mqebZIeugNk[[#This Row],[Standard Value]]</f>
        <v>62000</v>
      </c>
      <c r="N906">
        <f>-LOG(DOWNLOAD_2kLRbPnDtawQopEJ_UKtt22ud9U57gk8mqebZIeugNk[[#This Row],[IC50]]*POWER(10, -9), 10)</f>
        <v>4.2076083105017457</v>
      </c>
      <c r="O906">
        <v>4.21</v>
      </c>
      <c r="P906" t="s">
        <v>48</v>
      </c>
      <c r="R906" t="s">
        <v>127</v>
      </c>
      <c r="S906">
        <v>10.67</v>
      </c>
      <c r="T906">
        <v>0.2</v>
      </c>
      <c r="U906">
        <v>0.18</v>
      </c>
      <c r="V906">
        <v>4.97</v>
      </c>
      <c r="W906">
        <v>0</v>
      </c>
      <c r="X906" t="s">
        <v>1546</v>
      </c>
      <c r="Y906" t="s">
        <v>1547</v>
      </c>
      <c r="Z906" t="s">
        <v>58</v>
      </c>
      <c r="AA906" t="s">
        <v>59</v>
      </c>
      <c r="AB906" t="s">
        <v>60</v>
      </c>
      <c r="AC906" t="s">
        <v>61</v>
      </c>
      <c r="AD906" t="s">
        <v>49</v>
      </c>
      <c r="AE906" t="s">
        <v>49</v>
      </c>
      <c r="AF906" t="s">
        <v>49</v>
      </c>
      <c r="AG906" t="s">
        <v>49</v>
      </c>
      <c r="AH906" t="s">
        <v>48</v>
      </c>
      <c r="AI906" t="s">
        <v>48</v>
      </c>
      <c r="AJ906" t="s">
        <v>48</v>
      </c>
      <c r="AK906" t="s">
        <v>62</v>
      </c>
      <c r="AL906" t="s">
        <v>63</v>
      </c>
      <c r="AM906" t="s">
        <v>61</v>
      </c>
      <c r="AN906" t="s">
        <v>64</v>
      </c>
      <c r="AO906" t="s">
        <v>1548</v>
      </c>
      <c r="AP906">
        <v>1</v>
      </c>
      <c r="AQ906" t="s">
        <v>66</v>
      </c>
      <c r="AR906" t="s">
        <v>1549</v>
      </c>
      <c r="AS906">
        <v>2022</v>
      </c>
      <c r="AT906" t="s">
        <v>49</v>
      </c>
      <c r="AU906" t="s">
        <v>299</v>
      </c>
      <c r="AV906" t="s">
        <v>269</v>
      </c>
      <c r="AW906" t="s">
        <v>48</v>
      </c>
    </row>
    <row r="907" spans="1:49" x14ac:dyDescent="0.3">
      <c r="A907" t="s">
        <v>2447</v>
      </c>
      <c r="B907" t="s">
        <v>48</v>
      </c>
      <c r="C907" t="s">
        <v>49</v>
      </c>
      <c r="D907">
        <v>1110.0899999999999</v>
      </c>
      <c r="G907" t="s">
        <v>2448</v>
      </c>
      <c r="H907" t="s">
        <v>2449</v>
      </c>
      <c r="I907" t="s">
        <v>52</v>
      </c>
      <c r="J907" t="s">
        <v>53</v>
      </c>
      <c r="K907">
        <v>30</v>
      </c>
      <c r="L907" t="s">
        <v>126</v>
      </c>
      <c r="M907">
        <f>DOWNLOAD_2kLRbPnDtawQopEJ_UKtt22ud9U57gk8mqebZIeugNk[[#This Row],[Standard Value]]</f>
        <v>30</v>
      </c>
      <c r="N907">
        <f>-LOG(DOWNLOAD_2kLRbPnDtawQopEJ_UKtt22ud9U57gk8mqebZIeugNk[[#This Row],[IC50]]*POWER(10, -9), 10)</f>
        <v>7.5228787452803374</v>
      </c>
      <c r="O907">
        <v>7.52</v>
      </c>
      <c r="P907" t="s">
        <v>48</v>
      </c>
      <c r="R907" t="s">
        <v>127</v>
      </c>
      <c r="S907">
        <v>6.78</v>
      </c>
      <c r="W907">
        <v>0</v>
      </c>
      <c r="X907" t="s">
        <v>1567</v>
      </c>
      <c r="Y907" t="s">
        <v>1535</v>
      </c>
      <c r="Z907" t="s">
        <v>58</v>
      </c>
      <c r="AA907" t="s">
        <v>59</v>
      </c>
      <c r="AB907" t="s">
        <v>60</v>
      </c>
      <c r="AC907" t="s">
        <v>61</v>
      </c>
      <c r="AD907" t="s">
        <v>49</v>
      </c>
      <c r="AE907" t="s">
        <v>49</v>
      </c>
      <c r="AF907" t="s">
        <v>49</v>
      </c>
      <c r="AG907" t="s">
        <v>49</v>
      </c>
      <c r="AH907" t="s">
        <v>48</v>
      </c>
      <c r="AI907" t="s">
        <v>48</v>
      </c>
      <c r="AJ907" t="s">
        <v>48</v>
      </c>
      <c r="AK907" t="s">
        <v>62</v>
      </c>
      <c r="AL907" t="s">
        <v>63</v>
      </c>
      <c r="AM907" t="s">
        <v>61</v>
      </c>
      <c r="AN907" t="s">
        <v>64</v>
      </c>
      <c r="AO907" t="s">
        <v>1568</v>
      </c>
      <c r="AP907">
        <v>1</v>
      </c>
      <c r="AQ907" t="s">
        <v>66</v>
      </c>
      <c r="AR907" t="s">
        <v>267</v>
      </c>
      <c r="AS907">
        <v>2016</v>
      </c>
      <c r="AT907" t="s">
        <v>49</v>
      </c>
      <c r="AU907" t="s">
        <v>48</v>
      </c>
      <c r="AV907" t="s">
        <v>269</v>
      </c>
      <c r="AW907" t="s">
        <v>48</v>
      </c>
    </row>
    <row r="908" spans="1:49" x14ac:dyDescent="0.3">
      <c r="A908" t="s">
        <v>2450</v>
      </c>
      <c r="B908" t="s">
        <v>48</v>
      </c>
      <c r="C908" t="s">
        <v>49</v>
      </c>
      <c r="D908">
        <v>501.5</v>
      </c>
      <c r="E908">
        <v>1</v>
      </c>
      <c r="F908">
        <v>1.53</v>
      </c>
      <c r="G908" t="s">
        <v>1217</v>
      </c>
      <c r="H908" t="s">
        <v>2451</v>
      </c>
      <c r="I908" t="s">
        <v>52</v>
      </c>
      <c r="J908" t="s">
        <v>53</v>
      </c>
      <c r="K908">
        <v>90</v>
      </c>
      <c r="L908" t="s">
        <v>126</v>
      </c>
      <c r="M908">
        <f>DOWNLOAD_2kLRbPnDtawQopEJ_UKtt22ud9U57gk8mqebZIeugNk[[#This Row],[Standard Value]]</f>
        <v>90</v>
      </c>
      <c r="N908">
        <f>-LOG(DOWNLOAD_2kLRbPnDtawQopEJ_UKtt22ud9U57gk8mqebZIeugNk[[#This Row],[IC50]]*POWER(10, -9), 10)</f>
        <v>7.0457574905606739</v>
      </c>
      <c r="O908">
        <v>7.05</v>
      </c>
      <c r="P908" t="s">
        <v>48</v>
      </c>
      <c r="R908" t="s">
        <v>127</v>
      </c>
      <c r="S908">
        <v>14.05</v>
      </c>
      <c r="T908">
        <v>0.26</v>
      </c>
      <c r="U908">
        <v>5.52</v>
      </c>
      <c r="V908">
        <v>4.6500000000000004</v>
      </c>
      <c r="W908">
        <v>0</v>
      </c>
      <c r="X908" t="s">
        <v>1534</v>
      </c>
      <c r="Y908" t="s">
        <v>1535</v>
      </c>
      <c r="Z908" t="s">
        <v>58</v>
      </c>
      <c r="AA908" t="s">
        <v>59</v>
      </c>
      <c r="AB908" t="s">
        <v>60</v>
      </c>
      <c r="AC908" t="s">
        <v>61</v>
      </c>
      <c r="AD908" t="s">
        <v>49</v>
      </c>
      <c r="AE908" t="s">
        <v>49</v>
      </c>
      <c r="AF908" t="s">
        <v>49</v>
      </c>
      <c r="AG908" t="s">
        <v>49</v>
      </c>
      <c r="AH908" t="s">
        <v>48</v>
      </c>
      <c r="AI908" t="s">
        <v>48</v>
      </c>
      <c r="AJ908" t="s">
        <v>48</v>
      </c>
      <c r="AK908" t="s">
        <v>62</v>
      </c>
      <c r="AL908" t="s">
        <v>63</v>
      </c>
      <c r="AM908" t="s">
        <v>61</v>
      </c>
      <c r="AN908" t="s">
        <v>64</v>
      </c>
      <c r="AO908" t="s">
        <v>1536</v>
      </c>
      <c r="AP908">
        <v>1</v>
      </c>
      <c r="AQ908" t="s">
        <v>66</v>
      </c>
      <c r="AR908" t="s">
        <v>76</v>
      </c>
      <c r="AS908">
        <v>2022</v>
      </c>
      <c r="AT908" t="s">
        <v>49</v>
      </c>
      <c r="AU908" t="s">
        <v>48</v>
      </c>
      <c r="AV908" t="s">
        <v>269</v>
      </c>
      <c r="AW908" t="s">
        <v>48</v>
      </c>
    </row>
    <row r="909" spans="1:49" x14ac:dyDescent="0.3">
      <c r="A909" t="s">
        <v>2452</v>
      </c>
      <c r="B909" t="s">
        <v>48</v>
      </c>
      <c r="C909" t="s">
        <v>49</v>
      </c>
      <c r="D909">
        <v>371.32</v>
      </c>
      <c r="E909">
        <v>0</v>
      </c>
      <c r="F909">
        <v>2.37</v>
      </c>
      <c r="G909" t="s">
        <v>643</v>
      </c>
      <c r="H909" t="s">
        <v>2453</v>
      </c>
      <c r="I909" t="s">
        <v>52</v>
      </c>
      <c r="J909" t="s">
        <v>53</v>
      </c>
      <c r="K909">
        <v>2.0499999999999998</v>
      </c>
      <c r="L909" t="s">
        <v>126</v>
      </c>
      <c r="M909">
        <f>DOWNLOAD_2kLRbPnDtawQopEJ_UKtt22ud9U57gk8mqebZIeugNk[[#This Row],[Standard Value]]</f>
        <v>2.0499999999999998</v>
      </c>
      <c r="N909">
        <f>-LOG(DOWNLOAD_2kLRbPnDtawQopEJ_UKtt22ud9U57gk8mqebZIeugNk[[#This Row],[IC50]]*POWER(10, -9), 10)</f>
        <v>8.6882461389442458</v>
      </c>
      <c r="O909">
        <v>8.69</v>
      </c>
      <c r="P909" t="s">
        <v>48</v>
      </c>
      <c r="R909" t="s">
        <v>127</v>
      </c>
      <c r="S909">
        <v>23.4</v>
      </c>
      <c r="T909">
        <v>0.44</v>
      </c>
      <c r="U909">
        <v>6.32</v>
      </c>
      <c r="V909">
        <v>6.61</v>
      </c>
      <c r="W909">
        <v>0</v>
      </c>
      <c r="X909" t="s">
        <v>264</v>
      </c>
      <c r="Y909" t="s">
        <v>265</v>
      </c>
      <c r="Z909" t="s">
        <v>58</v>
      </c>
      <c r="AA909" t="s">
        <v>59</v>
      </c>
      <c r="AB909" t="s">
        <v>60</v>
      </c>
      <c r="AC909" t="s">
        <v>61</v>
      </c>
      <c r="AD909" t="s">
        <v>49</v>
      </c>
      <c r="AE909" t="s">
        <v>49</v>
      </c>
      <c r="AF909" t="s">
        <v>49</v>
      </c>
      <c r="AG909" t="s">
        <v>49</v>
      </c>
      <c r="AH909" t="s">
        <v>48</v>
      </c>
      <c r="AI909" t="s">
        <v>48</v>
      </c>
      <c r="AJ909" t="s">
        <v>48</v>
      </c>
      <c r="AK909" t="s">
        <v>62</v>
      </c>
      <c r="AL909" t="s">
        <v>63</v>
      </c>
      <c r="AM909" t="s">
        <v>61</v>
      </c>
      <c r="AN909" t="s">
        <v>64</v>
      </c>
      <c r="AO909" t="s">
        <v>266</v>
      </c>
      <c r="AP909">
        <v>1</v>
      </c>
      <c r="AQ909" t="s">
        <v>66</v>
      </c>
      <c r="AR909" t="s">
        <v>267</v>
      </c>
      <c r="AS909">
        <v>2020</v>
      </c>
      <c r="AT909" t="s">
        <v>49</v>
      </c>
      <c r="AU909" t="s">
        <v>268</v>
      </c>
      <c r="AV909" t="s">
        <v>269</v>
      </c>
      <c r="AW909" t="s">
        <v>48</v>
      </c>
    </row>
    <row r="910" spans="1:49" x14ac:dyDescent="0.3">
      <c r="A910" t="s">
        <v>2454</v>
      </c>
      <c r="B910" t="s">
        <v>48</v>
      </c>
      <c r="C910" t="s">
        <v>49</v>
      </c>
      <c r="D910">
        <v>371.44</v>
      </c>
      <c r="E910">
        <v>0</v>
      </c>
      <c r="F910">
        <v>2.2200000000000002</v>
      </c>
      <c r="G910" t="s">
        <v>2455</v>
      </c>
      <c r="H910" t="s">
        <v>2456</v>
      </c>
      <c r="I910" t="s">
        <v>52</v>
      </c>
      <c r="J910" t="s">
        <v>53</v>
      </c>
      <c r="K910">
        <v>3.2</v>
      </c>
      <c r="L910" t="s">
        <v>54</v>
      </c>
      <c r="M910">
        <f>DOWNLOAD_2kLRbPnDtawQopEJ_UKtt22ud9U57gk8mqebZIeugNk[[#This Row],[Standard Value]]/DOWNLOAD_2kLRbPnDtawQopEJ_UKtt22ud9U57gk8mqebZIeugNk[[#This Row],[Molecular Weight]]*1000*1000</f>
        <v>8615.1195347835474</v>
      </c>
      <c r="N910">
        <f>-LOG(DOWNLOAD_2kLRbPnDtawQopEJ_UKtt22ud9U57gk8mqebZIeugNk[[#This Row],[IC50]]*POWER(10, -9), 10)</f>
        <v>5.0647386923382109</v>
      </c>
      <c r="P910" t="s">
        <v>48</v>
      </c>
      <c r="R910" t="s">
        <v>55</v>
      </c>
      <c r="W910">
        <v>0</v>
      </c>
      <c r="X910" t="s">
        <v>2350</v>
      </c>
      <c r="Y910" t="s">
        <v>878</v>
      </c>
      <c r="Z910" t="s">
        <v>58</v>
      </c>
      <c r="AA910" t="s">
        <v>59</v>
      </c>
      <c r="AB910" t="s">
        <v>60</v>
      </c>
      <c r="AC910" t="s">
        <v>61</v>
      </c>
      <c r="AD910" t="s">
        <v>49</v>
      </c>
      <c r="AE910" t="s">
        <v>49</v>
      </c>
      <c r="AF910" t="s">
        <v>49</v>
      </c>
      <c r="AG910" t="s">
        <v>49</v>
      </c>
      <c r="AH910" t="s">
        <v>48</v>
      </c>
      <c r="AI910" t="s">
        <v>48</v>
      </c>
      <c r="AJ910" t="s">
        <v>48</v>
      </c>
      <c r="AK910" t="s">
        <v>62</v>
      </c>
      <c r="AL910" t="s">
        <v>63</v>
      </c>
      <c r="AM910" t="s">
        <v>61</v>
      </c>
      <c r="AN910" t="s">
        <v>64</v>
      </c>
      <c r="AO910" t="s">
        <v>2351</v>
      </c>
      <c r="AP910">
        <v>1</v>
      </c>
      <c r="AQ910" t="s">
        <v>66</v>
      </c>
      <c r="AR910" t="s">
        <v>131</v>
      </c>
      <c r="AS910">
        <v>2018</v>
      </c>
      <c r="AT910" t="s">
        <v>49</v>
      </c>
      <c r="AU910" t="s">
        <v>48</v>
      </c>
      <c r="AV910" t="s">
        <v>269</v>
      </c>
      <c r="AW910" t="s">
        <v>48</v>
      </c>
    </row>
    <row r="911" spans="1:49" x14ac:dyDescent="0.3">
      <c r="A911" t="s">
        <v>241</v>
      </c>
      <c r="B911" t="s">
        <v>242</v>
      </c>
      <c r="C911" t="s">
        <v>112</v>
      </c>
      <c r="D911">
        <v>740.76</v>
      </c>
      <c r="E911">
        <v>0</v>
      </c>
      <c r="F911">
        <v>1.54</v>
      </c>
      <c r="G911" t="s">
        <v>2457</v>
      </c>
      <c r="H911" t="s">
        <v>244</v>
      </c>
      <c r="I911" t="s">
        <v>52</v>
      </c>
      <c r="J911" t="s">
        <v>53</v>
      </c>
      <c r="K911">
        <v>3.2</v>
      </c>
      <c r="L911" t="s">
        <v>54</v>
      </c>
      <c r="M911">
        <f>DOWNLOAD_2kLRbPnDtawQopEJ_UKtt22ud9U57gk8mqebZIeugNk[[#This Row],[Standard Value]]/DOWNLOAD_2kLRbPnDtawQopEJ_UKtt22ud9U57gk8mqebZIeugNk[[#This Row],[Molecular Weight]]*1000*1000</f>
        <v>4319.8876829202445</v>
      </c>
      <c r="N911">
        <f>-LOG(DOWNLOAD_2kLRbPnDtawQopEJ_UKtt22ud9U57gk8mqebZIeugNk[[#This Row],[IC50]]*POWER(10, -9), 10)</f>
        <v>5.3645275446948277</v>
      </c>
      <c r="P911" t="s">
        <v>48</v>
      </c>
      <c r="R911" t="s">
        <v>55</v>
      </c>
      <c r="W911">
        <v>0</v>
      </c>
      <c r="X911" t="s">
        <v>2350</v>
      </c>
      <c r="Y911" t="s">
        <v>878</v>
      </c>
      <c r="Z911" t="s">
        <v>58</v>
      </c>
      <c r="AA911" t="s">
        <v>59</v>
      </c>
      <c r="AB911" t="s">
        <v>60</v>
      </c>
      <c r="AC911" t="s">
        <v>61</v>
      </c>
      <c r="AD911" t="s">
        <v>49</v>
      </c>
      <c r="AE911" t="s">
        <v>49</v>
      </c>
      <c r="AF911" t="s">
        <v>49</v>
      </c>
      <c r="AG911" t="s">
        <v>49</v>
      </c>
      <c r="AH911" t="s">
        <v>48</v>
      </c>
      <c r="AI911" t="s">
        <v>48</v>
      </c>
      <c r="AJ911" t="s">
        <v>48</v>
      </c>
      <c r="AK911" t="s">
        <v>62</v>
      </c>
      <c r="AL911" t="s">
        <v>63</v>
      </c>
      <c r="AM911" t="s">
        <v>61</v>
      </c>
      <c r="AN911" t="s">
        <v>64</v>
      </c>
      <c r="AO911" t="s">
        <v>2351</v>
      </c>
      <c r="AP911">
        <v>1</v>
      </c>
      <c r="AQ911" t="s">
        <v>66</v>
      </c>
      <c r="AR911" t="s">
        <v>131</v>
      </c>
      <c r="AS911">
        <v>2018</v>
      </c>
      <c r="AT911" t="s">
        <v>49</v>
      </c>
      <c r="AU911" t="s">
        <v>48</v>
      </c>
      <c r="AV911" t="s">
        <v>269</v>
      </c>
      <c r="AW911" t="s">
        <v>48</v>
      </c>
    </row>
    <row r="912" spans="1:49" x14ac:dyDescent="0.3">
      <c r="A912" t="s">
        <v>2370</v>
      </c>
      <c r="B912" t="s">
        <v>48</v>
      </c>
      <c r="C912" t="s">
        <v>49</v>
      </c>
      <c r="D912">
        <v>516.20000000000005</v>
      </c>
      <c r="E912">
        <v>1</v>
      </c>
      <c r="F912">
        <v>4.79</v>
      </c>
      <c r="G912" t="s">
        <v>331</v>
      </c>
      <c r="H912" t="s">
        <v>2372</v>
      </c>
      <c r="I912" t="s">
        <v>52</v>
      </c>
      <c r="J912" t="s">
        <v>53</v>
      </c>
      <c r="K912">
        <v>1.74</v>
      </c>
      <c r="L912" t="s">
        <v>54</v>
      </c>
      <c r="M912">
        <f>DOWNLOAD_2kLRbPnDtawQopEJ_UKtt22ud9U57gk8mqebZIeugNk[[#This Row],[Standard Value]]/DOWNLOAD_2kLRbPnDtawQopEJ_UKtt22ud9U57gk8mqebZIeugNk[[#This Row],[Molecular Weight]]*1000*1000</f>
        <v>3370.7865168539324</v>
      </c>
      <c r="N912">
        <f>-LOG(DOWNLOAD_2kLRbPnDtawQopEJ_UKtt22ud9U57gk8mqebZIeugNk[[#This Row],[IC50]]*POWER(10, -9), 10)</f>
        <v>5.4722687519252498</v>
      </c>
      <c r="P912" t="s">
        <v>48</v>
      </c>
      <c r="R912" t="s">
        <v>55</v>
      </c>
      <c r="W912">
        <v>0</v>
      </c>
      <c r="X912" t="s">
        <v>877</v>
      </c>
      <c r="Y912" t="s">
        <v>878</v>
      </c>
      <c r="Z912" t="s">
        <v>58</v>
      </c>
      <c r="AA912" t="s">
        <v>59</v>
      </c>
      <c r="AB912" t="s">
        <v>60</v>
      </c>
      <c r="AC912" t="s">
        <v>61</v>
      </c>
      <c r="AD912" t="s">
        <v>49</v>
      </c>
      <c r="AE912" t="s">
        <v>49</v>
      </c>
      <c r="AF912" t="s">
        <v>49</v>
      </c>
      <c r="AG912" t="s">
        <v>49</v>
      </c>
      <c r="AH912" t="s">
        <v>48</v>
      </c>
      <c r="AI912" t="s">
        <v>48</v>
      </c>
      <c r="AJ912" t="s">
        <v>48</v>
      </c>
      <c r="AK912" t="s">
        <v>62</v>
      </c>
      <c r="AL912" t="s">
        <v>63</v>
      </c>
      <c r="AM912" t="s">
        <v>61</v>
      </c>
      <c r="AN912" t="s">
        <v>64</v>
      </c>
      <c r="AO912" t="s">
        <v>879</v>
      </c>
      <c r="AP912">
        <v>1</v>
      </c>
      <c r="AQ912" t="s">
        <v>66</v>
      </c>
      <c r="AR912" t="s">
        <v>131</v>
      </c>
      <c r="AS912">
        <v>2020</v>
      </c>
      <c r="AT912" t="s">
        <v>49</v>
      </c>
      <c r="AU912" t="s">
        <v>48</v>
      </c>
      <c r="AV912" t="s">
        <v>269</v>
      </c>
      <c r="AW912" t="s">
        <v>48</v>
      </c>
    </row>
    <row r="913" spans="1:49" x14ac:dyDescent="0.3">
      <c r="A913" t="s">
        <v>281</v>
      </c>
      <c r="B913" t="s">
        <v>282</v>
      </c>
      <c r="C913" t="s">
        <v>112</v>
      </c>
      <c r="D913">
        <v>331.35</v>
      </c>
      <c r="E913">
        <v>0</v>
      </c>
      <c r="F913">
        <v>1.58</v>
      </c>
      <c r="G913" t="s">
        <v>283</v>
      </c>
      <c r="H913" t="s">
        <v>284</v>
      </c>
      <c r="I913" t="s">
        <v>52</v>
      </c>
      <c r="J913" t="s">
        <v>53</v>
      </c>
      <c r="K913">
        <v>0.77</v>
      </c>
      <c r="L913" t="s">
        <v>54</v>
      </c>
      <c r="M913">
        <f>DOWNLOAD_2kLRbPnDtawQopEJ_UKtt22ud9U57gk8mqebZIeugNk[[#This Row],[Standard Value]]/DOWNLOAD_2kLRbPnDtawQopEJ_UKtt22ud9U57gk8mqebZIeugNk[[#This Row],[Molecular Weight]]*1000*1000</f>
        <v>2323.8267692771992</v>
      </c>
      <c r="N913">
        <f>-LOG(DOWNLOAD_2kLRbPnDtawQopEJ_UKtt22ud9U57gk8mqebZIeugNk[[#This Row],[IC50]]*POWER(10, -9), 10)</f>
        <v>5.6337962497546332</v>
      </c>
      <c r="P913" t="s">
        <v>48</v>
      </c>
      <c r="R913" t="s">
        <v>55</v>
      </c>
      <c r="W913">
        <v>0</v>
      </c>
      <c r="X913" t="s">
        <v>877</v>
      </c>
      <c r="Y913" t="s">
        <v>878</v>
      </c>
      <c r="Z913" t="s">
        <v>58</v>
      </c>
      <c r="AA913" t="s">
        <v>59</v>
      </c>
      <c r="AB913" t="s">
        <v>60</v>
      </c>
      <c r="AC913" t="s">
        <v>61</v>
      </c>
      <c r="AD913" t="s">
        <v>49</v>
      </c>
      <c r="AE913" t="s">
        <v>49</v>
      </c>
      <c r="AF913" t="s">
        <v>49</v>
      </c>
      <c r="AG913" t="s">
        <v>49</v>
      </c>
      <c r="AH913" t="s">
        <v>48</v>
      </c>
      <c r="AI913" t="s">
        <v>48</v>
      </c>
      <c r="AJ913" t="s">
        <v>48</v>
      </c>
      <c r="AK913" t="s">
        <v>62</v>
      </c>
      <c r="AL913" t="s">
        <v>63</v>
      </c>
      <c r="AM913" t="s">
        <v>61</v>
      </c>
      <c r="AN913" t="s">
        <v>64</v>
      </c>
      <c r="AO913" t="s">
        <v>879</v>
      </c>
      <c r="AP913">
        <v>1</v>
      </c>
      <c r="AQ913" t="s">
        <v>66</v>
      </c>
      <c r="AR913" t="s">
        <v>131</v>
      </c>
      <c r="AS913">
        <v>2020</v>
      </c>
      <c r="AT913" t="s">
        <v>49</v>
      </c>
      <c r="AU913" t="s">
        <v>48</v>
      </c>
      <c r="AV913" t="s">
        <v>269</v>
      </c>
      <c r="AW913" t="s">
        <v>48</v>
      </c>
    </row>
    <row r="914" spans="1:49" x14ac:dyDescent="0.3">
      <c r="A914" t="s">
        <v>2458</v>
      </c>
      <c r="B914" t="s">
        <v>48</v>
      </c>
      <c r="C914" t="s">
        <v>49</v>
      </c>
      <c r="D914">
        <v>374.89</v>
      </c>
      <c r="E914">
        <v>0</v>
      </c>
      <c r="F914">
        <v>3.55</v>
      </c>
      <c r="G914" t="s">
        <v>227</v>
      </c>
      <c r="H914" t="s">
        <v>2459</v>
      </c>
      <c r="I914" t="s">
        <v>52</v>
      </c>
      <c r="J914" t="s">
        <v>53</v>
      </c>
      <c r="K914">
        <v>300</v>
      </c>
      <c r="L914" t="s">
        <v>126</v>
      </c>
      <c r="M914">
        <f>DOWNLOAD_2kLRbPnDtawQopEJ_UKtt22ud9U57gk8mqebZIeugNk[[#This Row],[Standard Value]]</f>
        <v>300</v>
      </c>
      <c r="N914">
        <f>-LOG(DOWNLOAD_2kLRbPnDtawQopEJ_UKtt22ud9U57gk8mqebZIeugNk[[#This Row],[IC50]]*POWER(10, -9), 10)</f>
        <v>6.5228787452803365</v>
      </c>
      <c r="O914">
        <v>6.52</v>
      </c>
      <c r="P914" t="s">
        <v>48</v>
      </c>
      <c r="R914" t="s">
        <v>127</v>
      </c>
      <c r="S914">
        <v>19.27</v>
      </c>
      <c r="T914">
        <v>0.37</v>
      </c>
      <c r="U914">
        <v>2.97</v>
      </c>
      <c r="V914">
        <v>8.66</v>
      </c>
      <c r="W914">
        <v>0</v>
      </c>
      <c r="X914" t="s">
        <v>1546</v>
      </c>
      <c r="Y914" t="s">
        <v>1547</v>
      </c>
      <c r="Z914" t="s">
        <v>58</v>
      </c>
      <c r="AA914" t="s">
        <v>59</v>
      </c>
      <c r="AB914" t="s">
        <v>60</v>
      </c>
      <c r="AC914" t="s">
        <v>61</v>
      </c>
      <c r="AD914" t="s">
        <v>49</v>
      </c>
      <c r="AE914" t="s">
        <v>49</v>
      </c>
      <c r="AF914" t="s">
        <v>49</v>
      </c>
      <c r="AG914" t="s">
        <v>49</v>
      </c>
      <c r="AH914" t="s">
        <v>48</v>
      </c>
      <c r="AI914" t="s">
        <v>48</v>
      </c>
      <c r="AJ914" t="s">
        <v>48</v>
      </c>
      <c r="AK914" t="s">
        <v>62</v>
      </c>
      <c r="AL914" t="s">
        <v>63</v>
      </c>
      <c r="AM914" t="s">
        <v>61</v>
      </c>
      <c r="AN914" t="s">
        <v>64</v>
      </c>
      <c r="AO914" t="s">
        <v>1548</v>
      </c>
      <c r="AP914">
        <v>1</v>
      </c>
      <c r="AQ914" t="s">
        <v>66</v>
      </c>
      <c r="AR914" t="s">
        <v>1549</v>
      </c>
      <c r="AS914">
        <v>2022</v>
      </c>
      <c r="AT914" t="s">
        <v>49</v>
      </c>
      <c r="AU914" t="s">
        <v>299</v>
      </c>
      <c r="AV914" t="s">
        <v>269</v>
      </c>
      <c r="AW914" t="s">
        <v>48</v>
      </c>
    </row>
    <row r="915" spans="1:49" x14ac:dyDescent="0.3">
      <c r="A915" t="s">
        <v>2460</v>
      </c>
      <c r="B915" t="s">
        <v>48</v>
      </c>
      <c r="C915" t="s">
        <v>49</v>
      </c>
      <c r="D915">
        <v>387.31</v>
      </c>
      <c r="E915">
        <v>0</v>
      </c>
      <c r="F915">
        <v>4.4400000000000004</v>
      </c>
      <c r="G915" t="s">
        <v>847</v>
      </c>
      <c r="H915" t="s">
        <v>2461</v>
      </c>
      <c r="I915" t="s">
        <v>52</v>
      </c>
      <c r="J915" t="s">
        <v>53</v>
      </c>
      <c r="K915">
        <v>35000</v>
      </c>
      <c r="L915" t="s">
        <v>126</v>
      </c>
      <c r="M915">
        <f>DOWNLOAD_2kLRbPnDtawQopEJ_UKtt22ud9U57gk8mqebZIeugNk[[#This Row],[Standard Value]]</f>
        <v>35000</v>
      </c>
      <c r="N915">
        <f>-LOG(DOWNLOAD_2kLRbPnDtawQopEJ_UKtt22ud9U57gk8mqebZIeugNk[[#This Row],[IC50]]*POWER(10, -9), 10)</f>
        <v>4.4559319556497243</v>
      </c>
      <c r="O915">
        <v>4.46</v>
      </c>
      <c r="P915" t="s">
        <v>48</v>
      </c>
      <c r="R915" t="s">
        <v>127</v>
      </c>
      <c r="S915">
        <v>12.7</v>
      </c>
      <c r="T915">
        <v>0.24</v>
      </c>
      <c r="U915">
        <v>0.02</v>
      </c>
      <c r="V915">
        <v>8.08</v>
      </c>
      <c r="W915">
        <v>0</v>
      </c>
      <c r="X915" t="s">
        <v>1546</v>
      </c>
      <c r="Y915" t="s">
        <v>1547</v>
      </c>
      <c r="Z915" t="s">
        <v>58</v>
      </c>
      <c r="AA915" t="s">
        <v>59</v>
      </c>
      <c r="AB915" t="s">
        <v>60</v>
      </c>
      <c r="AC915" t="s">
        <v>61</v>
      </c>
      <c r="AD915" t="s">
        <v>49</v>
      </c>
      <c r="AE915" t="s">
        <v>49</v>
      </c>
      <c r="AF915" t="s">
        <v>49</v>
      </c>
      <c r="AG915" t="s">
        <v>49</v>
      </c>
      <c r="AH915" t="s">
        <v>48</v>
      </c>
      <c r="AI915" t="s">
        <v>48</v>
      </c>
      <c r="AJ915" t="s">
        <v>48</v>
      </c>
      <c r="AK915" t="s">
        <v>62</v>
      </c>
      <c r="AL915" t="s">
        <v>63</v>
      </c>
      <c r="AM915" t="s">
        <v>61</v>
      </c>
      <c r="AN915" t="s">
        <v>64</v>
      </c>
      <c r="AO915" t="s">
        <v>1548</v>
      </c>
      <c r="AP915">
        <v>1</v>
      </c>
      <c r="AQ915" t="s">
        <v>66</v>
      </c>
      <c r="AR915" t="s">
        <v>1549</v>
      </c>
      <c r="AS915">
        <v>2022</v>
      </c>
      <c r="AT915" t="s">
        <v>49</v>
      </c>
      <c r="AU915" t="s">
        <v>299</v>
      </c>
      <c r="AV915" t="s">
        <v>269</v>
      </c>
      <c r="AW915" t="s">
        <v>48</v>
      </c>
    </row>
    <row r="916" spans="1:49" x14ac:dyDescent="0.3">
      <c r="A916" t="s">
        <v>2462</v>
      </c>
      <c r="B916" t="s">
        <v>48</v>
      </c>
      <c r="C916" t="s">
        <v>49</v>
      </c>
      <c r="D916">
        <v>394.9</v>
      </c>
      <c r="E916">
        <v>0</v>
      </c>
      <c r="F916">
        <v>3.99</v>
      </c>
      <c r="G916" t="s">
        <v>561</v>
      </c>
      <c r="H916" t="s">
        <v>2463</v>
      </c>
      <c r="I916" t="s">
        <v>52</v>
      </c>
      <c r="J916" t="s">
        <v>53</v>
      </c>
      <c r="K916">
        <v>42000</v>
      </c>
      <c r="L916" t="s">
        <v>126</v>
      </c>
      <c r="M916">
        <f>DOWNLOAD_2kLRbPnDtawQopEJ_UKtt22ud9U57gk8mqebZIeugNk[[#This Row],[Standard Value]]</f>
        <v>42000</v>
      </c>
      <c r="N916">
        <f>-LOG(DOWNLOAD_2kLRbPnDtawQopEJ_UKtt22ud9U57gk8mqebZIeugNk[[#This Row],[IC50]]*POWER(10, -9), 10)</f>
        <v>4.3767507096020992</v>
      </c>
      <c r="O916">
        <v>4.38</v>
      </c>
      <c r="P916" t="s">
        <v>48</v>
      </c>
      <c r="R916" t="s">
        <v>127</v>
      </c>
      <c r="S916">
        <v>12.21</v>
      </c>
      <c r="T916">
        <v>0.22</v>
      </c>
      <c r="U916">
        <v>0.39</v>
      </c>
      <c r="V916">
        <v>6.06</v>
      </c>
      <c r="W916">
        <v>0</v>
      </c>
      <c r="X916" t="s">
        <v>1546</v>
      </c>
      <c r="Y916" t="s">
        <v>1547</v>
      </c>
      <c r="Z916" t="s">
        <v>58</v>
      </c>
      <c r="AA916" t="s">
        <v>59</v>
      </c>
      <c r="AB916" t="s">
        <v>60</v>
      </c>
      <c r="AC916" t="s">
        <v>61</v>
      </c>
      <c r="AD916" t="s">
        <v>49</v>
      </c>
      <c r="AE916" t="s">
        <v>49</v>
      </c>
      <c r="AF916" t="s">
        <v>49</v>
      </c>
      <c r="AG916" t="s">
        <v>49</v>
      </c>
      <c r="AH916" t="s">
        <v>48</v>
      </c>
      <c r="AI916" t="s">
        <v>48</v>
      </c>
      <c r="AJ916" t="s">
        <v>48</v>
      </c>
      <c r="AK916" t="s">
        <v>62</v>
      </c>
      <c r="AL916" t="s">
        <v>63</v>
      </c>
      <c r="AM916" t="s">
        <v>61</v>
      </c>
      <c r="AN916" t="s">
        <v>64</v>
      </c>
      <c r="AO916" t="s">
        <v>1548</v>
      </c>
      <c r="AP916">
        <v>1</v>
      </c>
      <c r="AQ916" t="s">
        <v>66</v>
      </c>
      <c r="AR916" t="s">
        <v>1549</v>
      </c>
      <c r="AS916">
        <v>2022</v>
      </c>
      <c r="AT916" t="s">
        <v>49</v>
      </c>
      <c r="AU916" t="s">
        <v>299</v>
      </c>
      <c r="AV916" t="s">
        <v>269</v>
      </c>
      <c r="AW916" t="s">
        <v>48</v>
      </c>
    </row>
    <row r="917" spans="1:49" x14ac:dyDescent="0.3">
      <c r="A917" t="s">
        <v>2464</v>
      </c>
      <c r="B917" t="s">
        <v>48</v>
      </c>
      <c r="C917" t="s">
        <v>49</v>
      </c>
      <c r="D917">
        <v>621.65</v>
      </c>
      <c r="E917">
        <v>1</v>
      </c>
      <c r="F917">
        <v>2.5299999999999998</v>
      </c>
      <c r="G917" t="s">
        <v>907</v>
      </c>
      <c r="H917" t="s">
        <v>2465</v>
      </c>
      <c r="I917" t="s">
        <v>52</v>
      </c>
      <c r="J917" t="s">
        <v>53</v>
      </c>
      <c r="K917">
        <v>2870</v>
      </c>
      <c r="L917" t="s">
        <v>126</v>
      </c>
      <c r="M917">
        <f>DOWNLOAD_2kLRbPnDtawQopEJ_UKtt22ud9U57gk8mqebZIeugNk[[#This Row],[Standard Value]]</f>
        <v>2870</v>
      </c>
      <c r="N917">
        <f>-LOG(DOWNLOAD_2kLRbPnDtawQopEJ_UKtt22ud9U57gk8mqebZIeugNk[[#This Row],[IC50]]*POWER(10, -9), 10)</f>
        <v>5.5421181032660076</v>
      </c>
      <c r="O917">
        <v>5.54</v>
      </c>
      <c r="P917" t="s">
        <v>48</v>
      </c>
      <c r="R917" t="s">
        <v>127</v>
      </c>
      <c r="S917">
        <v>8.92</v>
      </c>
      <c r="T917">
        <v>0.17</v>
      </c>
      <c r="U917">
        <v>3.01</v>
      </c>
      <c r="V917">
        <v>3.32</v>
      </c>
      <c r="W917">
        <v>0</v>
      </c>
      <c r="X917" t="s">
        <v>1497</v>
      </c>
      <c r="Y917" t="s">
        <v>1498</v>
      </c>
      <c r="Z917" t="s">
        <v>58</v>
      </c>
      <c r="AA917" t="s">
        <v>59</v>
      </c>
      <c r="AB917" t="s">
        <v>60</v>
      </c>
      <c r="AC917" t="s">
        <v>61</v>
      </c>
      <c r="AD917" t="s">
        <v>49</v>
      </c>
      <c r="AE917" t="s">
        <v>49</v>
      </c>
      <c r="AF917" t="s">
        <v>49</v>
      </c>
      <c r="AG917" t="s">
        <v>49</v>
      </c>
      <c r="AH917" t="s">
        <v>48</v>
      </c>
      <c r="AI917" t="s">
        <v>48</v>
      </c>
      <c r="AJ917" t="s">
        <v>48</v>
      </c>
      <c r="AK917" t="s">
        <v>62</v>
      </c>
      <c r="AL917" t="s">
        <v>63</v>
      </c>
      <c r="AM917" t="s">
        <v>61</v>
      </c>
      <c r="AN917" t="s">
        <v>64</v>
      </c>
      <c r="AO917" t="s">
        <v>1499</v>
      </c>
      <c r="AP917">
        <v>1</v>
      </c>
      <c r="AQ917" t="s">
        <v>66</v>
      </c>
      <c r="AR917" t="s">
        <v>131</v>
      </c>
      <c r="AS917">
        <v>2022</v>
      </c>
      <c r="AT917" t="s">
        <v>49</v>
      </c>
      <c r="AU917" t="s">
        <v>299</v>
      </c>
      <c r="AV917" t="s">
        <v>269</v>
      </c>
      <c r="AW917" t="s">
        <v>48</v>
      </c>
    </row>
    <row r="918" spans="1:49" x14ac:dyDescent="0.3">
      <c r="A918" t="s">
        <v>281</v>
      </c>
      <c r="B918" t="s">
        <v>282</v>
      </c>
      <c r="C918" t="s">
        <v>112</v>
      </c>
      <c r="D918">
        <v>331.35</v>
      </c>
      <c r="E918">
        <v>0</v>
      </c>
      <c r="F918">
        <v>1.58</v>
      </c>
      <c r="G918" t="s">
        <v>283</v>
      </c>
      <c r="H918" t="s">
        <v>284</v>
      </c>
      <c r="I918" t="s">
        <v>52</v>
      </c>
      <c r="J918" t="s">
        <v>53</v>
      </c>
      <c r="K918">
        <v>830</v>
      </c>
      <c r="L918" t="s">
        <v>126</v>
      </c>
      <c r="M918">
        <f>DOWNLOAD_2kLRbPnDtawQopEJ_UKtt22ud9U57gk8mqebZIeugNk[[#This Row],[Standard Value]]</f>
        <v>830</v>
      </c>
      <c r="N918">
        <f>-LOG(DOWNLOAD_2kLRbPnDtawQopEJ_UKtt22ud9U57gk8mqebZIeugNk[[#This Row],[IC50]]*POWER(10, -9), 10)</f>
        <v>6.0809219076239254</v>
      </c>
      <c r="O918">
        <v>6.08</v>
      </c>
      <c r="P918" t="s">
        <v>48</v>
      </c>
      <c r="R918" t="s">
        <v>127</v>
      </c>
      <c r="S918">
        <v>18.350000000000001</v>
      </c>
      <c r="T918">
        <v>0.35</v>
      </c>
      <c r="U918">
        <v>4.5</v>
      </c>
      <c r="V918">
        <v>8.15</v>
      </c>
      <c r="W918">
        <v>0</v>
      </c>
      <c r="X918" t="s">
        <v>1497</v>
      </c>
      <c r="Y918" t="s">
        <v>1498</v>
      </c>
      <c r="Z918" t="s">
        <v>58</v>
      </c>
      <c r="AA918" t="s">
        <v>59</v>
      </c>
      <c r="AB918" t="s">
        <v>60</v>
      </c>
      <c r="AC918" t="s">
        <v>61</v>
      </c>
      <c r="AD918" t="s">
        <v>49</v>
      </c>
      <c r="AE918" t="s">
        <v>49</v>
      </c>
      <c r="AF918" t="s">
        <v>49</v>
      </c>
      <c r="AG918" t="s">
        <v>49</v>
      </c>
      <c r="AH918" t="s">
        <v>48</v>
      </c>
      <c r="AI918" t="s">
        <v>48</v>
      </c>
      <c r="AJ918" t="s">
        <v>48</v>
      </c>
      <c r="AK918" t="s">
        <v>62</v>
      </c>
      <c r="AL918" t="s">
        <v>63</v>
      </c>
      <c r="AM918" t="s">
        <v>61</v>
      </c>
      <c r="AN918" t="s">
        <v>64</v>
      </c>
      <c r="AO918" t="s">
        <v>1499</v>
      </c>
      <c r="AP918">
        <v>1</v>
      </c>
      <c r="AQ918" t="s">
        <v>66</v>
      </c>
      <c r="AR918" t="s">
        <v>131</v>
      </c>
      <c r="AS918">
        <v>2022</v>
      </c>
      <c r="AT918" t="s">
        <v>49</v>
      </c>
      <c r="AU918" t="s">
        <v>299</v>
      </c>
      <c r="AV918" t="s">
        <v>269</v>
      </c>
      <c r="AW918" t="s">
        <v>48</v>
      </c>
    </row>
    <row r="919" spans="1:49" x14ac:dyDescent="0.3">
      <c r="A919" t="s">
        <v>2466</v>
      </c>
      <c r="B919" t="s">
        <v>48</v>
      </c>
      <c r="C919" t="s">
        <v>49</v>
      </c>
      <c r="D919">
        <v>553.42999999999995</v>
      </c>
      <c r="E919">
        <v>2</v>
      </c>
      <c r="F919">
        <v>2.52</v>
      </c>
      <c r="G919" t="s">
        <v>2467</v>
      </c>
      <c r="H919" t="s">
        <v>2468</v>
      </c>
      <c r="I919" t="s">
        <v>52</v>
      </c>
      <c r="J919" t="s">
        <v>53</v>
      </c>
      <c r="K919">
        <v>260</v>
      </c>
      <c r="L919" t="s">
        <v>126</v>
      </c>
      <c r="M919">
        <f>DOWNLOAD_2kLRbPnDtawQopEJ_UKtt22ud9U57gk8mqebZIeugNk[[#This Row],[Standard Value]]</f>
        <v>260</v>
      </c>
      <c r="N919">
        <f>-LOG(DOWNLOAD_2kLRbPnDtawQopEJ_UKtt22ud9U57gk8mqebZIeugNk[[#This Row],[IC50]]*POWER(10, -9), 10)</f>
        <v>6.5850266520291818</v>
      </c>
      <c r="O919">
        <v>6.58</v>
      </c>
      <c r="P919" t="s">
        <v>48</v>
      </c>
      <c r="R919" t="s">
        <v>127</v>
      </c>
      <c r="S919">
        <v>11.9</v>
      </c>
      <c r="T919">
        <v>0.25</v>
      </c>
      <c r="U919">
        <v>4.07</v>
      </c>
      <c r="V919">
        <v>3.89</v>
      </c>
      <c r="W919">
        <v>0</v>
      </c>
      <c r="X919" t="s">
        <v>1726</v>
      </c>
      <c r="Y919" t="s">
        <v>878</v>
      </c>
      <c r="Z919" t="s">
        <v>58</v>
      </c>
      <c r="AA919" t="s">
        <v>59</v>
      </c>
      <c r="AB919" t="s">
        <v>60</v>
      </c>
      <c r="AC919" t="s">
        <v>61</v>
      </c>
      <c r="AD919" t="s">
        <v>49</v>
      </c>
      <c r="AE919" t="s">
        <v>49</v>
      </c>
      <c r="AF919" t="s">
        <v>49</v>
      </c>
      <c r="AG919" t="s">
        <v>49</v>
      </c>
      <c r="AH919" t="s">
        <v>48</v>
      </c>
      <c r="AI919" t="s">
        <v>48</v>
      </c>
      <c r="AJ919" t="s">
        <v>48</v>
      </c>
      <c r="AK919" t="s">
        <v>62</v>
      </c>
      <c r="AL919" t="s">
        <v>63</v>
      </c>
      <c r="AM919" t="s">
        <v>61</v>
      </c>
      <c r="AN919" t="s">
        <v>64</v>
      </c>
      <c r="AO919" t="s">
        <v>1727</v>
      </c>
      <c r="AP919">
        <v>1</v>
      </c>
      <c r="AQ919" t="s">
        <v>66</v>
      </c>
      <c r="AR919" t="s">
        <v>131</v>
      </c>
      <c r="AS919">
        <v>2021</v>
      </c>
      <c r="AT919" t="s">
        <v>49</v>
      </c>
      <c r="AU919" t="s">
        <v>48</v>
      </c>
      <c r="AV919" t="s">
        <v>269</v>
      </c>
      <c r="AW919" t="s">
        <v>48</v>
      </c>
    </row>
    <row r="920" spans="1:49" x14ac:dyDescent="0.3">
      <c r="A920" t="s">
        <v>2469</v>
      </c>
      <c r="B920" t="s">
        <v>48</v>
      </c>
      <c r="C920" t="s">
        <v>49</v>
      </c>
      <c r="D920">
        <v>469.35</v>
      </c>
      <c r="E920">
        <v>0</v>
      </c>
      <c r="F920">
        <v>4.42</v>
      </c>
      <c r="G920" t="s">
        <v>1295</v>
      </c>
      <c r="H920" t="s">
        <v>2470</v>
      </c>
      <c r="I920" t="s">
        <v>52</v>
      </c>
      <c r="J920" t="s">
        <v>53</v>
      </c>
      <c r="K920">
        <v>17</v>
      </c>
      <c r="L920" t="s">
        <v>126</v>
      </c>
      <c r="M920">
        <f>DOWNLOAD_2kLRbPnDtawQopEJ_UKtt22ud9U57gk8mqebZIeugNk[[#This Row],[Standard Value]]</f>
        <v>17</v>
      </c>
      <c r="N920">
        <f>-LOG(DOWNLOAD_2kLRbPnDtawQopEJ_UKtt22ud9U57gk8mqebZIeugNk[[#This Row],[IC50]]*POWER(10, -9), 10)</f>
        <v>7.769551078621725</v>
      </c>
      <c r="O920">
        <v>7.77</v>
      </c>
      <c r="P920" t="s">
        <v>48</v>
      </c>
      <c r="R920" t="s">
        <v>127</v>
      </c>
      <c r="S920">
        <v>16.55</v>
      </c>
      <c r="T920">
        <v>0.35</v>
      </c>
      <c r="U920">
        <v>3.35</v>
      </c>
      <c r="V920">
        <v>7.22</v>
      </c>
      <c r="W920">
        <v>0</v>
      </c>
      <c r="X920" t="s">
        <v>2378</v>
      </c>
      <c r="Y920" t="s">
        <v>2379</v>
      </c>
      <c r="Z920" t="s">
        <v>58</v>
      </c>
      <c r="AA920" t="s">
        <v>59</v>
      </c>
      <c r="AB920" t="s">
        <v>60</v>
      </c>
      <c r="AC920" t="s">
        <v>61</v>
      </c>
      <c r="AD920" t="s">
        <v>49</v>
      </c>
      <c r="AE920" t="s">
        <v>49</v>
      </c>
      <c r="AF920" t="s">
        <v>49</v>
      </c>
      <c r="AG920" t="s">
        <v>49</v>
      </c>
      <c r="AH920" t="s">
        <v>48</v>
      </c>
      <c r="AI920" t="s">
        <v>48</v>
      </c>
      <c r="AJ920" t="s">
        <v>48</v>
      </c>
      <c r="AK920" t="s">
        <v>62</v>
      </c>
      <c r="AL920" t="s">
        <v>63</v>
      </c>
      <c r="AM920" t="s">
        <v>61</v>
      </c>
      <c r="AN920" t="s">
        <v>64</v>
      </c>
      <c r="AO920" t="s">
        <v>2380</v>
      </c>
      <c r="AP920">
        <v>1</v>
      </c>
      <c r="AQ920" t="s">
        <v>66</v>
      </c>
      <c r="AR920" t="s">
        <v>67</v>
      </c>
      <c r="AS920">
        <v>2023</v>
      </c>
      <c r="AT920" t="s">
        <v>49</v>
      </c>
      <c r="AU920" t="s">
        <v>48</v>
      </c>
      <c r="AV920" t="s">
        <v>269</v>
      </c>
      <c r="AW920" t="s">
        <v>48</v>
      </c>
    </row>
    <row r="921" spans="1:49" x14ac:dyDescent="0.3">
      <c r="A921" t="s">
        <v>2471</v>
      </c>
      <c r="B921" t="s">
        <v>48</v>
      </c>
      <c r="C921" t="s">
        <v>49</v>
      </c>
      <c r="D921">
        <v>469.35</v>
      </c>
      <c r="E921">
        <v>0</v>
      </c>
      <c r="F921">
        <v>4.42</v>
      </c>
      <c r="G921" t="s">
        <v>2096</v>
      </c>
      <c r="H921" t="s">
        <v>2472</v>
      </c>
      <c r="I921" t="s">
        <v>52</v>
      </c>
      <c r="J921" t="s">
        <v>295</v>
      </c>
      <c r="K921">
        <v>10</v>
      </c>
      <c r="L921" t="s">
        <v>126</v>
      </c>
      <c r="M921">
        <f>DOWNLOAD_2kLRbPnDtawQopEJ_UKtt22ud9U57gk8mqebZIeugNk[[#This Row],[Standard Value]]</f>
        <v>10</v>
      </c>
      <c r="N921">
        <f>-LOG(DOWNLOAD_2kLRbPnDtawQopEJ_UKtt22ud9U57gk8mqebZIeugNk[[#This Row],[IC50]]*POWER(10, -9), 10)</f>
        <v>8</v>
      </c>
      <c r="P921" t="s">
        <v>48</v>
      </c>
      <c r="R921" t="s">
        <v>127</v>
      </c>
      <c r="W921">
        <v>0</v>
      </c>
      <c r="X921" t="s">
        <v>2378</v>
      </c>
      <c r="Y921" t="s">
        <v>2379</v>
      </c>
      <c r="Z921" t="s">
        <v>58</v>
      </c>
      <c r="AA921" t="s">
        <v>59</v>
      </c>
      <c r="AB921" t="s">
        <v>60</v>
      </c>
      <c r="AC921" t="s">
        <v>61</v>
      </c>
      <c r="AD921" t="s">
        <v>49</v>
      </c>
      <c r="AE921" t="s">
        <v>49</v>
      </c>
      <c r="AF921" t="s">
        <v>49</v>
      </c>
      <c r="AG921" t="s">
        <v>49</v>
      </c>
      <c r="AH921" t="s">
        <v>48</v>
      </c>
      <c r="AI921" t="s">
        <v>48</v>
      </c>
      <c r="AJ921" t="s">
        <v>48</v>
      </c>
      <c r="AK921" t="s">
        <v>62</v>
      </c>
      <c r="AL921" t="s">
        <v>63</v>
      </c>
      <c r="AM921" t="s">
        <v>61</v>
      </c>
      <c r="AN921" t="s">
        <v>64</v>
      </c>
      <c r="AO921" t="s">
        <v>2380</v>
      </c>
      <c r="AP921">
        <v>1</v>
      </c>
      <c r="AQ921" t="s">
        <v>66</v>
      </c>
      <c r="AR921" t="s">
        <v>67</v>
      </c>
      <c r="AS921">
        <v>2023</v>
      </c>
      <c r="AT921" t="s">
        <v>49</v>
      </c>
      <c r="AU921" t="s">
        <v>48</v>
      </c>
      <c r="AV921" t="s">
        <v>269</v>
      </c>
      <c r="AW921" t="s">
        <v>48</v>
      </c>
    </row>
    <row r="922" spans="1:49" x14ac:dyDescent="0.3">
      <c r="A922" t="s">
        <v>2473</v>
      </c>
      <c r="B922" t="s">
        <v>48</v>
      </c>
      <c r="C922" t="s">
        <v>49</v>
      </c>
      <c r="D922">
        <v>483.38</v>
      </c>
      <c r="E922">
        <v>0</v>
      </c>
      <c r="F922">
        <v>4.8</v>
      </c>
      <c r="G922" t="s">
        <v>2474</v>
      </c>
      <c r="H922" t="s">
        <v>2475</v>
      </c>
      <c r="I922" t="s">
        <v>52</v>
      </c>
      <c r="J922" t="s">
        <v>295</v>
      </c>
      <c r="K922">
        <v>10</v>
      </c>
      <c r="L922" t="s">
        <v>126</v>
      </c>
      <c r="M922">
        <f>DOWNLOAD_2kLRbPnDtawQopEJ_UKtt22ud9U57gk8mqebZIeugNk[[#This Row],[Standard Value]]</f>
        <v>10</v>
      </c>
      <c r="N922">
        <f>-LOG(DOWNLOAD_2kLRbPnDtawQopEJ_UKtt22ud9U57gk8mqebZIeugNk[[#This Row],[IC50]]*POWER(10, -9), 10)</f>
        <v>8</v>
      </c>
      <c r="P922" t="s">
        <v>48</v>
      </c>
      <c r="R922" t="s">
        <v>127</v>
      </c>
      <c r="W922">
        <v>0</v>
      </c>
      <c r="X922" t="s">
        <v>2378</v>
      </c>
      <c r="Y922" t="s">
        <v>2379</v>
      </c>
      <c r="Z922" t="s">
        <v>58</v>
      </c>
      <c r="AA922" t="s">
        <v>59</v>
      </c>
      <c r="AB922" t="s">
        <v>60</v>
      </c>
      <c r="AC922" t="s">
        <v>61</v>
      </c>
      <c r="AD922" t="s">
        <v>49</v>
      </c>
      <c r="AE922" t="s">
        <v>49</v>
      </c>
      <c r="AF922" t="s">
        <v>49</v>
      </c>
      <c r="AG922" t="s">
        <v>49</v>
      </c>
      <c r="AH922" t="s">
        <v>48</v>
      </c>
      <c r="AI922" t="s">
        <v>48</v>
      </c>
      <c r="AJ922" t="s">
        <v>48</v>
      </c>
      <c r="AK922" t="s">
        <v>62</v>
      </c>
      <c r="AL922" t="s">
        <v>63</v>
      </c>
      <c r="AM922" t="s">
        <v>61</v>
      </c>
      <c r="AN922" t="s">
        <v>64</v>
      </c>
      <c r="AO922" t="s">
        <v>2380</v>
      </c>
      <c r="AP922">
        <v>1</v>
      </c>
      <c r="AQ922" t="s">
        <v>66</v>
      </c>
      <c r="AR922" t="s">
        <v>67</v>
      </c>
      <c r="AS922">
        <v>2023</v>
      </c>
      <c r="AT922" t="s">
        <v>49</v>
      </c>
      <c r="AU922" t="s">
        <v>48</v>
      </c>
      <c r="AV922" t="s">
        <v>269</v>
      </c>
      <c r="AW922" t="s">
        <v>48</v>
      </c>
    </row>
    <row r="923" spans="1:49" x14ac:dyDescent="0.3">
      <c r="A923" t="s">
        <v>2476</v>
      </c>
      <c r="B923" t="s">
        <v>48</v>
      </c>
      <c r="C923" t="s">
        <v>49</v>
      </c>
      <c r="D923">
        <v>579.25</v>
      </c>
      <c r="E923">
        <v>1</v>
      </c>
      <c r="F923">
        <v>3.69</v>
      </c>
      <c r="G923" t="s">
        <v>2477</v>
      </c>
      <c r="H923" t="s">
        <v>2478</v>
      </c>
      <c r="I923" t="s">
        <v>52</v>
      </c>
      <c r="J923" t="s">
        <v>53</v>
      </c>
      <c r="K923">
        <v>970</v>
      </c>
      <c r="L923" t="s">
        <v>126</v>
      </c>
      <c r="M923">
        <f>DOWNLOAD_2kLRbPnDtawQopEJ_UKtt22ud9U57gk8mqebZIeugNk[[#This Row],[Standard Value]]</f>
        <v>970</v>
      </c>
      <c r="N923">
        <f>-LOG(DOWNLOAD_2kLRbPnDtawQopEJ_UKtt22ud9U57gk8mqebZIeugNk[[#This Row],[IC50]]*POWER(10, -9), 10)</f>
        <v>6.0132282657337548</v>
      </c>
      <c r="O923">
        <v>6.01</v>
      </c>
      <c r="P923" t="s">
        <v>48</v>
      </c>
      <c r="R923" t="s">
        <v>127</v>
      </c>
      <c r="S923">
        <v>10.38</v>
      </c>
      <c r="T923">
        <v>0.25</v>
      </c>
      <c r="U923">
        <v>2.3199999999999998</v>
      </c>
      <c r="V923">
        <v>4.99</v>
      </c>
      <c r="W923">
        <v>0</v>
      </c>
      <c r="X923" t="s">
        <v>877</v>
      </c>
      <c r="Y923" t="s">
        <v>878</v>
      </c>
      <c r="Z923" t="s">
        <v>58</v>
      </c>
      <c r="AA923" t="s">
        <v>59</v>
      </c>
      <c r="AB923" t="s">
        <v>60</v>
      </c>
      <c r="AC923" t="s">
        <v>61</v>
      </c>
      <c r="AD923" t="s">
        <v>49</v>
      </c>
      <c r="AE923" t="s">
        <v>49</v>
      </c>
      <c r="AF923" t="s">
        <v>49</v>
      </c>
      <c r="AG923" t="s">
        <v>49</v>
      </c>
      <c r="AH923" t="s">
        <v>48</v>
      </c>
      <c r="AI923" t="s">
        <v>48</v>
      </c>
      <c r="AJ923" t="s">
        <v>48</v>
      </c>
      <c r="AK923" t="s">
        <v>62</v>
      </c>
      <c r="AL923" t="s">
        <v>63</v>
      </c>
      <c r="AM923" t="s">
        <v>61</v>
      </c>
      <c r="AN923" t="s">
        <v>64</v>
      </c>
      <c r="AO923" t="s">
        <v>879</v>
      </c>
      <c r="AP923">
        <v>1</v>
      </c>
      <c r="AQ923" t="s">
        <v>66</v>
      </c>
      <c r="AR923" t="s">
        <v>131</v>
      </c>
      <c r="AS923">
        <v>2020</v>
      </c>
      <c r="AT923" t="s">
        <v>49</v>
      </c>
      <c r="AU923" t="s">
        <v>48</v>
      </c>
      <c r="AV923" t="s">
        <v>269</v>
      </c>
      <c r="AW923" t="s">
        <v>48</v>
      </c>
    </row>
    <row r="924" spans="1:49" x14ac:dyDescent="0.3">
      <c r="A924" t="s">
        <v>2479</v>
      </c>
      <c r="B924" t="s">
        <v>48</v>
      </c>
      <c r="C924" t="s">
        <v>49</v>
      </c>
      <c r="D924">
        <v>481.36</v>
      </c>
      <c r="E924">
        <v>0</v>
      </c>
      <c r="F924">
        <v>4.5599999999999996</v>
      </c>
      <c r="G924" t="s">
        <v>2480</v>
      </c>
      <c r="H924" t="s">
        <v>2481</v>
      </c>
      <c r="I924" t="s">
        <v>52</v>
      </c>
      <c r="J924" t="s">
        <v>53</v>
      </c>
      <c r="K924">
        <v>13</v>
      </c>
      <c r="L924" t="s">
        <v>126</v>
      </c>
      <c r="M924">
        <f>DOWNLOAD_2kLRbPnDtawQopEJ_UKtt22ud9U57gk8mqebZIeugNk[[#This Row],[Standard Value]]</f>
        <v>13</v>
      </c>
      <c r="N924">
        <f>-LOG(DOWNLOAD_2kLRbPnDtawQopEJ_UKtt22ud9U57gk8mqebZIeugNk[[#This Row],[IC50]]*POWER(10, -9), 10)</f>
        <v>7.8860566476931622</v>
      </c>
      <c r="O924">
        <v>7.89</v>
      </c>
      <c r="P924" t="s">
        <v>48</v>
      </c>
      <c r="R924" t="s">
        <v>127</v>
      </c>
      <c r="S924">
        <v>16.38</v>
      </c>
      <c r="T924">
        <v>0.35</v>
      </c>
      <c r="U924">
        <v>3.33</v>
      </c>
      <c r="V924">
        <v>7.33</v>
      </c>
      <c r="W924">
        <v>0</v>
      </c>
      <c r="X924" t="s">
        <v>2378</v>
      </c>
      <c r="Y924" t="s">
        <v>2379</v>
      </c>
      <c r="Z924" t="s">
        <v>58</v>
      </c>
      <c r="AA924" t="s">
        <v>59</v>
      </c>
      <c r="AB924" t="s">
        <v>60</v>
      </c>
      <c r="AC924" t="s">
        <v>61</v>
      </c>
      <c r="AD924" t="s">
        <v>49</v>
      </c>
      <c r="AE924" t="s">
        <v>49</v>
      </c>
      <c r="AF924" t="s">
        <v>49</v>
      </c>
      <c r="AG924" t="s">
        <v>49</v>
      </c>
      <c r="AH924" t="s">
        <v>48</v>
      </c>
      <c r="AI924" t="s">
        <v>48</v>
      </c>
      <c r="AJ924" t="s">
        <v>48</v>
      </c>
      <c r="AK924" t="s">
        <v>62</v>
      </c>
      <c r="AL924" t="s">
        <v>63</v>
      </c>
      <c r="AM924" t="s">
        <v>61</v>
      </c>
      <c r="AN924" t="s">
        <v>64</v>
      </c>
      <c r="AO924" t="s">
        <v>2380</v>
      </c>
      <c r="AP924">
        <v>1</v>
      </c>
      <c r="AQ924" t="s">
        <v>66</v>
      </c>
      <c r="AR924" t="s">
        <v>67</v>
      </c>
      <c r="AS924">
        <v>2023</v>
      </c>
      <c r="AT924" t="s">
        <v>49</v>
      </c>
      <c r="AU924" t="s">
        <v>48</v>
      </c>
      <c r="AV924" t="s">
        <v>269</v>
      </c>
      <c r="AW924" t="s">
        <v>48</v>
      </c>
    </row>
    <row r="925" spans="1:49" x14ac:dyDescent="0.3">
      <c r="A925" t="s">
        <v>1947</v>
      </c>
      <c r="B925" t="s">
        <v>48</v>
      </c>
      <c r="C925" t="s">
        <v>49</v>
      </c>
      <c r="D925">
        <v>476.34</v>
      </c>
      <c r="E925">
        <v>1</v>
      </c>
      <c r="F925">
        <v>5.77</v>
      </c>
      <c r="G925" t="s">
        <v>1821</v>
      </c>
      <c r="H925" t="s">
        <v>1949</v>
      </c>
      <c r="I925" t="s">
        <v>52</v>
      </c>
      <c r="J925" t="s">
        <v>295</v>
      </c>
      <c r="K925">
        <v>10</v>
      </c>
      <c r="L925" t="s">
        <v>126</v>
      </c>
      <c r="M925">
        <f>DOWNLOAD_2kLRbPnDtawQopEJ_UKtt22ud9U57gk8mqebZIeugNk[[#This Row],[Standard Value]]</f>
        <v>10</v>
      </c>
      <c r="N925">
        <f>-LOG(DOWNLOAD_2kLRbPnDtawQopEJ_UKtt22ud9U57gk8mqebZIeugNk[[#This Row],[IC50]]*POWER(10, -9), 10)</f>
        <v>8</v>
      </c>
      <c r="P925" t="s">
        <v>48</v>
      </c>
      <c r="R925" t="s">
        <v>127</v>
      </c>
      <c r="W925">
        <v>1</v>
      </c>
      <c r="X925" t="s">
        <v>2378</v>
      </c>
      <c r="Y925" t="s">
        <v>2379</v>
      </c>
      <c r="Z925" t="s">
        <v>58</v>
      </c>
      <c r="AA925" t="s">
        <v>59</v>
      </c>
      <c r="AB925" t="s">
        <v>60</v>
      </c>
      <c r="AC925" t="s">
        <v>61</v>
      </c>
      <c r="AD925" t="s">
        <v>49</v>
      </c>
      <c r="AE925" t="s">
        <v>49</v>
      </c>
      <c r="AF925" t="s">
        <v>49</v>
      </c>
      <c r="AG925" t="s">
        <v>49</v>
      </c>
      <c r="AH925" t="s">
        <v>48</v>
      </c>
      <c r="AI925" t="s">
        <v>48</v>
      </c>
      <c r="AJ925" t="s">
        <v>48</v>
      </c>
      <c r="AK925" t="s">
        <v>62</v>
      </c>
      <c r="AL925" t="s">
        <v>63</v>
      </c>
      <c r="AM925" t="s">
        <v>61</v>
      </c>
      <c r="AN925" t="s">
        <v>64</v>
      </c>
      <c r="AO925" t="s">
        <v>2380</v>
      </c>
      <c r="AP925">
        <v>1</v>
      </c>
      <c r="AQ925" t="s">
        <v>66</v>
      </c>
      <c r="AR925" t="s">
        <v>67</v>
      </c>
      <c r="AS925">
        <v>2023</v>
      </c>
      <c r="AT925" t="s">
        <v>49</v>
      </c>
      <c r="AU925" t="s">
        <v>48</v>
      </c>
      <c r="AV925" t="s">
        <v>269</v>
      </c>
      <c r="AW925" t="s">
        <v>48</v>
      </c>
    </row>
    <row r="926" spans="1:49" x14ac:dyDescent="0.3">
      <c r="A926" t="s">
        <v>2482</v>
      </c>
      <c r="B926" t="s">
        <v>48</v>
      </c>
      <c r="C926" t="s">
        <v>49</v>
      </c>
      <c r="D926">
        <v>544.23</v>
      </c>
      <c r="E926">
        <v>1</v>
      </c>
      <c r="F926">
        <v>3.55</v>
      </c>
      <c r="G926" t="s">
        <v>1945</v>
      </c>
      <c r="H926" t="s">
        <v>2483</v>
      </c>
      <c r="I926" t="s">
        <v>52</v>
      </c>
      <c r="J926" t="s">
        <v>53</v>
      </c>
      <c r="K926">
        <v>180</v>
      </c>
      <c r="L926" t="s">
        <v>126</v>
      </c>
      <c r="M926">
        <f>DOWNLOAD_2kLRbPnDtawQopEJ_UKtt22ud9U57gk8mqebZIeugNk[[#This Row],[Standard Value]]</f>
        <v>180</v>
      </c>
      <c r="N926">
        <f>-LOG(DOWNLOAD_2kLRbPnDtawQopEJ_UKtt22ud9U57gk8mqebZIeugNk[[#This Row],[IC50]]*POWER(10, -9), 10)</f>
        <v>6.7447274948966927</v>
      </c>
      <c r="O926">
        <v>6.75</v>
      </c>
      <c r="R926" t="s">
        <v>127</v>
      </c>
      <c r="S926">
        <v>12.39</v>
      </c>
      <c r="T926">
        <v>0.32</v>
      </c>
      <c r="U926">
        <v>3.19</v>
      </c>
      <c r="V926">
        <v>5.61</v>
      </c>
      <c r="W926">
        <v>0</v>
      </c>
      <c r="X926" t="s">
        <v>1726</v>
      </c>
      <c r="Y926" t="s">
        <v>878</v>
      </c>
      <c r="Z926" t="s">
        <v>58</v>
      </c>
      <c r="AA926" t="s">
        <v>59</v>
      </c>
      <c r="AB926" t="s">
        <v>60</v>
      </c>
      <c r="AC926" t="s">
        <v>61</v>
      </c>
      <c r="AD926" t="s">
        <v>49</v>
      </c>
      <c r="AE926" t="s">
        <v>49</v>
      </c>
      <c r="AF926" t="s">
        <v>49</v>
      </c>
      <c r="AG926" t="s">
        <v>49</v>
      </c>
      <c r="AH926" t="s">
        <v>48</v>
      </c>
      <c r="AI926" t="s">
        <v>48</v>
      </c>
      <c r="AJ926" t="s">
        <v>48</v>
      </c>
      <c r="AK926" t="s">
        <v>62</v>
      </c>
      <c r="AL926" t="s">
        <v>63</v>
      </c>
      <c r="AM926" t="s">
        <v>61</v>
      </c>
      <c r="AN926" t="s">
        <v>64</v>
      </c>
      <c r="AO926" t="s">
        <v>1727</v>
      </c>
      <c r="AP926">
        <v>1</v>
      </c>
      <c r="AQ926" t="s">
        <v>66</v>
      </c>
      <c r="AR926" t="s">
        <v>131</v>
      </c>
      <c r="AS926">
        <v>2021</v>
      </c>
      <c r="AT926" t="s">
        <v>49</v>
      </c>
      <c r="AU926" t="s">
        <v>48</v>
      </c>
      <c r="AV926" t="s">
        <v>269</v>
      </c>
      <c r="AW926" t="s">
        <v>48</v>
      </c>
    </row>
    <row r="927" spans="1:49" x14ac:dyDescent="0.3">
      <c r="A927" t="s">
        <v>2484</v>
      </c>
      <c r="B927" t="s">
        <v>48</v>
      </c>
      <c r="C927" t="s">
        <v>49</v>
      </c>
      <c r="D927">
        <v>941.9</v>
      </c>
      <c r="E927">
        <v>3</v>
      </c>
      <c r="F927">
        <v>4.3899999999999997</v>
      </c>
      <c r="G927" t="s">
        <v>2485</v>
      </c>
      <c r="H927" t="s">
        <v>2486</v>
      </c>
      <c r="I927" t="s">
        <v>52</v>
      </c>
      <c r="J927" t="s">
        <v>53</v>
      </c>
      <c r="K927">
        <v>11</v>
      </c>
      <c r="L927" t="s">
        <v>126</v>
      </c>
      <c r="M927">
        <f>DOWNLOAD_2kLRbPnDtawQopEJ_UKtt22ud9U57gk8mqebZIeugNk[[#This Row],[Standard Value]]</f>
        <v>11</v>
      </c>
      <c r="N927">
        <f>-LOG(DOWNLOAD_2kLRbPnDtawQopEJ_UKtt22ud9U57gk8mqebZIeugNk[[#This Row],[IC50]]*POWER(10, -9), 10)</f>
        <v>7.9586073148417746</v>
      </c>
      <c r="O927">
        <v>7.96</v>
      </c>
      <c r="P927" t="s">
        <v>48</v>
      </c>
      <c r="R927" t="s">
        <v>127</v>
      </c>
      <c r="S927">
        <v>8.4499999999999993</v>
      </c>
      <c r="T927">
        <v>0.17</v>
      </c>
      <c r="U927">
        <v>3.57</v>
      </c>
      <c r="V927">
        <v>3.08</v>
      </c>
      <c r="W927">
        <v>0</v>
      </c>
      <c r="X927" t="s">
        <v>2258</v>
      </c>
      <c r="Y927" t="s">
        <v>2259</v>
      </c>
      <c r="Z927" t="s">
        <v>58</v>
      </c>
      <c r="AA927" t="s">
        <v>59</v>
      </c>
      <c r="AB927" t="s">
        <v>60</v>
      </c>
      <c r="AC927" t="s">
        <v>61</v>
      </c>
      <c r="AD927" t="s">
        <v>49</v>
      </c>
      <c r="AE927" t="s">
        <v>49</v>
      </c>
      <c r="AF927" t="s">
        <v>49</v>
      </c>
      <c r="AG927" t="s">
        <v>49</v>
      </c>
      <c r="AH927" t="s">
        <v>48</v>
      </c>
      <c r="AI927" t="s">
        <v>48</v>
      </c>
      <c r="AJ927" t="s">
        <v>48</v>
      </c>
      <c r="AK927" t="s">
        <v>62</v>
      </c>
      <c r="AL927" t="s">
        <v>63</v>
      </c>
      <c r="AM927" t="s">
        <v>61</v>
      </c>
      <c r="AN927" t="s">
        <v>64</v>
      </c>
      <c r="AO927" t="s">
        <v>1568</v>
      </c>
      <c r="AP927">
        <v>1</v>
      </c>
      <c r="AQ927" t="s">
        <v>66</v>
      </c>
      <c r="AR927" t="s">
        <v>267</v>
      </c>
      <c r="AS927">
        <v>2016</v>
      </c>
      <c r="AT927" t="s">
        <v>49</v>
      </c>
      <c r="AU927" t="s">
        <v>268</v>
      </c>
      <c r="AV927" t="s">
        <v>269</v>
      </c>
      <c r="AW927" t="s">
        <v>48</v>
      </c>
    </row>
    <row r="928" spans="1:49" x14ac:dyDescent="0.3">
      <c r="A928" t="s">
        <v>2487</v>
      </c>
      <c r="B928" t="s">
        <v>48</v>
      </c>
      <c r="C928" t="s">
        <v>49</v>
      </c>
      <c r="D928">
        <v>641.66</v>
      </c>
      <c r="E928">
        <v>3</v>
      </c>
      <c r="F928">
        <v>-3.35</v>
      </c>
      <c r="G928" t="s">
        <v>2488</v>
      </c>
      <c r="H928" t="s">
        <v>2489</v>
      </c>
      <c r="I928" t="s">
        <v>52</v>
      </c>
      <c r="J928" t="s">
        <v>53</v>
      </c>
      <c r="K928">
        <v>50</v>
      </c>
      <c r="L928" t="s">
        <v>126</v>
      </c>
      <c r="M928">
        <f>DOWNLOAD_2kLRbPnDtawQopEJ_UKtt22ud9U57gk8mqebZIeugNk[[#This Row],[Standard Value]]</f>
        <v>50</v>
      </c>
      <c r="N928">
        <f>-LOG(DOWNLOAD_2kLRbPnDtawQopEJ_UKtt22ud9U57gk8mqebZIeugNk[[#This Row],[IC50]]*POWER(10, -9), 10)</f>
        <v>7.3010299956639804</v>
      </c>
      <c r="O928">
        <v>7.3</v>
      </c>
      <c r="P928" t="s">
        <v>48</v>
      </c>
      <c r="R928" t="s">
        <v>127</v>
      </c>
      <c r="S928">
        <v>11.38</v>
      </c>
      <c r="T928">
        <v>0.23</v>
      </c>
      <c r="U928">
        <v>10.65</v>
      </c>
      <c r="V928">
        <v>2.62</v>
      </c>
      <c r="W928">
        <v>0</v>
      </c>
      <c r="X928" t="s">
        <v>1567</v>
      </c>
      <c r="Y928" t="s">
        <v>1535</v>
      </c>
      <c r="Z928" t="s">
        <v>58</v>
      </c>
      <c r="AA928" t="s">
        <v>59</v>
      </c>
      <c r="AB928" t="s">
        <v>60</v>
      </c>
      <c r="AC928" t="s">
        <v>61</v>
      </c>
      <c r="AD928" t="s">
        <v>49</v>
      </c>
      <c r="AE928" t="s">
        <v>49</v>
      </c>
      <c r="AF928" t="s">
        <v>49</v>
      </c>
      <c r="AG928" t="s">
        <v>49</v>
      </c>
      <c r="AH928" t="s">
        <v>48</v>
      </c>
      <c r="AI928" t="s">
        <v>48</v>
      </c>
      <c r="AJ928" t="s">
        <v>48</v>
      </c>
      <c r="AK928" t="s">
        <v>62</v>
      </c>
      <c r="AL928" t="s">
        <v>63</v>
      </c>
      <c r="AM928" t="s">
        <v>61</v>
      </c>
      <c r="AN928" t="s">
        <v>64</v>
      </c>
      <c r="AO928" t="s">
        <v>1568</v>
      </c>
      <c r="AP928">
        <v>1</v>
      </c>
      <c r="AQ928" t="s">
        <v>66</v>
      </c>
      <c r="AR928" t="s">
        <v>267</v>
      </c>
      <c r="AS928">
        <v>2016</v>
      </c>
      <c r="AT928" t="s">
        <v>49</v>
      </c>
      <c r="AU928" t="s">
        <v>48</v>
      </c>
      <c r="AV928" t="s">
        <v>269</v>
      </c>
      <c r="AW928" t="s">
        <v>48</v>
      </c>
    </row>
    <row r="929" spans="1:49" x14ac:dyDescent="0.3">
      <c r="A929" t="s">
        <v>2490</v>
      </c>
      <c r="B929" t="s">
        <v>48</v>
      </c>
      <c r="C929" t="s">
        <v>49</v>
      </c>
      <c r="D929">
        <v>164.2</v>
      </c>
      <c r="E929">
        <v>0</v>
      </c>
      <c r="F929">
        <v>2.0099999999999998</v>
      </c>
      <c r="G929" t="s">
        <v>975</v>
      </c>
      <c r="H929" t="s">
        <v>2491</v>
      </c>
      <c r="I929" t="s">
        <v>52</v>
      </c>
      <c r="J929" t="s">
        <v>53</v>
      </c>
      <c r="K929">
        <v>120000</v>
      </c>
      <c r="L929" t="s">
        <v>126</v>
      </c>
      <c r="M929">
        <f>DOWNLOAD_2kLRbPnDtawQopEJ_UKtt22ud9U57gk8mqebZIeugNk[[#This Row],[Standard Value]]</f>
        <v>120000</v>
      </c>
      <c r="N929">
        <f>-LOG(DOWNLOAD_2kLRbPnDtawQopEJ_UKtt22ud9U57gk8mqebZIeugNk[[#This Row],[IC50]]*POWER(10, -9), 10)</f>
        <v>3.9208187539523749</v>
      </c>
      <c r="O929">
        <v>3.92</v>
      </c>
      <c r="P929" t="s">
        <v>48</v>
      </c>
      <c r="R929" t="s">
        <v>127</v>
      </c>
      <c r="S929">
        <v>23.88</v>
      </c>
      <c r="T929">
        <v>0.45</v>
      </c>
      <c r="U929">
        <v>1.91</v>
      </c>
      <c r="V929">
        <v>10.51</v>
      </c>
      <c r="W929">
        <v>0</v>
      </c>
      <c r="X929" t="s">
        <v>774</v>
      </c>
      <c r="Y929" t="s">
        <v>775</v>
      </c>
      <c r="Z929" t="s">
        <v>58</v>
      </c>
      <c r="AA929" t="s">
        <v>59</v>
      </c>
      <c r="AB929" t="s">
        <v>60</v>
      </c>
      <c r="AC929" t="s">
        <v>61</v>
      </c>
      <c r="AD929" t="s">
        <v>49</v>
      </c>
      <c r="AE929" t="s">
        <v>49</v>
      </c>
      <c r="AF929" t="s">
        <v>49</v>
      </c>
      <c r="AG929" t="s">
        <v>49</v>
      </c>
      <c r="AH929" t="s">
        <v>48</v>
      </c>
      <c r="AI929" t="s">
        <v>48</v>
      </c>
      <c r="AJ929" t="s">
        <v>48</v>
      </c>
      <c r="AK929" t="s">
        <v>62</v>
      </c>
      <c r="AL929" t="s">
        <v>63</v>
      </c>
      <c r="AM929" t="s">
        <v>61</v>
      </c>
      <c r="AN929" t="s">
        <v>64</v>
      </c>
      <c r="AO929" t="s">
        <v>776</v>
      </c>
      <c r="AP929">
        <v>1</v>
      </c>
      <c r="AQ929" t="s">
        <v>66</v>
      </c>
      <c r="AR929" t="s">
        <v>329</v>
      </c>
      <c r="AS929">
        <v>2018</v>
      </c>
      <c r="AT929" t="s">
        <v>49</v>
      </c>
      <c r="AU929" t="s">
        <v>48</v>
      </c>
      <c r="AV929" t="s">
        <v>48</v>
      </c>
      <c r="AW929" t="s">
        <v>48</v>
      </c>
    </row>
    <row r="930" spans="1:49" x14ac:dyDescent="0.3">
      <c r="A930" t="s">
        <v>2492</v>
      </c>
      <c r="B930" t="s">
        <v>48</v>
      </c>
      <c r="C930" t="s">
        <v>49</v>
      </c>
      <c r="D930">
        <v>269.13</v>
      </c>
      <c r="E930">
        <v>0</v>
      </c>
      <c r="F930">
        <v>4.8</v>
      </c>
      <c r="G930" t="s">
        <v>2493</v>
      </c>
      <c r="H930" t="s">
        <v>2494</v>
      </c>
      <c r="I930" t="s">
        <v>52</v>
      </c>
      <c r="J930" t="s">
        <v>53</v>
      </c>
      <c r="K930">
        <v>84000</v>
      </c>
      <c r="L930" t="s">
        <v>126</v>
      </c>
      <c r="M930">
        <f>DOWNLOAD_2kLRbPnDtawQopEJ_UKtt22ud9U57gk8mqebZIeugNk[[#This Row],[Standard Value]]</f>
        <v>84000</v>
      </c>
      <c r="N930">
        <f>-LOG(DOWNLOAD_2kLRbPnDtawQopEJ_UKtt22ud9U57gk8mqebZIeugNk[[#This Row],[IC50]]*POWER(10, -9), 10)</f>
        <v>4.075720713938118</v>
      </c>
      <c r="O930">
        <v>4.08</v>
      </c>
      <c r="P930" t="s">
        <v>48</v>
      </c>
      <c r="R930" t="s">
        <v>127</v>
      </c>
      <c r="S930">
        <v>15.14</v>
      </c>
      <c r="T930">
        <v>0.33</v>
      </c>
      <c r="U930">
        <v>-0.72</v>
      </c>
      <c r="V930">
        <v>13.83</v>
      </c>
      <c r="W930">
        <v>0</v>
      </c>
      <c r="X930" t="s">
        <v>774</v>
      </c>
      <c r="Y930" t="s">
        <v>775</v>
      </c>
      <c r="Z930" t="s">
        <v>58</v>
      </c>
      <c r="AA930" t="s">
        <v>59</v>
      </c>
      <c r="AB930" t="s">
        <v>60</v>
      </c>
      <c r="AC930" t="s">
        <v>61</v>
      </c>
      <c r="AD930" t="s">
        <v>49</v>
      </c>
      <c r="AE930" t="s">
        <v>49</v>
      </c>
      <c r="AF930" t="s">
        <v>49</v>
      </c>
      <c r="AG930" t="s">
        <v>49</v>
      </c>
      <c r="AH930" t="s">
        <v>48</v>
      </c>
      <c r="AI930" t="s">
        <v>48</v>
      </c>
      <c r="AJ930" t="s">
        <v>48</v>
      </c>
      <c r="AK930" t="s">
        <v>62</v>
      </c>
      <c r="AL930" t="s">
        <v>63</v>
      </c>
      <c r="AM930" t="s">
        <v>61</v>
      </c>
      <c r="AN930" t="s">
        <v>64</v>
      </c>
      <c r="AO930" t="s">
        <v>776</v>
      </c>
      <c r="AP930">
        <v>1</v>
      </c>
      <c r="AQ930" t="s">
        <v>66</v>
      </c>
      <c r="AR930" t="s">
        <v>329</v>
      </c>
      <c r="AS930">
        <v>2018</v>
      </c>
      <c r="AT930" t="s">
        <v>49</v>
      </c>
      <c r="AU930" t="s">
        <v>48</v>
      </c>
      <c r="AV930" t="s">
        <v>48</v>
      </c>
      <c r="AW930" t="s">
        <v>48</v>
      </c>
    </row>
    <row r="931" spans="1:49" x14ac:dyDescent="0.3">
      <c r="A931" t="s">
        <v>2495</v>
      </c>
      <c r="B931" t="s">
        <v>48</v>
      </c>
      <c r="C931" t="s">
        <v>49</v>
      </c>
      <c r="D931">
        <v>488.12</v>
      </c>
      <c r="E931">
        <v>0</v>
      </c>
      <c r="F931">
        <v>3.42</v>
      </c>
      <c r="G931" t="s">
        <v>2324</v>
      </c>
      <c r="H931" t="s">
        <v>2496</v>
      </c>
      <c r="I931" t="s">
        <v>52</v>
      </c>
      <c r="J931" t="s">
        <v>53</v>
      </c>
      <c r="K931">
        <v>58</v>
      </c>
      <c r="L931" t="s">
        <v>126</v>
      </c>
      <c r="M931">
        <f>DOWNLOAD_2kLRbPnDtawQopEJ_UKtt22ud9U57gk8mqebZIeugNk[[#This Row],[Standard Value]]</f>
        <v>58</v>
      </c>
      <c r="N931">
        <f>-LOG(DOWNLOAD_2kLRbPnDtawQopEJ_UKtt22ud9U57gk8mqebZIeugNk[[#This Row],[IC50]]*POWER(10, -9), 10)</f>
        <v>7.2365720064370622</v>
      </c>
      <c r="O931">
        <v>7.24</v>
      </c>
      <c r="P931" t="s">
        <v>48</v>
      </c>
      <c r="R931" t="s">
        <v>127</v>
      </c>
      <c r="S931">
        <v>14.83</v>
      </c>
      <c r="T931">
        <v>0.4</v>
      </c>
      <c r="U931">
        <v>3.82</v>
      </c>
      <c r="V931">
        <v>5.83</v>
      </c>
      <c r="W931">
        <v>0</v>
      </c>
      <c r="X931" t="s">
        <v>877</v>
      </c>
      <c r="Y931" t="s">
        <v>878</v>
      </c>
      <c r="Z931" t="s">
        <v>58</v>
      </c>
      <c r="AA931" t="s">
        <v>59</v>
      </c>
      <c r="AB931" t="s">
        <v>60</v>
      </c>
      <c r="AC931" t="s">
        <v>61</v>
      </c>
      <c r="AD931" t="s">
        <v>49</v>
      </c>
      <c r="AE931" t="s">
        <v>49</v>
      </c>
      <c r="AF931" t="s">
        <v>49</v>
      </c>
      <c r="AG931" t="s">
        <v>49</v>
      </c>
      <c r="AH931" t="s">
        <v>48</v>
      </c>
      <c r="AI931" t="s">
        <v>48</v>
      </c>
      <c r="AJ931" t="s">
        <v>48</v>
      </c>
      <c r="AK931" t="s">
        <v>62</v>
      </c>
      <c r="AL931" t="s">
        <v>63</v>
      </c>
      <c r="AM931" t="s">
        <v>61</v>
      </c>
      <c r="AN931" t="s">
        <v>64</v>
      </c>
      <c r="AO931" t="s">
        <v>879</v>
      </c>
      <c r="AP931">
        <v>1</v>
      </c>
      <c r="AQ931" t="s">
        <v>66</v>
      </c>
      <c r="AR931" t="s">
        <v>131</v>
      </c>
      <c r="AS931">
        <v>2020</v>
      </c>
      <c r="AT931" t="s">
        <v>49</v>
      </c>
      <c r="AU931" t="s">
        <v>48</v>
      </c>
      <c r="AV931" t="s">
        <v>269</v>
      </c>
      <c r="AW931" t="s">
        <v>48</v>
      </c>
    </row>
    <row r="932" spans="1:49" x14ac:dyDescent="0.3">
      <c r="A932" t="s">
        <v>2497</v>
      </c>
      <c r="B932" t="s">
        <v>48</v>
      </c>
      <c r="C932" t="s">
        <v>49</v>
      </c>
      <c r="D932">
        <v>418.5</v>
      </c>
      <c r="E932">
        <v>0</v>
      </c>
      <c r="F932">
        <v>3.03</v>
      </c>
      <c r="G932" t="s">
        <v>2498</v>
      </c>
      <c r="H932" t="s">
        <v>2499</v>
      </c>
      <c r="I932" t="s">
        <v>52</v>
      </c>
      <c r="J932" t="s">
        <v>53</v>
      </c>
      <c r="K932">
        <v>5600</v>
      </c>
      <c r="L932" t="s">
        <v>126</v>
      </c>
      <c r="M932">
        <f>DOWNLOAD_2kLRbPnDtawQopEJ_UKtt22ud9U57gk8mqebZIeugNk[[#This Row],[Standard Value]]</f>
        <v>5600</v>
      </c>
      <c r="N932">
        <f>-LOG(DOWNLOAD_2kLRbPnDtawQopEJ_UKtt22ud9U57gk8mqebZIeugNk[[#This Row],[IC50]]*POWER(10, -9), 10)</f>
        <v>5.2518119729937993</v>
      </c>
      <c r="O932">
        <v>5.25</v>
      </c>
      <c r="P932" t="s">
        <v>48</v>
      </c>
      <c r="R932" t="s">
        <v>127</v>
      </c>
      <c r="S932">
        <v>12.55</v>
      </c>
      <c r="T932">
        <v>0.26</v>
      </c>
      <c r="U932">
        <v>2.2200000000000002</v>
      </c>
      <c r="V932">
        <v>4.2</v>
      </c>
      <c r="W932">
        <v>0</v>
      </c>
      <c r="X932" t="s">
        <v>877</v>
      </c>
      <c r="Y932" t="s">
        <v>878</v>
      </c>
      <c r="Z932" t="s">
        <v>58</v>
      </c>
      <c r="AA932" t="s">
        <v>59</v>
      </c>
      <c r="AB932" t="s">
        <v>60</v>
      </c>
      <c r="AC932" t="s">
        <v>61</v>
      </c>
      <c r="AD932" t="s">
        <v>49</v>
      </c>
      <c r="AE932" t="s">
        <v>49</v>
      </c>
      <c r="AF932" t="s">
        <v>49</v>
      </c>
      <c r="AG932" t="s">
        <v>49</v>
      </c>
      <c r="AH932" t="s">
        <v>48</v>
      </c>
      <c r="AI932" t="s">
        <v>48</v>
      </c>
      <c r="AJ932" t="s">
        <v>48</v>
      </c>
      <c r="AK932" t="s">
        <v>62</v>
      </c>
      <c r="AL932" t="s">
        <v>63</v>
      </c>
      <c r="AM932" t="s">
        <v>61</v>
      </c>
      <c r="AN932" t="s">
        <v>64</v>
      </c>
      <c r="AO932" t="s">
        <v>879</v>
      </c>
      <c r="AP932">
        <v>1</v>
      </c>
      <c r="AQ932" t="s">
        <v>66</v>
      </c>
      <c r="AR932" t="s">
        <v>131</v>
      </c>
      <c r="AS932">
        <v>2020</v>
      </c>
      <c r="AT932" t="s">
        <v>49</v>
      </c>
      <c r="AU932" t="s">
        <v>48</v>
      </c>
      <c r="AV932" t="s">
        <v>269</v>
      </c>
      <c r="AW932" t="s">
        <v>48</v>
      </c>
    </row>
    <row r="933" spans="1:49" x14ac:dyDescent="0.3">
      <c r="A933" t="s">
        <v>2500</v>
      </c>
      <c r="B933" t="s">
        <v>48</v>
      </c>
      <c r="C933" t="s">
        <v>49</v>
      </c>
      <c r="D933">
        <v>624.65</v>
      </c>
      <c r="E933">
        <v>1</v>
      </c>
      <c r="F933">
        <v>3.03</v>
      </c>
      <c r="G933" t="s">
        <v>293</v>
      </c>
      <c r="H933" t="s">
        <v>2501</v>
      </c>
      <c r="I933" t="s">
        <v>52</v>
      </c>
      <c r="J933" t="s">
        <v>53</v>
      </c>
      <c r="K933">
        <v>1330</v>
      </c>
      <c r="L933" t="s">
        <v>126</v>
      </c>
      <c r="M933">
        <f>DOWNLOAD_2kLRbPnDtawQopEJ_UKtt22ud9U57gk8mqebZIeugNk[[#This Row],[Standard Value]]</f>
        <v>1330</v>
      </c>
      <c r="N933">
        <f>-LOG(DOWNLOAD_2kLRbPnDtawQopEJ_UKtt22ud9U57gk8mqebZIeugNk[[#This Row],[IC50]]*POWER(10, -9), 10)</f>
        <v>5.8761483590329133</v>
      </c>
      <c r="O933">
        <v>5.88</v>
      </c>
      <c r="P933" t="s">
        <v>48</v>
      </c>
      <c r="R933" t="s">
        <v>127</v>
      </c>
      <c r="S933">
        <v>9.41</v>
      </c>
      <c r="T933">
        <v>0.18</v>
      </c>
      <c r="U933">
        <v>2.85</v>
      </c>
      <c r="V933">
        <v>3.52</v>
      </c>
      <c r="W933">
        <v>0</v>
      </c>
      <c r="X933" t="s">
        <v>1497</v>
      </c>
      <c r="Y933" t="s">
        <v>1498</v>
      </c>
      <c r="Z933" t="s">
        <v>58</v>
      </c>
      <c r="AA933" t="s">
        <v>59</v>
      </c>
      <c r="AB933" t="s">
        <v>60</v>
      </c>
      <c r="AC933" t="s">
        <v>61</v>
      </c>
      <c r="AD933" t="s">
        <v>49</v>
      </c>
      <c r="AE933" t="s">
        <v>49</v>
      </c>
      <c r="AF933" t="s">
        <v>49</v>
      </c>
      <c r="AG933" t="s">
        <v>49</v>
      </c>
      <c r="AH933" t="s">
        <v>48</v>
      </c>
      <c r="AI933" t="s">
        <v>48</v>
      </c>
      <c r="AJ933" t="s">
        <v>48</v>
      </c>
      <c r="AK933" t="s">
        <v>62</v>
      </c>
      <c r="AL933" t="s">
        <v>63</v>
      </c>
      <c r="AM933" t="s">
        <v>61</v>
      </c>
      <c r="AN933" t="s">
        <v>64</v>
      </c>
      <c r="AO933" t="s">
        <v>1499</v>
      </c>
      <c r="AP933">
        <v>1</v>
      </c>
      <c r="AQ933" t="s">
        <v>66</v>
      </c>
      <c r="AR933" t="s">
        <v>131</v>
      </c>
      <c r="AS933">
        <v>2022</v>
      </c>
      <c r="AT933" t="s">
        <v>49</v>
      </c>
      <c r="AU933" t="s">
        <v>299</v>
      </c>
      <c r="AV933" t="s">
        <v>269</v>
      </c>
      <c r="AW933" t="s">
        <v>48</v>
      </c>
    </row>
    <row r="934" spans="1:49" x14ac:dyDescent="0.3">
      <c r="A934" t="s">
        <v>2502</v>
      </c>
      <c r="B934" t="s">
        <v>48</v>
      </c>
      <c r="C934" t="s">
        <v>49</v>
      </c>
      <c r="D934">
        <v>581.48</v>
      </c>
      <c r="E934">
        <v>2</v>
      </c>
      <c r="F934">
        <v>3.16</v>
      </c>
      <c r="G934" t="s">
        <v>2503</v>
      </c>
      <c r="H934" t="s">
        <v>2504</v>
      </c>
      <c r="I934" t="s">
        <v>52</v>
      </c>
      <c r="J934" t="s">
        <v>53</v>
      </c>
      <c r="K934">
        <v>640</v>
      </c>
      <c r="L934" t="s">
        <v>126</v>
      </c>
      <c r="M934">
        <f>DOWNLOAD_2kLRbPnDtawQopEJ_UKtt22ud9U57gk8mqebZIeugNk[[#This Row],[Standard Value]]</f>
        <v>640</v>
      </c>
      <c r="N934">
        <f>-LOG(DOWNLOAD_2kLRbPnDtawQopEJ_UKtt22ud9U57gk8mqebZIeugNk[[#This Row],[IC50]]*POWER(10, -9), 10)</f>
        <v>6.1938200260161116</v>
      </c>
      <c r="O934">
        <v>6.19</v>
      </c>
      <c r="P934" t="s">
        <v>48</v>
      </c>
      <c r="R934" t="s">
        <v>127</v>
      </c>
      <c r="S934">
        <v>10.65</v>
      </c>
      <c r="T934">
        <v>0.22</v>
      </c>
      <c r="U934">
        <v>3.03</v>
      </c>
      <c r="V934">
        <v>3.66</v>
      </c>
      <c r="W934">
        <v>0</v>
      </c>
      <c r="X934" t="s">
        <v>1726</v>
      </c>
      <c r="Y934" t="s">
        <v>878</v>
      </c>
      <c r="Z934" t="s">
        <v>58</v>
      </c>
      <c r="AA934" t="s">
        <v>59</v>
      </c>
      <c r="AB934" t="s">
        <v>60</v>
      </c>
      <c r="AC934" t="s">
        <v>61</v>
      </c>
      <c r="AD934" t="s">
        <v>49</v>
      </c>
      <c r="AE934" t="s">
        <v>49</v>
      </c>
      <c r="AF934" t="s">
        <v>49</v>
      </c>
      <c r="AG934" t="s">
        <v>49</v>
      </c>
      <c r="AH934" t="s">
        <v>48</v>
      </c>
      <c r="AI934" t="s">
        <v>48</v>
      </c>
      <c r="AJ934" t="s">
        <v>48</v>
      </c>
      <c r="AK934" t="s">
        <v>62</v>
      </c>
      <c r="AL934" t="s">
        <v>63</v>
      </c>
      <c r="AM934" t="s">
        <v>61</v>
      </c>
      <c r="AN934" t="s">
        <v>64</v>
      </c>
      <c r="AO934" t="s">
        <v>1727</v>
      </c>
      <c r="AP934">
        <v>1</v>
      </c>
      <c r="AQ934" t="s">
        <v>66</v>
      </c>
      <c r="AR934" t="s">
        <v>131</v>
      </c>
      <c r="AS934">
        <v>2021</v>
      </c>
      <c r="AT934" t="s">
        <v>49</v>
      </c>
      <c r="AU934" t="s">
        <v>48</v>
      </c>
      <c r="AV934" t="s">
        <v>269</v>
      </c>
      <c r="AW934" t="s">
        <v>48</v>
      </c>
    </row>
    <row r="935" spans="1:49" x14ac:dyDescent="0.3">
      <c r="A935" t="s">
        <v>2505</v>
      </c>
      <c r="B935" t="s">
        <v>48</v>
      </c>
      <c r="C935" t="s">
        <v>49</v>
      </c>
      <c r="D935">
        <v>489.64</v>
      </c>
      <c r="E935">
        <v>0</v>
      </c>
      <c r="F935">
        <v>4.24</v>
      </c>
      <c r="G935" t="s">
        <v>277</v>
      </c>
      <c r="H935" t="s">
        <v>2506</v>
      </c>
      <c r="I935" t="s">
        <v>52</v>
      </c>
      <c r="J935" t="s">
        <v>53</v>
      </c>
      <c r="K935">
        <v>5400</v>
      </c>
      <c r="L935" t="s">
        <v>126</v>
      </c>
      <c r="M935">
        <f>DOWNLOAD_2kLRbPnDtawQopEJ_UKtt22ud9U57gk8mqebZIeugNk[[#This Row],[Standard Value]]</f>
        <v>5400</v>
      </c>
      <c r="N935">
        <f>-LOG(DOWNLOAD_2kLRbPnDtawQopEJ_UKtt22ud9U57gk8mqebZIeugNk[[#This Row],[IC50]]*POWER(10, -9), 10)</f>
        <v>5.2676062401770309</v>
      </c>
      <c r="O935">
        <v>5.27</v>
      </c>
      <c r="P935" t="s">
        <v>48</v>
      </c>
      <c r="R935" t="s">
        <v>127</v>
      </c>
      <c r="S935">
        <v>10.76</v>
      </c>
      <c r="T935">
        <v>0.22</v>
      </c>
      <c r="U935">
        <v>1.03</v>
      </c>
      <c r="V935">
        <v>7.99</v>
      </c>
      <c r="W935">
        <v>0</v>
      </c>
      <c r="X935" t="s">
        <v>1510</v>
      </c>
      <c r="Y935" t="s">
        <v>1511</v>
      </c>
      <c r="Z935" t="s">
        <v>58</v>
      </c>
      <c r="AA935" t="s">
        <v>59</v>
      </c>
      <c r="AB935" t="s">
        <v>60</v>
      </c>
      <c r="AC935" t="s">
        <v>61</v>
      </c>
      <c r="AD935" t="s">
        <v>49</v>
      </c>
      <c r="AE935" t="s">
        <v>49</v>
      </c>
      <c r="AF935" t="s">
        <v>49</v>
      </c>
      <c r="AG935" t="s">
        <v>49</v>
      </c>
      <c r="AH935" t="s">
        <v>48</v>
      </c>
      <c r="AI935" t="s">
        <v>48</v>
      </c>
      <c r="AJ935" t="s">
        <v>48</v>
      </c>
      <c r="AK935" t="s">
        <v>62</v>
      </c>
      <c r="AL935" t="s">
        <v>63</v>
      </c>
      <c r="AM935" t="s">
        <v>61</v>
      </c>
      <c r="AN935" t="s">
        <v>64</v>
      </c>
      <c r="AO935" t="s">
        <v>1512</v>
      </c>
      <c r="AP935">
        <v>1</v>
      </c>
      <c r="AQ935" t="s">
        <v>66</v>
      </c>
      <c r="AR935" t="s">
        <v>76</v>
      </c>
      <c r="AS935">
        <v>2022</v>
      </c>
      <c r="AT935" t="s">
        <v>49</v>
      </c>
      <c r="AU935" t="s">
        <v>48</v>
      </c>
      <c r="AV935" t="s">
        <v>269</v>
      </c>
      <c r="AW935" t="s">
        <v>48</v>
      </c>
    </row>
    <row r="936" spans="1:49" x14ac:dyDescent="0.3">
      <c r="A936" t="s">
        <v>2507</v>
      </c>
      <c r="B936" t="s">
        <v>48</v>
      </c>
      <c r="C936" t="s">
        <v>49</v>
      </c>
      <c r="D936">
        <v>382.89</v>
      </c>
      <c r="E936">
        <v>0</v>
      </c>
      <c r="F936">
        <v>3.79</v>
      </c>
      <c r="G936" t="s">
        <v>470</v>
      </c>
      <c r="H936" t="s">
        <v>2508</v>
      </c>
      <c r="I936" t="s">
        <v>52</v>
      </c>
      <c r="J936" t="s">
        <v>53</v>
      </c>
      <c r="K936">
        <v>20000</v>
      </c>
      <c r="L936" t="s">
        <v>126</v>
      </c>
      <c r="M936">
        <f>DOWNLOAD_2kLRbPnDtawQopEJ_UKtt22ud9U57gk8mqebZIeugNk[[#This Row],[Standard Value]]</f>
        <v>20000</v>
      </c>
      <c r="N936">
        <f>-LOG(DOWNLOAD_2kLRbPnDtawQopEJ_UKtt22ud9U57gk8mqebZIeugNk[[#This Row],[IC50]]*POWER(10, -9), 10)</f>
        <v>4.6989700043360187</v>
      </c>
      <c r="O936">
        <v>4.7</v>
      </c>
      <c r="P936" t="s">
        <v>48</v>
      </c>
      <c r="R936" t="s">
        <v>127</v>
      </c>
      <c r="S936">
        <v>13.56</v>
      </c>
      <c r="T936">
        <v>0.25</v>
      </c>
      <c r="U936">
        <v>0.91</v>
      </c>
      <c r="V936">
        <v>7.3</v>
      </c>
      <c r="W936">
        <v>0</v>
      </c>
      <c r="X936" t="s">
        <v>1546</v>
      </c>
      <c r="Y936" t="s">
        <v>1547</v>
      </c>
      <c r="Z936" t="s">
        <v>58</v>
      </c>
      <c r="AA936" t="s">
        <v>59</v>
      </c>
      <c r="AB936" t="s">
        <v>60</v>
      </c>
      <c r="AC936" t="s">
        <v>61</v>
      </c>
      <c r="AD936" t="s">
        <v>49</v>
      </c>
      <c r="AE936" t="s">
        <v>49</v>
      </c>
      <c r="AF936" t="s">
        <v>49</v>
      </c>
      <c r="AG936" t="s">
        <v>49</v>
      </c>
      <c r="AH936" t="s">
        <v>48</v>
      </c>
      <c r="AI936" t="s">
        <v>48</v>
      </c>
      <c r="AJ936" t="s">
        <v>48</v>
      </c>
      <c r="AK936" t="s">
        <v>62</v>
      </c>
      <c r="AL936" t="s">
        <v>63</v>
      </c>
      <c r="AM936" t="s">
        <v>61</v>
      </c>
      <c r="AN936" t="s">
        <v>64</v>
      </c>
      <c r="AO936" t="s">
        <v>1548</v>
      </c>
      <c r="AP936">
        <v>1</v>
      </c>
      <c r="AQ936" t="s">
        <v>66</v>
      </c>
      <c r="AR936" t="s">
        <v>1549</v>
      </c>
      <c r="AS936">
        <v>2022</v>
      </c>
      <c r="AT936" t="s">
        <v>49</v>
      </c>
      <c r="AU936" t="s">
        <v>299</v>
      </c>
      <c r="AV936" t="s">
        <v>269</v>
      </c>
      <c r="AW936" t="s">
        <v>48</v>
      </c>
    </row>
    <row r="937" spans="1:49" x14ac:dyDescent="0.3">
      <c r="A937" t="s">
        <v>2509</v>
      </c>
      <c r="B937" t="s">
        <v>48</v>
      </c>
      <c r="C937" t="s">
        <v>49</v>
      </c>
      <c r="D937">
        <v>412.92</v>
      </c>
      <c r="E937">
        <v>0</v>
      </c>
      <c r="F937">
        <v>3.89</v>
      </c>
      <c r="G937" t="s">
        <v>500</v>
      </c>
      <c r="H937" t="s">
        <v>2510</v>
      </c>
      <c r="I937" t="s">
        <v>52</v>
      </c>
      <c r="J937" t="s">
        <v>53</v>
      </c>
      <c r="K937">
        <v>41000</v>
      </c>
      <c r="L937" t="s">
        <v>126</v>
      </c>
      <c r="M937">
        <f>DOWNLOAD_2kLRbPnDtawQopEJ_UKtt22ud9U57gk8mqebZIeugNk[[#This Row],[Standard Value]]</f>
        <v>41000</v>
      </c>
      <c r="N937">
        <f>-LOG(DOWNLOAD_2kLRbPnDtawQopEJ_UKtt22ud9U57gk8mqebZIeugNk[[#This Row],[IC50]]*POWER(10, -9), 10)</f>
        <v>4.3872161432802645</v>
      </c>
      <c r="O937">
        <v>4.3899999999999997</v>
      </c>
      <c r="P937" t="s">
        <v>48</v>
      </c>
      <c r="R937" t="s">
        <v>127</v>
      </c>
      <c r="S937">
        <v>11.65</v>
      </c>
      <c r="T937">
        <v>0.21</v>
      </c>
      <c r="U937">
        <v>0.5</v>
      </c>
      <c r="V937">
        <v>5.19</v>
      </c>
      <c r="W937">
        <v>0</v>
      </c>
      <c r="X937" t="s">
        <v>1546</v>
      </c>
      <c r="Y937" t="s">
        <v>1547</v>
      </c>
      <c r="Z937" t="s">
        <v>58</v>
      </c>
      <c r="AA937" t="s">
        <v>59</v>
      </c>
      <c r="AB937" t="s">
        <v>60</v>
      </c>
      <c r="AC937" t="s">
        <v>61</v>
      </c>
      <c r="AD937" t="s">
        <v>49</v>
      </c>
      <c r="AE937" t="s">
        <v>49</v>
      </c>
      <c r="AF937" t="s">
        <v>49</v>
      </c>
      <c r="AG937" t="s">
        <v>49</v>
      </c>
      <c r="AH937" t="s">
        <v>48</v>
      </c>
      <c r="AI937" t="s">
        <v>48</v>
      </c>
      <c r="AJ937" t="s">
        <v>48</v>
      </c>
      <c r="AK937" t="s">
        <v>62</v>
      </c>
      <c r="AL937" t="s">
        <v>63</v>
      </c>
      <c r="AM937" t="s">
        <v>61</v>
      </c>
      <c r="AN937" t="s">
        <v>64</v>
      </c>
      <c r="AO937" t="s">
        <v>1548</v>
      </c>
      <c r="AP937">
        <v>1</v>
      </c>
      <c r="AQ937" t="s">
        <v>66</v>
      </c>
      <c r="AR937" t="s">
        <v>1549</v>
      </c>
      <c r="AS937">
        <v>2022</v>
      </c>
      <c r="AT937" t="s">
        <v>49</v>
      </c>
      <c r="AU937" t="s">
        <v>299</v>
      </c>
      <c r="AV937" t="s">
        <v>269</v>
      </c>
      <c r="AW937" t="s">
        <v>48</v>
      </c>
    </row>
    <row r="938" spans="1:49" x14ac:dyDescent="0.3">
      <c r="A938" t="s">
        <v>2484</v>
      </c>
      <c r="B938" t="s">
        <v>48</v>
      </c>
      <c r="C938" t="s">
        <v>49</v>
      </c>
      <c r="D938">
        <v>941.9</v>
      </c>
      <c r="E938">
        <v>3</v>
      </c>
      <c r="F938">
        <v>4.3899999999999997</v>
      </c>
      <c r="G938" t="s">
        <v>2485</v>
      </c>
      <c r="H938" t="s">
        <v>2486</v>
      </c>
      <c r="I938" t="s">
        <v>52</v>
      </c>
      <c r="J938" t="s">
        <v>53</v>
      </c>
      <c r="K938">
        <v>60</v>
      </c>
      <c r="L938" t="s">
        <v>126</v>
      </c>
      <c r="M938">
        <f>DOWNLOAD_2kLRbPnDtawQopEJ_UKtt22ud9U57gk8mqebZIeugNk[[#This Row],[Standard Value]]</f>
        <v>60</v>
      </c>
      <c r="N938">
        <f>-LOG(DOWNLOAD_2kLRbPnDtawQopEJ_UKtt22ud9U57gk8mqebZIeugNk[[#This Row],[IC50]]*POWER(10, -9), 10)</f>
        <v>7.2218487496163553</v>
      </c>
      <c r="O938">
        <v>7.22</v>
      </c>
      <c r="P938" t="s">
        <v>48</v>
      </c>
      <c r="R938" t="s">
        <v>127</v>
      </c>
      <c r="S938">
        <v>7.67</v>
      </c>
      <c r="T938">
        <v>0.15</v>
      </c>
      <c r="U938">
        <v>2.83</v>
      </c>
      <c r="V938">
        <v>2.79</v>
      </c>
      <c r="W938">
        <v>0</v>
      </c>
      <c r="X938" t="s">
        <v>1572</v>
      </c>
      <c r="Y938" t="s">
        <v>1573</v>
      </c>
      <c r="Z938" t="s">
        <v>58</v>
      </c>
      <c r="AA938" t="s">
        <v>59</v>
      </c>
      <c r="AB938" t="s">
        <v>60</v>
      </c>
      <c r="AC938" t="s">
        <v>61</v>
      </c>
      <c r="AD938" t="s">
        <v>49</v>
      </c>
      <c r="AE938" t="s">
        <v>49</v>
      </c>
      <c r="AF938" t="s">
        <v>49</v>
      </c>
      <c r="AG938" t="s">
        <v>49</v>
      </c>
      <c r="AH938" t="s">
        <v>48</v>
      </c>
      <c r="AI938" t="s">
        <v>48</v>
      </c>
      <c r="AJ938" t="s">
        <v>48</v>
      </c>
      <c r="AK938" t="s">
        <v>62</v>
      </c>
      <c r="AL938" t="s">
        <v>63</v>
      </c>
      <c r="AM938" t="s">
        <v>61</v>
      </c>
      <c r="AN938" t="s">
        <v>64</v>
      </c>
      <c r="AO938" t="s">
        <v>1568</v>
      </c>
      <c r="AP938">
        <v>1</v>
      </c>
      <c r="AQ938" t="s">
        <v>66</v>
      </c>
      <c r="AR938" t="s">
        <v>267</v>
      </c>
      <c r="AS938">
        <v>2016</v>
      </c>
      <c r="AT938" t="s">
        <v>49</v>
      </c>
      <c r="AU938" t="s">
        <v>299</v>
      </c>
      <c r="AV938" t="s">
        <v>269</v>
      </c>
      <c r="AW938" t="s">
        <v>48</v>
      </c>
    </row>
    <row r="939" spans="1:49" x14ac:dyDescent="0.3">
      <c r="A939" t="s">
        <v>2511</v>
      </c>
      <c r="B939" t="s">
        <v>48</v>
      </c>
      <c r="C939" t="s">
        <v>49</v>
      </c>
      <c r="D939">
        <v>458.07</v>
      </c>
      <c r="E939">
        <v>0</v>
      </c>
      <c r="F939">
        <v>3.05</v>
      </c>
      <c r="G939" t="s">
        <v>197</v>
      </c>
      <c r="H939" t="s">
        <v>2512</v>
      </c>
      <c r="I939" t="s">
        <v>52</v>
      </c>
      <c r="J939" t="s">
        <v>53</v>
      </c>
      <c r="K939">
        <v>8600</v>
      </c>
      <c r="L939" t="s">
        <v>126</v>
      </c>
      <c r="M939">
        <f>DOWNLOAD_2kLRbPnDtawQopEJ_UKtt22ud9U57gk8mqebZIeugNk[[#This Row],[Standard Value]]</f>
        <v>8600</v>
      </c>
      <c r="N939">
        <f>-LOG(DOWNLOAD_2kLRbPnDtawQopEJ_UKtt22ud9U57gk8mqebZIeugNk[[#This Row],[IC50]]*POWER(10, -9), 10)</f>
        <v>5.0655015487564317</v>
      </c>
      <c r="O939">
        <v>5.07</v>
      </c>
      <c r="P939" t="s">
        <v>48</v>
      </c>
      <c r="R939" t="s">
        <v>127</v>
      </c>
      <c r="S939">
        <v>11.06</v>
      </c>
      <c r="T939">
        <v>0.28999999999999998</v>
      </c>
      <c r="U939">
        <v>2.02</v>
      </c>
      <c r="V939">
        <v>4.4800000000000004</v>
      </c>
      <c r="W939">
        <v>0</v>
      </c>
      <c r="X939" t="s">
        <v>326</v>
      </c>
      <c r="Y939" t="s">
        <v>327</v>
      </c>
      <c r="Z939" t="s">
        <v>58</v>
      </c>
      <c r="AA939" t="s">
        <v>59</v>
      </c>
      <c r="AB939" t="s">
        <v>60</v>
      </c>
      <c r="AC939" t="s">
        <v>61</v>
      </c>
      <c r="AD939" t="s">
        <v>49</v>
      </c>
      <c r="AE939" t="s">
        <v>49</v>
      </c>
      <c r="AF939" t="s">
        <v>49</v>
      </c>
      <c r="AG939" t="s">
        <v>49</v>
      </c>
      <c r="AH939" t="s">
        <v>48</v>
      </c>
      <c r="AI939" t="s">
        <v>48</v>
      </c>
      <c r="AJ939" t="s">
        <v>48</v>
      </c>
      <c r="AK939" t="s">
        <v>62</v>
      </c>
      <c r="AL939" t="s">
        <v>63</v>
      </c>
      <c r="AM939" t="s">
        <v>61</v>
      </c>
      <c r="AN939" t="s">
        <v>64</v>
      </c>
      <c r="AO939" t="s">
        <v>328</v>
      </c>
      <c r="AP939">
        <v>1</v>
      </c>
      <c r="AQ939" t="s">
        <v>66</v>
      </c>
      <c r="AR939" t="s">
        <v>329</v>
      </c>
      <c r="AS939">
        <v>2019</v>
      </c>
      <c r="AT939" t="s">
        <v>49</v>
      </c>
      <c r="AU939" t="s">
        <v>48</v>
      </c>
      <c r="AV939" t="s">
        <v>48</v>
      </c>
      <c r="AW939" t="s">
        <v>48</v>
      </c>
    </row>
    <row r="940" spans="1:49" x14ac:dyDescent="0.3">
      <c r="A940" t="s">
        <v>181</v>
      </c>
      <c r="B940" t="s">
        <v>182</v>
      </c>
      <c r="C940" t="s">
        <v>112</v>
      </c>
      <c r="D940">
        <v>612.63</v>
      </c>
      <c r="E940">
        <v>2</v>
      </c>
      <c r="F940">
        <v>3.63</v>
      </c>
      <c r="G940" t="s">
        <v>183</v>
      </c>
      <c r="H940" t="s">
        <v>184</v>
      </c>
      <c r="I940" t="s">
        <v>52</v>
      </c>
      <c r="J940" t="s">
        <v>53</v>
      </c>
      <c r="K940">
        <v>23</v>
      </c>
      <c r="L940" t="s">
        <v>126</v>
      </c>
      <c r="M940">
        <f>DOWNLOAD_2kLRbPnDtawQopEJ_UKtt22ud9U57gk8mqebZIeugNk[[#This Row],[Standard Value]]</f>
        <v>23</v>
      </c>
      <c r="N940">
        <f>-LOG(DOWNLOAD_2kLRbPnDtawQopEJ_UKtt22ud9U57gk8mqebZIeugNk[[#This Row],[IC50]]*POWER(10, -9), 10)</f>
        <v>7.638272163982406</v>
      </c>
      <c r="O940">
        <v>7.64</v>
      </c>
      <c r="P940" t="s">
        <v>48</v>
      </c>
      <c r="R940" t="s">
        <v>127</v>
      </c>
      <c r="S940">
        <v>12.47</v>
      </c>
      <c r="T940">
        <v>0.24</v>
      </c>
      <c r="U940">
        <v>4.01</v>
      </c>
      <c r="V940">
        <v>3.82</v>
      </c>
      <c r="W940">
        <v>0</v>
      </c>
      <c r="X940" t="s">
        <v>2513</v>
      </c>
      <c r="Y940" t="s">
        <v>2514</v>
      </c>
      <c r="Z940" t="s">
        <v>58</v>
      </c>
      <c r="AA940" t="s">
        <v>59</v>
      </c>
      <c r="AB940" t="s">
        <v>60</v>
      </c>
      <c r="AC940" t="s">
        <v>61</v>
      </c>
      <c r="AD940" t="s">
        <v>49</v>
      </c>
      <c r="AE940" t="s">
        <v>49</v>
      </c>
      <c r="AF940" t="s">
        <v>49</v>
      </c>
      <c r="AG940" t="s">
        <v>49</v>
      </c>
      <c r="AH940" t="s">
        <v>48</v>
      </c>
      <c r="AI940" t="s">
        <v>48</v>
      </c>
      <c r="AJ940" t="s">
        <v>48</v>
      </c>
      <c r="AK940" t="s">
        <v>62</v>
      </c>
      <c r="AL940" t="s">
        <v>63</v>
      </c>
      <c r="AM940" t="s">
        <v>61</v>
      </c>
      <c r="AN940" t="s">
        <v>64</v>
      </c>
      <c r="AO940" t="s">
        <v>1568</v>
      </c>
      <c r="AP940">
        <v>1</v>
      </c>
      <c r="AQ940" t="s">
        <v>66</v>
      </c>
      <c r="AR940" t="s">
        <v>267</v>
      </c>
      <c r="AS940">
        <v>2016</v>
      </c>
      <c r="AT940" t="s">
        <v>49</v>
      </c>
      <c r="AU940" t="s">
        <v>48</v>
      </c>
      <c r="AV940" t="s">
        <v>269</v>
      </c>
      <c r="AW940" t="s">
        <v>48</v>
      </c>
    </row>
    <row r="941" spans="1:49" x14ac:dyDescent="0.3">
      <c r="A941" t="s">
        <v>2515</v>
      </c>
      <c r="B941" t="s">
        <v>48</v>
      </c>
      <c r="C941" t="s">
        <v>49</v>
      </c>
      <c r="D941">
        <v>428.27</v>
      </c>
      <c r="E941">
        <v>0</v>
      </c>
      <c r="F941">
        <v>3.42</v>
      </c>
      <c r="G941" t="s">
        <v>2493</v>
      </c>
      <c r="H941" t="s">
        <v>2516</v>
      </c>
      <c r="I941" t="s">
        <v>52</v>
      </c>
      <c r="J941" t="s">
        <v>53</v>
      </c>
      <c r="K941">
        <v>47000</v>
      </c>
      <c r="L941" t="s">
        <v>126</v>
      </c>
      <c r="M941">
        <f>DOWNLOAD_2kLRbPnDtawQopEJ_UKtt22ud9U57gk8mqebZIeugNk[[#This Row],[Standard Value]]</f>
        <v>47000</v>
      </c>
      <c r="N941">
        <f>-LOG(DOWNLOAD_2kLRbPnDtawQopEJ_UKtt22ud9U57gk8mqebZIeugNk[[#This Row],[IC50]]*POWER(10, -9), 10)</f>
        <v>4.327902142064282</v>
      </c>
      <c r="O941">
        <v>4.33</v>
      </c>
      <c r="P941" t="s">
        <v>48</v>
      </c>
      <c r="R941" t="s">
        <v>127</v>
      </c>
      <c r="S941">
        <v>10.11</v>
      </c>
      <c r="T941">
        <v>0.21</v>
      </c>
      <c r="U941">
        <v>0.91</v>
      </c>
      <c r="V941">
        <v>3.59</v>
      </c>
      <c r="W941">
        <v>0</v>
      </c>
      <c r="X941" t="s">
        <v>877</v>
      </c>
      <c r="Y941" t="s">
        <v>878</v>
      </c>
      <c r="Z941" t="s">
        <v>58</v>
      </c>
      <c r="AA941" t="s">
        <v>59</v>
      </c>
      <c r="AB941" t="s">
        <v>60</v>
      </c>
      <c r="AC941" t="s">
        <v>61</v>
      </c>
      <c r="AD941" t="s">
        <v>49</v>
      </c>
      <c r="AE941" t="s">
        <v>49</v>
      </c>
      <c r="AF941" t="s">
        <v>49</v>
      </c>
      <c r="AG941" t="s">
        <v>49</v>
      </c>
      <c r="AH941" t="s">
        <v>48</v>
      </c>
      <c r="AI941" t="s">
        <v>48</v>
      </c>
      <c r="AJ941" t="s">
        <v>48</v>
      </c>
      <c r="AK941" t="s">
        <v>62</v>
      </c>
      <c r="AL941" t="s">
        <v>63</v>
      </c>
      <c r="AM941" t="s">
        <v>61</v>
      </c>
      <c r="AN941" t="s">
        <v>64</v>
      </c>
      <c r="AO941" t="s">
        <v>879</v>
      </c>
      <c r="AP941">
        <v>1</v>
      </c>
      <c r="AQ941" t="s">
        <v>66</v>
      </c>
      <c r="AR941" t="s">
        <v>131</v>
      </c>
      <c r="AS941">
        <v>2020</v>
      </c>
      <c r="AT941" t="s">
        <v>49</v>
      </c>
      <c r="AU941" t="s">
        <v>48</v>
      </c>
      <c r="AV941" t="s">
        <v>269</v>
      </c>
      <c r="AW941" t="s">
        <v>48</v>
      </c>
    </row>
    <row r="942" spans="1:49" x14ac:dyDescent="0.3">
      <c r="A942" t="s">
        <v>2517</v>
      </c>
      <c r="B942" t="s">
        <v>48</v>
      </c>
      <c r="C942" t="s">
        <v>49</v>
      </c>
      <c r="D942">
        <v>565.22</v>
      </c>
      <c r="E942">
        <v>1</v>
      </c>
      <c r="F942">
        <v>3.6</v>
      </c>
      <c r="G942" t="s">
        <v>2198</v>
      </c>
      <c r="H942" t="s">
        <v>2518</v>
      </c>
      <c r="I942" t="s">
        <v>52</v>
      </c>
      <c r="J942" t="s">
        <v>53</v>
      </c>
      <c r="K942">
        <v>619</v>
      </c>
      <c r="L942" t="s">
        <v>126</v>
      </c>
      <c r="M942">
        <f>DOWNLOAD_2kLRbPnDtawQopEJ_UKtt22ud9U57gk8mqebZIeugNk[[#This Row],[Standard Value]]</f>
        <v>619</v>
      </c>
      <c r="N942">
        <f>-LOG(DOWNLOAD_2kLRbPnDtawQopEJ_UKtt22ud9U57gk8mqebZIeugNk[[#This Row],[IC50]]*POWER(10, -9), 10)</f>
        <v>6.2083093509798815</v>
      </c>
      <c r="O942">
        <v>6.21</v>
      </c>
      <c r="P942" t="s">
        <v>48</v>
      </c>
      <c r="R942" t="s">
        <v>127</v>
      </c>
      <c r="S942">
        <v>10.98</v>
      </c>
      <c r="T942">
        <v>0.26</v>
      </c>
      <c r="U942">
        <v>2.61</v>
      </c>
      <c r="V942">
        <v>4.72</v>
      </c>
      <c r="W942">
        <v>0</v>
      </c>
      <c r="X942" t="s">
        <v>877</v>
      </c>
      <c r="Y942" t="s">
        <v>878</v>
      </c>
      <c r="Z942" t="s">
        <v>58</v>
      </c>
      <c r="AA942" t="s">
        <v>59</v>
      </c>
      <c r="AB942" t="s">
        <v>60</v>
      </c>
      <c r="AC942" t="s">
        <v>61</v>
      </c>
      <c r="AD942" t="s">
        <v>49</v>
      </c>
      <c r="AE942" t="s">
        <v>49</v>
      </c>
      <c r="AF942" t="s">
        <v>49</v>
      </c>
      <c r="AG942" t="s">
        <v>49</v>
      </c>
      <c r="AH942" t="s">
        <v>48</v>
      </c>
      <c r="AI942" t="s">
        <v>48</v>
      </c>
      <c r="AJ942" t="s">
        <v>48</v>
      </c>
      <c r="AK942" t="s">
        <v>62</v>
      </c>
      <c r="AL942" t="s">
        <v>63</v>
      </c>
      <c r="AM942" t="s">
        <v>61</v>
      </c>
      <c r="AN942" t="s">
        <v>64</v>
      </c>
      <c r="AO942" t="s">
        <v>879</v>
      </c>
      <c r="AP942">
        <v>1</v>
      </c>
      <c r="AQ942" t="s">
        <v>66</v>
      </c>
      <c r="AR942" t="s">
        <v>131</v>
      </c>
      <c r="AS942">
        <v>2020</v>
      </c>
      <c r="AT942" t="s">
        <v>49</v>
      </c>
      <c r="AU942" t="s">
        <v>48</v>
      </c>
      <c r="AV942" t="s">
        <v>269</v>
      </c>
      <c r="AW942" t="s">
        <v>48</v>
      </c>
    </row>
    <row r="943" spans="1:49" x14ac:dyDescent="0.3">
      <c r="A943" t="s">
        <v>2519</v>
      </c>
      <c r="B943" t="s">
        <v>48</v>
      </c>
      <c r="C943" t="s">
        <v>49</v>
      </c>
      <c r="D943">
        <v>492.51</v>
      </c>
      <c r="E943">
        <v>0</v>
      </c>
      <c r="F943">
        <v>2.2599999999999998</v>
      </c>
      <c r="G943" t="s">
        <v>214</v>
      </c>
      <c r="H943" t="s">
        <v>2520</v>
      </c>
      <c r="I943" t="s">
        <v>52</v>
      </c>
      <c r="J943" t="s">
        <v>53</v>
      </c>
      <c r="K943">
        <v>0.21</v>
      </c>
      <c r="L943" t="s">
        <v>54</v>
      </c>
      <c r="M943">
        <f>DOWNLOAD_2kLRbPnDtawQopEJ_UKtt22ud9U57gk8mqebZIeugNk[[#This Row],[Standard Value]]/DOWNLOAD_2kLRbPnDtawQopEJ_UKtt22ud9U57gk8mqebZIeugNk[[#This Row],[Molecular Weight]]*1000*1000</f>
        <v>426.38728147651824</v>
      </c>
      <c r="N943">
        <f>-LOG(DOWNLOAD_2kLRbPnDtawQopEJ_UKtt22ud9U57gk8mqebZIeugNk[[#This Row],[IC50]]*POWER(10, -9), 10)</f>
        <v>6.3701957581722564</v>
      </c>
      <c r="P943" t="s">
        <v>48</v>
      </c>
      <c r="R943" t="s">
        <v>55</v>
      </c>
      <c r="W943">
        <v>0</v>
      </c>
      <c r="X943" t="s">
        <v>877</v>
      </c>
      <c r="Y943" t="s">
        <v>878</v>
      </c>
      <c r="Z943" t="s">
        <v>58</v>
      </c>
      <c r="AA943" t="s">
        <v>59</v>
      </c>
      <c r="AB943" t="s">
        <v>60</v>
      </c>
      <c r="AC943" t="s">
        <v>61</v>
      </c>
      <c r="AD943" t="s">
        <v>49</v>
      </c>
      <c r="AE943" t="s">
        <v>49</v>
      </c>
      <c r="AF943" t="s">
        <v>49</v>
      </c>
      <c r="AG943" t="s">
        <v>49</v>
      </c>
      <c r="AH943" t="s">
        <v>48</v>
      </c>
      <c r="AI943" t="s">
        <v>48</v>
      </c>
      <c r="AJ943" t="s">
        <v>48</v>
      </c>
      <c r="AK943" t="s">
        <v>62</v>
      </c>
      <c r="AL943" t="s">
        <v>63</v>
      </c>
      <c r="AM943" t="s">
        <v>61</v>
      </c>
      <c r="AN943" t="s">
        <v>64</v>
      </c>
      <c r="AO943" t="s">
        <v>879</v>
      </c>
      <c r="AP943">
        <v>1</v>
      </c>
      <c r="AQ943" t="s">
        <v>66</v>
      </c>
      <c r="AR943" t="s">
        <v>131</v>
      </c>
      <c r="AS943">
        <v>2020</v>
      </c>
      <c r="AT943" t="s">
        <v>49</v>
      </c>
      <c r="AU943" t="s">
        <v>48</v>
      </c>
      <c r="AV943" t="s">
        <v>269</v>
      </c>
      <c r="AW943" t="s">
        <v>48</v>
      </c>
    </row>
    <row r="944" spans="1:49" x14ac:dyDescent="0.3">
      <c r="A944" t="s">
        <v>2521</v>
      </c>
      <c r="B944" t="s">
        <v>48</v>
      </c>
      <c r="C944" t="s">
        <v>49</v>
      </c>
      <c r="D944">
        <v>466.11</v>
      </c>
      <c r="E944">
        <v>0</v>
      </c>
      <c r="F944">
        <v>1.99</v>
      </c>
      <c r="G944" t="s">
        <v>2120</v>
      </c>
      <c r="H944" t="s">
        <v>2522</v>
      </c>
      <c r="I944" t="s">
        <v>52</v>
      </c>
      <c r="J944" t="s">
        <v>53</v>
      </c>
      <c r="K944">
        <v>15900</v>
      </c>
      <c r="L944" t="s">
        <v>126</v>
      </c>
      <c r="M944">
        <f>DOWNLOAD_2kLRbPnDtawQopEJ_UKtt22ud9U57gk8mqebZIeugNk[[#This Row],[Standard Value]]</f>
        <v>15900</v>
      </c>
      <c r="N944">
        <f>-LOG(DOWNLOAD_2kLRbPnDtawQopEJ_UKtt22ud9U57gk8mqebZIeugNk[[#This Row],[IC50]]*POWER(10, -9), 10)</f>
        <v>4.7986028756795482</v>
      </c>
      <c r="O944">
        <v>4.8</v>
      </c>
      <c r="P944" t="s">
        <v>48</v>
      </c>
      <c r="R944" t="s">
        <v>127</v>
      </c>
      <c r="S944">
        <v>10.3</v>
      </c>
      <c r="T944">
        <v>0.28000000000000003</v>
      </c>
      <c r="U944">
        <v>2.81</v>
      </c>
      <c r="V944">
        <v>3.86</v>
      </c>
      <c r="W944">
        <v>0</v>
      </c>
      <c r="X944" t="s">
        <v>877</v>
      </c>
      <c r="Y944" t="s">
        <v>878</v>
      </c>
      <c r="Z944" t="s">
        <v>58</v>
      </c>
      <c r="AA944" t="s">
        <v>59</v>
      </c>
      <c r="AB944" t="s">
        <v>60</v>
      </c>
      <c r="AC944" t="s">
        <v>61</v>
      </c>
      <c r="AD944" t="s">
        <v>49</v>
      </c>
      <c r="AE944" t="s">
        <v>49</v>
      </c>
      <c r="AF944" t="s">
        <v>49</v>
      </c>
      <c r="AG944" t="s">
        <v>49</v>
      </c>
      <c r="AH944" t="s">
        <v>48</v>
      </c>
      <c r="AI944" t="s">
        <v>48</v>
      </c>
      <c r="AJ944" t="s">
        <v>48</v>
      </c>
      <c r="AK944" t="s">
        <v>62</v>
      </c>
      <c r="AL944" t="s">
        <v>63</v>
      </c>
      <c r="AM944" t="s">
        <v>61</v>
      </c>
      <c r="AN944" t="s">
        <v>64</v>
      </c>
      <c r="AO944" t="s">
        <v>879</v>
      </c>
      <c r="AP944">
        <v>1</v>
      </c>
      <c r="AQ944" t="s">
        <v>66</v>
      </c>
      <c r="AR944" t="s">
        <v>131</v>
      </c>
      <c r="AS944">
        <v>2020</v>
      </c>
      <c r="AT944" t="s">
        <v>49</v>
      </c>
      <c r="AU944" t="s">
        <v>48</v>
      </c>
      <c r="AV944" t="s">
        <v>269</v>
      </c>
      <c r="AW944" t="s">
        <v>48</v>
      </c>
    </row>
    <row r="945" spans="1:49" x14ac:dyDescent="0.3">
      <c r="A945" t="s">
        <v>2523</v>
      </c>
      <c r="B945" t="s">
        <v>48</v>
      </c>
      <c r="C945" t="s">
        <v>49</v>
      </c>
      <c r="D945">
        <v>420.86</v>
      </c>
      <c r="E945">
        <v>0</v>
      </c>
      <c r="F945">
        <v>4.8</v>
      </c>
      <c r="G945" t="s">
        <v>760</v>
      </c>
      <c r="H945" t="s">
        <v>2524</v>
      </c>
      <c r="I945" t="s">
        <v>52</v>
      </c>
      <c r="J945" t="s">
        <v>53</v>
      </c>
      <c r="K945">
        <v>21000</v>
      </c>
      <c r="L945" t="s">
        <v>126</v>
      </c>
      <c r="M945">
        <f>DOWNLOAD_2kLRbPnDtawQopEJ_UKtt22ud9U57gk8mqebZIeugNk[[#This Row],[Standard Value]]</f>
        <v>21000</v>
      </c>
      <c r="N945">
        <f>-LOG(DOWNLOAD_2kLRbPnDtawQopEJ_UKtt22ud9U57gk8mqebZIeugNk[[#This Row],[IC50]]*POWER(10, -9), 10)</f>
        <v>4.6777807052660805</v>
      </c>
      <c r="O945">
        <v>4.68</v>
      </c>
      <c r="P945" t="s">
        <v>48</v>
      </c>
      <c r="R945" t="s">
        <v>127</v>
      </c>
      <c r="S945">
        <v>12.17</v>
      </c>
      <c r="T945">
        <v>0.23</v>
      </c>
      <c r="U945">
        <v>-0.12</v>
      </c>
      <c r="V945">
        <v>8.49</v>
      </c>
      <c r="W945">
        <v>0</v>
      </c>
      <c r="X945" t="s">
        <v>1546</v>
      </c>
      <c r="Y945" t="s">
        <v>1547</v>
      </c>
      <c r="Z945" t="s">
        <v>58</v>
      </c>
      <c r="AA945" t="s">
        <v>59</v>
      </c>
      <c r="AB945" t="s">
        <v>60</v>
      </c>
      <c r="AC945" t="s">
        <v>61</v>
      </c>
      <c r="AD945" t="s">
        <v>49</v>
      </c>
      <c r="AE945" t="s">
        <v>49</v>
      </c>
      <c r="AF945" t="s">
        <v>49</v>
      </c>
      <c r="AG945" t="s">
        <v>49</v>
      </c>
      <c r="AH945" t="s">
        <v>48</v>
      </c>
      <c r="AI945" t="s">
        <v>48</v>
      </c>
      <c r="AJ945" t="s">
        <v>48</v>
      </c>
      <c r="AK945" t="s">
        <v>62</v>
      </c>
      <c r="AL945" t="s">
        <v>63</v>
      </c>
      <c r="AM945" t="s">
        <v>61</v>
      </c>
      <c r="AN945" t="s">
        <v>64</v>
      </c>
      <c r="AO945" t="s">
        <v>1548</v>
      </c>
      <c r="AP945">
        <v>1</v>
      </c>
      <c r="AQ945" t="s">
        <v>66</v>
      </c>
      <c r="AR945" t="s">
        <v>1549</v>
      </c>
      <c r="AS945">
        <v>2022</v>
      </c>
      <c r="AT945" t="s">
        <v>49</v>
      </c>
      <c r="AU945" t="s">
        <v>299</v>
      </c>
      <c r="AV945" t="s">
        <v>269</v>
      </c>
      <c r="AW945" t="s">
        <v>48</v>
      </c>
    </row>
    <row r="946" spans="1:49" x14ac:dyDescent="0.3">
      <c r="A946" t="s">
        <v>2525</v>
      </c>
      <c r="B946" t="s">
        <v>48</v>
      </c>
      <c r="C946" t="s">
        <v>49</v>
      </c>
      <c r="D946">
        <v>368.86</v>
      </c>
      <c r="E946">
        <v>0</v>
      </c>
      <c r="F946">
        <v>3.49</v>
      </c>
      <c r="G946" t="s">
        <v>262</v>
      </c>
      <c r="H946" t="s">
        <v>2526</v>
      </c>
      <c r="I946" t="s">
        <v>52</v>
      </c>
      <c r="J946" t="s">
        <v>53</v>
      </c>
      <c r="K946">
        <v>46000</v>
      </c>
      <c r="L946" t="s">
        <v>126</v>
      </c>
      <c r="M946">
        <f>DOWNLOAD_2kLRbPnDtawQopEJ_UKtt22ud9U57gk8mqebZIeugNk[[#This Row],[Standard Value]]</f>
        <v>46000</v>
      </c>
      <c r="N946">
        <f>-LOG(DOWNLOAD_2kLRbPnDtawQopEJ_UKtt22ud9U57gk8mqebZIeugNk[[#This Row],[IC50]]*POWER(10, -9), 10)</f>
        <v>4.3372421683184257</v>
      </c>
      <c r="O946">
        <v>4.34</v>
      </c>
      <c r="P946" t="s">
        <v>48</v>
      </c>
      <c r="R946" t="s">
        <v>127</v>
      </c>
      <c r="S946">
        <v>13.05</v>
      </c>
      <c r="T946">
        <v>0.24</v>
      </c>
      <c r="U946">
        <v>0.85</v>
      </c>
      <c r="V946">
        <v>5.76</v>
      </c>
      <c r="W946">
        <v>0</v>
      </c>
      <c r="X946" t="s">
        <v>1546</v>
      </c>
      <c r="Y946" t="s">
        <v>1547</v>
      </c>
      <c r="Z946" t="s">
        <v>58</v>
      </c>
      <c r="AA946" t="s">
        <v>59</v>
      </c>
      <c r="AB946" t="s">
        <v>60</v>
      </c>
      <c r="AC946" t="s">
        <v>61</v>
      </c>
      <c r="AD946" t="s">
        <v>49</v>
      </c>
      <c r="AE946" t="s">
        <v>49</v>
      </c>
      <c r="AF946" t="s">
        <v>49</v>
      </c>
      <c r="AG946" t="s">
        <v>49</v>
      </c>
      <c r="AH946" t="s">
        <v>48</v>
      </c>
      <c r="AI946" t="s">
        <v>48</v>
      </c>
      <c r="AJ946" t="s">
        <v>48</v>
      </c>
      <c r="AK946" t="s">
        <v>62</v>
      </c>
      <c r="AL946" t="s">
        <v>63</v>
      </c>
      <c r="AM946" t="s">
        <v>61</v>
      </c>
      <c r="AN946" t="s">
        <v>64</v>
      </c>
      <c r="AO946" t="s">
        <v>1548</v>
      </c>
      <c r="AP946">
        <v>1</v>
      </c>
      <c r="AQ946" t="s">
        <v>66</v>
      </c>
      <c r="AR946" t="s">
        <v>1549</v>
      </c>
      <c r="AS946">
        <v>2022</v>
      </c>
      <c r="AT946" t="s">
        <v>49</v>
      </c>
      <c r="AU946" t="s">
        <v>299</v>
      </c>
      <c r="AV946" t="s">
        <v>269</v>
      </c>
      <c r="AW946" t="s">
        <v>48</v>
      </c>
    </row>
    <row r="947" spans="1:49" x14ac:dyDescent="0.3">
      <c r="A947" t="s">
        <v>1728</v>
      </c>
      <c r="B947" t="s">
        <v>48</v>
      </c>
      <c r="C947" t="s">
        <v>49</v>
      </c>
      <c r="D947">
        <v>324.37</v>
      </c>
      <c r="E947">
        <v>0</v>
      </c>
      <c r="F947">
        <v>3.09</v>
      </c>
      <c r="G947" t="s">
        <v>1452</v>
      </c>
      <c r="H947" t="s">
        <v>1729</v>
      </c>
      <c r="I947" t="s">
        <v>52</v>
      </c>
      <c r="J947" t="s">
        <v>53</v>
      </c>
      <c r="K947">
        <v>9</v>
      </c>
      <c r="L947" t="s">
        <v>54</v>
      </c>
      <c r="M947">
        <f>DOWNLOAD_2kLRbPnDtawQopEJ_UKtt22ud9U57gk8mqebZIeugNk[[#This Row],[Standard Value]]/DOWNLOAD_2kLRbPnDtawQopEJ_UKtt22ud9U57gk8mqebZIeugNk[[#This Row],[Molecular Weight]]*1000*1000</f>
        <v>27746.092425316769</v>
      </c>
      <c r="N947">
        <f>-LOG(DOWNLOAD_2kLRbPnDtawQopEJ_UKtt22ud9U57gk8mqebZIeugNk[[#This Row],[IC50]]*POWER(10, -9), 10)</f>
        <v>4.5567981713743393</v>
      </c>
      <c r="P947" t="s">
        <v>48</v>
      </c>
      <c r="R947" t="s">
        <v>55</v>
      </c>
      <c r="W947">
        <v>0</v>
      </c>
      <c r="X947" t="s">
        <v>2527</v>
      </c>
      <c r="Y947" t="s">
        <v>2528</v>
      </c>
      <c r="Z947" t="s">
        <v>58</v>
      </c>
      <c r="AA947" t="s">
        <v>59</v>
      </c>
      <c r="AB947" t="s">
        <v>60</v>
      </c>
      <c r="AC947" t="s">
        <v>61</v>
      </c>
      <c r="AD947" t="s">
        <v>49</v>
      </c>
      <c r="AE947" t="s">
        <v>49</v>
      </c>
      <c r="AF947" t="s">
        <v>49</v>
      </c>
      <c r="AG947" t="s">
        <v>49</v>
      </c>
      <c r="AH947" t="s">
        <v>48</v>
      </c>
      <c r="AI947" t="s">
        <v>48</v>
      </c>
      <c r="AJ947" t="s">
        <v>48</v>
      </c>
      <c r="AK947" t="s">
        <v>62</v>
      </c>
      <c r="AL947" t="s">
        <v>63</v>
      </c>
      <c r="AM947" t="s">
        <v>61</v>
      </c>
      <c r="AN947" t="s">
        <v>64</v>
      </c>
      <c r="AO947" t="s">
        <v>1732</v>
      </c>
      <c r="AP947">
        <v>1</v>
      </c>
      <c r="AQ947" t="s">
        <v>66</v>
      </c>
      <c r="AR947" t="s">
        <v>131</v>
      </c>
      <c r="AS947">
        <v>2021</v>
      </c>
      <c r="AT947" t="s">
        <v>49</v>
      </c>
      <c r="AU947" t="s">
        <v>1733</v>
      </c>
      <c r="AV947" t="s">
        <v>269</v>
      </c>
      <c r="AW947" t="s">
        <v>48</v>
      </c>
    </row>
    <row r="948" spans="1:49" x14ac:dyDescent="0.3">
      <c r="A948" t="s">
        <v>1840</v>
      </c>
      <c r="B948" t="s">
        <v>48</v>
      </c>
      <c r="C948" t="s">
        <v>49</v>
      </c>
      <c r="D948">
        <v>504.55</v>
      </c>
      <c r="E948">
        <v>1</v>
      </c>
      <c r="F948">
        <v>2.13</v>
      </c>
      <c r="G948" t="s">
        <v>500</v>
      </c>
      <c r="H948" t="s">
        <v>1842</v>
      </c>
      <c r="I948" t="s">
        <v>52</v>
      </c>
      <c r="J948" t="s">
        <v>53</v>
      </c>
      <c r="K948">
        <v>0.21</v>
      </c>
      <c r="L948" t="s">
        <v>54</v>
      </c>
      <c r="M948">
        <f>DOWNLOAD_2kLRbPnDtawQopEJ_UKtt22ud9U57gk8mqebZIeugNk[[#This Row],[Standard Value]]/DOWNLOAD_2kLRbPnDtawQopEJ_UKtt22ud9U57gk8mqebZIeugNk[[#This Row],[Molecular Weight]]*1000*1000</f>
        <v>416.21246655435533</v>
      </c>
      <c r="N948">
        <f>-LOG(DOWNLOAD_2kLRbPnDtawQopEJ_UKtt22ud9U57gk8mqebZIeugNk[[#This Row],[IC50]]*POWER(10, -9), 10)</f>
        <v>6.3806849157758068</v>
      </c>
      <c r="P948" t="s">
        <v>48</v>
      </c>
      <c r="R948" t="s">
        <v>55</v>
      </c>
      <c r="W948">
        <v>0</v>
      </c>
      <c r="X948" t="s">
        <v>877</v>
      </c>
      <c r="Y948" t="s">
        <v>878</v>
      </c>
      <c r="Z948" t="s">
        <v>58</v>
      </c>
      <c r="AA948" t="s">
        <v>59</v>
      </c>
      <c r="AB948" t="s">
        <v>60</v>
      </c>
      <c r="AC948" t="s">
        <v>61</v>
      </c>
      <c r="AD948" t="s">
        <v>49</v>
      </c>
      <c r="AE948" t="s">
        <v>49</v>
      </c>
      <c r="AF948" t="s">
        <v>49</v>
      </c>
      <c r="AG948" t="s">
        <v>49</v>
      </c>
      <c r="AH948" t="s">
        <v>48</v>
      </c>
      <c r="AI948" t="s">
        <v>48</v>
      </c>
      <c r="AJ948" t="s">
        <v>48</v>
      </c>
      <c r="AK948" t="s">
        <v>62</v>
      </c>
      <c r="AL948" t="s">
        <v>63</v>
      </c>
      <c r="AM948" t="s">
        <v>61</v>
      </c>
      <c r="AN948" t="s">
        <v>64</v>
      </c>
      <c r="AO948" t="s">
        <v>879</v>
      </c>
      <c r="AP948">
        <v>1</v>
      </c>
      <c r="AQ948" t="s">
        <v>66</v>
      </c>
      <c r="AR948" t="s">
        <v>131</v>
      </c>
      <c r="AS948">
        <v>2020</v>
      </c>
      <c r="AT948" t="s">
        <v>49</v>
      </c>
      <c r="AU948" t="s">
        <v>48</v>
      </c>
      <c r="AV948" t="s">
        <v>269</v>
      </c>
      <c r="AW948" t="s">
        <v>48</v>
      </c>
    </row>
    <row r="949" spans="1:49" x14ac:dyDescent="0.3">
      <c r="A949" t="s">
        <v>2529</v>
      </c>
      <c r="B949" t="s">
        <v>48</v>
      </c>
      <c r="C949" t="s">
        <v>49</v>
      </c>
      <c r="D949">
        <v>431.04</v>
      </c>
      <c r="E949">
        <v>0</v>
      </c>
      <c r="F949">
        <v>2.82</v>
      </c>
      <c r="G949" t="s">
        <v>1471</v>
      </c>
      <c r="H949" t="s">
        <v>2530</v>
      </c>
      <c r="I949" t="s">
        <v>52</v>
      </c>
      <c r="J949" t="s">
        <v>53</v>
      </c>
      <c r="K949">
        <v>180</v>
      </c>
      <c r="L949" t="s">
        <v>126</v>
      </c>
      <c r="M949">
        <f>DOWNLOAD_2kLRbPnDtawQopEJ_UKtt22ud9U57gk8mqebZIeugNk[[#This Row],[Standard Value]]</f>
        <v>180</v>
      </c>
      <c r="N949">
        <f>-LOG(DOWNLOAD_2kLRbPnDtawQopEJ_UKtt22ud9U57gk8mqebZIeugNk[[#This Row],[IC50]]*POWER(10, -9), 10)</f>
        <v>6.7447274948966927</v>
      </c>
      <c r="O949">
        <v>6.75</v>
      </c>
      <c r="P949" t="s">
        <v>48</v>
      </c>
      <c r="R949" t="s">
        <v>127</v>
      </c>
      <c r="S949">
        <v>15.65</v>
      </c>
      <c r="T949">
        <v>0.42</v>
      </c>
      <c r="U949">
        <v>3.92</v>
      </c>
      <c r="V949">
        <v>6.06</v>
      </c>
      <c r="W949">
        <v>0</v>
      </c>
      <c r="X949" t="s">
        <v>877</v>
      </c>
      <c r="Y949" t="s">
        <v>878</v>
      </c>
      <c r="Z949" t="s">
        <v>58</v>
      </c>
      <c r="AA949" t="s">
        <v>59</v>
      </c>
      <c r="AB949" t="s">
        <v>60</v>
      </c>
      <c r="AC949" t="s">
        <v>61</v>
      </c>
      <c r="AD949" t="s">
        <v>49</v>
      </c>
      <c r="AE949" t="s">
        <v>49</v>
      </c>
      <c r="AF949" t="s">
        <v>49</v>
      </c>
      <c r="AG949" t="s">
        <v>49</v>
      </c>
      <c r="AH949" t="s">
        <v>48</v>
      </c>
      <c r="AI949" t="s">
        <v>48</v>
      </c>
      <c r="AJ949" t="s">
        <v>48</v>
      </c>
      <c r="AK949" t="s">
        <v>62</v>
      </c>
      <c r="AL949" t="s">
        <v>63</v>
      </c>
      <c r="AM949" t="s">
        <v>61</v>
      </c>
      <c r="AN949" t="s">
        <v>64</v>
      </c>
      <c r="AO949" t="s">
        <v>879</v>
      </c>
      <c r="AP949">
        <v>1</v>
      </c>
      <c r="AQ949" t="s">
        <v>66</v>
      </c>
      <c r="AR949" t="s">
        <v>131</v>
      </c>
      <c r="AS949">
        <v>2020</v>
      </c>
      <c r="AT949" t="s">
        <v>49</v>
      </c>
      <c r="AU949" t="s">
        <v>48</v>
      </c>
      <c r="AV949" t="s">
        <v>269</v>
      </c>
      <c r="AW949" t="s">
        <v>48</v>
      </c>
    </row>
    <row r="950" spans="1:49" x14ac:dyDescent="0.3">
      <c r="A950" t="s">
        <v>2531</v>
      </c>
      <c r="B950" t="s">
        <v>48</v>
      </c>
      <c r="C950" t="s">
        <v>49</v>
      </c>
      <c r="D950">
        <v>442.3</v>
      </c>
      <c r="E950">
        <v>0</v>
      </c>
      <c r="F950">
        <v>3.51</v>
      </c>
      <c r="G950" t="s">
        <v>2278</v>
      </c>
      <c r="H950" t="s">
        <v>2532</v>
      </c>
      <c r="I950" t="s">
        <v>52</v>
      </c>
      <c r="J950" t="s">
        <v>53</v>
      </c>
      <c r="K950">
        <v>2300</v>
      </c>
      <c r="L950" t="s">
        <v>126</v>
      </c>
      <c r="M950">
        <f>DOWNLOAD_2kLRbPnDtawQopEJ_UKtt22ud9U57gk8mqebZIeugNk[[#This Row],[Standard Value]]</f>
        <v>2300</v>
      </c>
      <c r="N950">
        <f>-LOG(DOWNLOAD_2kLRbPnDtawQopEJ_UKtt22ud9U57gk8mqebZIeugNk[[#This Row],[IC50]]*POWER(10, -9), 10)</f>
        <v>5.6382721639824069</v>
      </c>
      <c r="O950">
        <v>5.64</v>
      </c>
      <c r="P950" t="s">
        <v>48</v>
      </c>
      <c r="R950" t="s">
        <v>127</v>
      </c>
      <c r="S950">
        <v>12.75</v>
      </c>
      <c r="T950">
        <v>0.27</v>
      </c>
      <c r="U950">
        <v>2.13</v>
      </c>
      <c r="V950">
        <v>5.15</v>
      </c>
      <c r="W950">
        <v>0</v>
      </c>
      <c r="X950" t="s">
        <v>877</v>
      </c>
      <c r="Y950" t="s">
        <v>878</v>
      </c>
      <c r="Z950" t="s">
        <v>58</v>
      </c>
      <c r="AA950" t="s">
        <v>59</v>
      </c>
      <c r="AB950" t="s">
        <v>60</v>
      </c>
      <c r="AC950" t="s">
        <v>61</v>
      </c>
      <c r="AD950" t="s">
        <v>49</v>
      </c>
      <c r="AE950" t="s">
        <v>49</v>
      </c>
      <c r="AF950" t="s">
        <v>49</v>
      </c>
      <c r="AG950" t="s">
        <v>49</v>
      </c>
      <c r="AH950" t="s">
        <v>48</v>
      </c>
      <c r="AI950" t="s">
        <v>48</v>
      </c>
      <c r="AJ950" t="s">
        <v>48</v>
      </c>
      <c r="AK950" t="s">
        <v>62</v>
      </c>
      <c r="AL950" t="s">
        <v>63</v>
      </c>
      <c r="AM950" t="s">
        <v>61</v>
      </c>
      <c r="AN950" t="s">
        <v>64</v>
      </c>
      <c r="AO950" t="s">
        <v>879</v>
      </c>
      <c r="AP950">
        <v>1</v>
      </c>
      <c r="AQ950" t="s">
        <v>66</v>
      </c>
      <c r="AR950" t="s">
        <v>131</v>
      </c>
      <c r="AS950">
        <v>2020</v>
      </c>
      <c r="AT950" t="s">
        <v>49</v>
      </c>
      <c r="AU950" t="s">
        <v>48</v>
      </c>
      <c r="AV950" t="s">
        <v>269</v>
      </c>
      <c r="AW950" t="s">
        <v>48</v>
      </c>
    </row>
    <row r="951" spans="1:49" x14ac:dyDescent="0.3">
      <c r="A951" t="s">
        <v>2533</v>
      </c>
      <c r="B951" t="s">
        <v>48</v>
      </c>
      <c r="C951" t="s">
        <v>49</v>
      </c>
      <c r="D951">
        <v>455.32</v>
      </c>
      <c r="E951">
        <v>0</v>
      </c>
      <c r="F951">
        <v>4.03</v>
      </c>
      <c r="G951" t="s">
        <v>403</v>
      </c>
      <c r="H951" t="s">
        <v>2534</v>
      </c>
      <c r="I951" t="s">
        <v>52</v>
      </c>
      <c r="J951" t="s">
        <v>295</v>
      </c>
      <c r="K951">
        <v>10</v>
      </c>
      <c r="L951" t="s">
        <v>126</v>
      </c>
      <c r="M951">
        <f>DOWNLOAD_2kLRbPnDtawQopEJ_UKtt22ud9U57gk8mqebZIeugNk[[#This Row],[Standard Value]]</f>
        <v>10</v>
      </c>
      <c r="N951">
        <f>-LOG(DOWNLOAD_2kLRbPnDtawQopEJ_UKtt22ud9U57gk8mqebZIeugNk[[#This Row],[IC50]]*POWER(10, -9), 10)</f>
        <v>8</v>
      </c>
      <c r="P951" t="s">
        <v>48</v>
      </c>
      <c r="R951" t="s">
        <v>127</v>
      </c>
      <c r="W951">
        <v>0</v>
      </c>
      <c r="X951" t="s">
        <v>2378</v>
      </c>
      <c r="Y951" t="s">
        <v>2379</v>
      </c>
      <c r="Z951" t="s">
        <v>58</v>
      </c>
      <c r="AA951" t="s">
        <v>59</v>
      </c>
      <c r="AB951" t="s">
        <v>60</v>
      </c>
      <c r="AC951" t="s">
        <v>61</v>
      </c>
      <c r="AD951" t="s">
        <v>49</v>
      </c>
      <c r="AE951" t="s">
        <v>49</v>
      </c>
      <c r="AF951" t="s">
        <v>49</v>
      </c>
      <c r="AG951" t="s">
        <v>49</v>
      </c>
      <c r="AH951" t="s">
        <v>48</v>
      </c>
      <c r="AI951" t="s">
        <v>48</v>
      </c>
      <c r="AJ951" t="s">
        <v>48</v>
      </c>
      <c r="AK951" t="s">
        <v>62</v>
      </c>
      <c r="AL951" t="s">
        <v>63</v>
      </c>
      <c r="AM951" t="s">
        <v>61</v>
      </c>
      <c r="AN951" t="s">
        <v>64</v>
      </c>
      <c r="AO951" t="s">
        <v>2380</v>
      </c>
      <c r="AP951">
        <v>1</v>
      </c>
      <c r="AQ951" t="s">
        <v>66</v>
      </c>
      <c r="AR951" t="s">
        <v>67</v>
      </c>
      <c r="AS951">
        <v>2023</v>
      </c>
      <c r="AT951" t="s">
        <v>49</v>
      </c>
      <c r="AU951" t="s">
        <v>48</v>
      </c>
      <c r="AV951" t="s">
        <v>269</v>
      </c>
      <c r="AW951" t="s">
        <v>48</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41D4441-8DBE-4ED7-B38D-DCA331F3DA9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Sheet5</vt:lpstr>
      <vt:lpstr>DNA Both Target</vt:lpstr>
      <vt:lpstr>Classification</vt:lpstr>
      <vt:lpstr>DNA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Ganesan Raman</dc:creator>
  <cp:lastModifiedBy>Ganesan Raman</cp:lastModifiedBy>
  <dcterms:created xsi:type="dcterms:W3CDTF">2024-11-03T12:04:02Z</dcterms:created>
  <dcterms:modified xsi:type="dcterms:W3CDTF">2024-12-08T06:47:55Z</dcterms:modified>
</cp:coreProperties>
</file>